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I\uriage-kanri\"/>
    </mc:Choice>
  </mc:AlternateContent>
  <xr:revisionPtr revIDLastSave="0" documentId="13_ncr:1_{CD76F3AA-9442-45F9-9AFB-71A8DA38414F}" xr6:coauthVersionLast="47" xr6:coauthVersionMax="47" xr10:uidLastSave="{00000000-0000-0000-0000-000000000000}"/>
  <bookViews>
    <workbookView xWindow="1245" yWindow="1620" windowWidth="25245" windowHeight="13755" tabRatio="500" activeTab="2" xr2:uid="{00000000-000D-0000-FFFF-FFFF00000000}"/>
  </bookViews>
  <sheets>
    <sheet name="サマリー" sheetId="1" r:id="rId1"/>
    <sheet name="受注ログ" sheetId="2" r:id="rId2"/>
    <sheet name="週次集計" sheetId="3" r:id="rId3"/>
    <sheet name="月次集計" sheetId="4" r:id="rId4"/>
    <sheet name="半期年間集計" sheetId="5" r:id="rId5"/>
    <sheet name="印刷用" sheetId="6" r:id="rId6"/>
  </sheets>
  <definedNames>
    <definedName name="_xlnm.Print_Area" localSheetId="5">印刷用!$A$1:$C$14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3" l="1"/>
  <c r="D4" i="5"/>
  <c r="D5" i="5"/>
  <c r="E4" i="5"/>
  <c r="E5" i="5"/>
  <c r="E3" i="5"/>
  <c r="D3" i="5"/>
  <c r="D9" i="4"/>
  <c r="D10" i="4"/>
  <c r="D11" i="4"/>
  <c r="D12" i="4"/>
  <c r="D13" i="4"/>
  <c r="D14" i="4"/>
  <c r="D15" i="4"/>
  <c r="D3" i="4"/>
  <c r="D4" i="4"/>
  <c r="D5" i="4"/>
  <c r="D6" i="4"/>
  <c r="D7" i="4"/>
  <c r="E9" i="4"/>
  <c r="E10" i="4"/>
  <c r="E11" i="4"/>
  <c r="E12" i="4"/>
  <c r="E13" i="4"/>
  <c r="E14" i="4"/>
  <c r="E15" i="4"/>
  <c r="E3" i="4"/>
  <c r="E4" i="4"/>
  <c r="E5" i="4"/>
  <c r="E6" i="4"/>
  <c r="E7" i="4"/>
  <c r="E8" i="4"/>
  <c r="D8" i="4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C239" i="2"/>
  <c r="D239" i="2"/>
  <c r="C240" i="2"/>
  <c r="D240" i="2"/>
  <c r="E240" i="2"/>
  <c r="C241" i="2"/>
  <c r="D241" i="2"/>
  <c r="C242" i="2"/>
  <c r="D242" i="2"/>
  <c r="E242" i="2"/>
  <c r="C243" i="2"/>
  <c r="D243" i="2"/>
  <c r="C244" i="2"/>
  <c r="D244" i="2"/>
  <c r="E244" i="2"/>
  <c r="C245" i="2"/>
  <c r="D245" i="2"/>
  <c r="C246" i="2"/>
  <c r="D246" i="2"/>
  <c r="E246" i="2"/>
  <c r="C247" i="2"/>
  <c r="D247" i="2"/>
  <c r="C248" i="2"/>
  <c r="D248" i="2"/>
  <c r="E248" i="2"/>
  <c r="C249" i="2"/>
  <c r="D249" i="2"/>
  <c r="C250" i="2"/>
  <c r="D250" i="2"/>
  <c r="E250" i="2"/>
  <c r="C251" i="2"/>
  <c r="D251" i="2"/>
  <c r="C252" i="2"/>
  <c r="D252" i="2"/>
  <c r="E252" i="2"/>
  <c r="C253" i="2"/>
  <c r="D253" i="2"/>
  <c r="C254" i="2"/>
  <c r="E254" i="2" s="1"/>
  <c r="D254" i="2"/>
  <c r="C255" i="2"/>
  <c r="E255" i="2" s="1"/>
  <c r="D255" i="2"/>
  <c r="C256" i="2"/>
  <c r="D256" i="2"/>
  <c r="E256" i="2"/>
  <c r="C257" i="2"/>
  <c r="E257" i="2" s="1"/>
  <c r="D257" i="2"/>
  <c r="C258" i="2"/>
  <c r="E258" i="2" s="1"/>
  <c r="D258" i="2"/>
  <c r="C259" i="2"/>
  <c r="E259" i="2" s="1"/>
  <c r="D259" i="2"/>
  <c r="C260" i="2"/>
  <c r="E260" i="2" s="1"/>
  <c r="D260" i="2"/>
  <c r="C261" i="2"/>
  <c r="D261" i="2"/>
  <c r="C262" i="2"/>
  <c r="E262" i="2" s="1"/>
  <c r="D262" i="2"/>
  <c r="C263" i="2"/>
  <c r="D263" i="2"/>
  <c r="C264" i="2"/>
  <c r="E264" i="2" s="1"/>
  <c r="D264" i="2"/>
  <c r="C265" i="2"/>
  <c r="E265" i="2" s="1"/>
  <c r="D265" i="2"/>
  <c r="C266" i="2"/>
  <c r="E266" i="2" s="1"/>
  <c r="D266" i="2"/>
  <c r="C267" i="2"/>
  <c r="D267" i="2"/>
  <c r="C268" i="2"/>
  <c r="D268" i="2"/>
  <c r="E268" i="2" s="1"/>
  <c r="C269" i="2"/>
  <c r="E269" i="2" s="1"/>
  <c r="D269" i="2"/>
  <c r="C270" i="2"/>
  <c r="D270" i="2"/>
  <c r="E270" i="2" s="1"/>
  <c r="C271" i="2"/>
  <c r="D271" i="2"/>
  <c r="C272" i="2"/>
  <c r="E272" i="2" s="1"/>
  <c r="D272" i="2"/>
  <c r="C273" i="2"/>
  <c r="D273" i="2"/>
  <c r="C274" i="2"/>
  <c r="D274" i="2"/>
  <c r="E274" i="2" s="1"/>
  <c r="C275" i="2"/>
  <c r="D275" i="2"/>
  <c r="C276" i="2"/>
  <c r="D276" i="2"/>
  <c r="E276" i="2" s="1"/>
  <c r="C277" i="2"/>
  <c r="E277" i="2" s="1"/>
  <c r="D277" i="2"/>
  <c r="C278" i="2"/>
  <c r="D278" i="2"/>
  <c r="E278" i="2" s="1"/>
  <c r="C279" i="2"/>
  <c r="D279" i="2"/>
  <c r="C280" i="2"/>
  <c r="E280" i="2" s="1"/>
  <c r="D280" i="2"/>
  <c r="C281" i="2"/>
  <c r="D281" i="2"/>
  <c r="C282" i="2"/>
  <c r="D282" i="2"/>
  <c r="E282" i="2" s="1"/>
  <c r="C283" i="2"/>
  <c r="E283" i="2" s="1"/>
  <c r="D283" i="2"/>
  <c r="C284" i="2"/>
  <c r="E284" i="2" s="1"/>
  <c r="D284" i="2"/>
  <c r="C285" i="2"/>
  <c r="D285" i="2"/>
  <c r="C286" i="2"/>
  <c r="E286" i="2" s="1"/>
  <c r="D286" i="2"/>
  <c r="C287" i="2"/>
  <c r="D287" i="2"/>
  <c r="C288" i="2"/>
  <c r="E288" i="2" s="1"/>
  <c r="D288" i="2"/>
  <c r="C289" i="2"/>
  <c r="E289" i="2" s="1"/>
  <c r="D289" i="2"/>
  <c r="C290" i="2"/>
  <c r="E290" i="2" s="1"/>
  <c r="D290" i="2"/>
  <c r="C291" i="2"/>
  <c r="D291" i="2"/>
  <c r="C292" i="2"/>
  <c r="E292" i="2" s="1"/>
  <c r="D292" i="2"/>
  <c r="C293" i="2"/>
  <c r="D293" i="2"/>
  <c r="C294" i="2"/>
  <c r="D294" i="2"/>
  <c r="E294" i="2" s="1"/>
  <c r="C295" i="2"/>
  <c r="D295" i="2"/>
  <c r="C296" i="2"/>
  <c r="D296" i="2"/>
  <c r="E296" i="2" s="1"/>
  <c r="C297" i="2"/>
  <c r="E297" i="2" s="1"/>
  <c r="D297" i="2"/>
  <c r="C298" i="2"/>
  <c r="D298" i="2"/>
  <c r="E298" i="2"/>
  <c r="C299" i="2"/>
  <c r="D299" i="2"/>
  <c r="C300" i="2"/>
  <c r="D300" i="2"/>
  <c r="E300" i="2"/>
  <c r="C301" i="2"/>
  <c r="D301" i="2"/>
  <c r="C302" i="2"/>
  <c r="D302" i="2"/>
  <c r="E302" i="2"/>
  <c r="C303" i="2"/>
  <c r="D303" i="2"/>
  <c r="C304" i="2"/>
  <c r="D304" i="2"/>
  <c r="E304" i="2"/>
  <c r="C305" i="2"/>
  <c r="D305" i="2"/>
  <c r="C306" i="2"/>
  <c r="D306" i="2"/>
  <c r="E306" i="2"/>
  <c r="C307" i="2"/>
  <c r="D307" i="2"/>
  <c r="C308" i="2"/>
  <c r="D308" i="2"/>
  <c r="E308" i="2"/>
  <c r="C309" i="2"/>
  <c r="D309" i="2"/>
  <c r="C310" i="2"/>
  <c r="E310" i="2" s="1"/>
  <c r="D310" i="2"/>
  <c r="C311" i="2"/>
  <c r="E311" i="2" s="1"/>
  <c r="D311" i="2"/>
  <c r="C312" i="2"/>
  <c r="E312" i="2" s="1"/>
  <c r="D312" i="2"/>
  <c r="C313" i="2"/>
  <c r="E313" i="2" s="1"/>
  <c r="D313" i="2"/>
  <c r="C314" i="2"/>
  <c r="E314" i="2" s="1"/>
  <c r="D314" i="2"/>
  <c r="C315" i="2"/>
  <c r="E315" i="2" s="1"/>
  <c r="D315" i="2"/>
  <c r="C316" i="2"/>
  <c r="E316" i="2" s="1"/>
  <c r="D316" i="2"/>
  <c r="C317" i="2"/>
  <c r="E317" i="2" s="1"/>
  <c r="D317" i="2"/>
  <c r="C318" i="2"/>
  <c r="E318" i="2" s="1"/>
  <c r="D318" i="2"/>
  <c r="C319" i="2"/>
  <c r="E319" i="2" s="1"/>
  <c r="D319" i="2"/>
  <c r="C320" i="2"/>
  <c r="E320" i="2" s="1"/>
  <c r="D320" i="2"/>
  <c r="C321" i="2"/>
  <c r="D321" i="2"/>
  <c r="C322" i="2"/>
  <c r="E322" i="2" s="1"/>
  <c r="D322" i="2"/>
  <c r="C323" i="2"/>
  <c r="E323" i="2" s="1"/>
  <c r="D323" i="2"/>
  <c r="C324" i="2"/>
  <c r="E324" i="2" s="1"/>
  <c r="D324" i="2"/>
  <c r="C325" i="2"/>
  <c r="D325" i="2"/>
  <c r="C326" i="2"/>
  <c r="E326" i="2" s="1"/>
  <c r="D326" i="2"/>
  <c r="C327" i="2"/>
  <c r="D327" i="2"/>
  <c r="C328" i="2"/>
  <c r="E328" i="2" s="1"/>
  <c r="D328" i="2"/>
  <c r="C329" i="2"/>
  <c r="E329" i="2" s="1"/>
  <c r="D329" i="2"/>
  <c r="C330" i="2"/>
  <c r="E330" i="2" s="1"/>
  <c r="D330" i="2"/>
  <c r="C331" i="2"/>
  <c r="D331" i="2"/>
  <c r="C332" i="2"/>
  <c r="E332" i="2" s="1"/>
  <c r="D332" i="2"/>
  <c r="C333" i="2"/>
  <c r="D333" i="2"/>
  <c r="C334" i="2"/>
  <c r="D334" i="2"/>
  <c r="E334" i="2" s="1"/>
  <c r="C335" i="2"/>
  <c r="E335" i="2" s="1"/>
  <c r="D335" i="2"/>
  <c r="C336" i="2"/>
  <c r="E336" i="2" s="1"/>
  <c r="D336" i="2"/>
  <c r="C337" i="2"/>
  <c r="E337" i="2" s="1"/>
  <c r="D337" i="2"/>
  <c r="C338" i="2"/>
  <c r="E338" i="2" s="1"/>
  <c r="D338" i="2"/>
  <c r="C339" i="2"/>
  <c r="E339" i="2" s="1"/>
  <c r="D339" i="2"/>
  <c r="C340" i="2"/>
  <c r="E340" i="2" s="1"/>
  <c r="D340" i="2"/>
  <c r="C341" i="2"/>
  <c r="E341" i="2" s="1"/>
  <c r="D341" i="2"/>
  <c r="C342" i="2"/>
  <c r="E342" i="2" s="1"/>
  <c r="D342" i="2"/>
  <c r="C343" i="2"/>
  <c r="E343" i="2" s="1"/>
  <c r="D343" i="2"/>
  <c r="C344" i="2"/>
  <c r="E344" i="2" s="1"/>
  <c r="D344" i="2"/>
  <c r="C345" i="2"/>
  <c r="D345" i="2"/>
  <c r="C346" i="2"/>
  <c r="E346" i="2" s="1"/>
  <c r="D346" i="2"/>
  <c r="C347" i="2"/>
  <c r="D347" i="2"/>
  <c r="C348" i="2"/>
  <c r="E348" i="2" s="1"/>
  <c r="D348" i="2"/>
  <c r="C349" i="2"/>
  <c r="E349" i="2" s="1"/>
  <c r="D349" i="2"/>
  <c r="C350" i="2"/>
  <c r="E350" i="2" s="1"/>
  <c r="D350" i="2"/>
  <c r="C351" i="2"/>
  <c r="E351" i="2" s="1"/>
  <c r="D351" i="2"/>
  <c r="C352" i="2"/>
  <c r="E352" i="2" s="1"/>
  <c r="D352" i="2"/>
  <c r="C353" i="2"/>
  <c r="E353" i="2" s="1"/>
  <c r="D353" i="2"/>
  <c r="C354" i="2"/>
  <c r="E354" i="2" s="1"/>
  <c r="D354" i="2"/>
  <c r="C355" i="2"/>
  <c r="E355" i="2" s="1"/>
  <c r="D355" i="2"/>
  <c r="C356" i="2"/>
  <c r="D356" i="2"/>
  <c r="E356" i="2"/>
  <c r="C357" i="2"/>
  <c r="D357" i="2"/>
  <c r="C358" i="2"/>
  <c r="D358" i="2"/>
  <c r="E358" i="2"/>
  <c r="C359" i="2"/>
  <c r="D359" i="2"/>
  <c r="C360" i="2"/>
  <c r="D360" i="2"/>
  <c r="E360" i="2"/>
  <c r="C361" i="2"/>
  <c r="D361" i="2"/>
  <c r="C362" i="2"/>
  <c r="D362" i="2"/>
  <c r="E362" i="2"/>
  <c r="C363" i="2"/>
  <c r="D363" i="2"/>
  <c r="C364" i="2"/>
  <c r="D364" i="2"/>
  <c r="E364" i="2"/>
  <c r="C365" i="2"/>
  <c r="D365" i="2"/>
  <c r="C366" i="2"/>
  <c r="D366" i="2"/>
  <c r="E366" i="2"/>
  <c r="C367" i="2"/>
  <c r="D367" i="2"/>
  <c r="C368" i="2"/>
  <c r="D368" i="2"/>
  <c r="E368" i="2"/>
  <c r="C369" i="2"/>
  <c r="D369" i="2"/>
  <c r="C370" i="2"/>
  <c r="D370" i="2"/>
  <c r="E370" i="2"/>
  <c r="C371" i="2"/>
  <c r="D371" i="2"/>
  <c r="C372" i="2"/>
  <c r="D372" i="2"/>
  <c r="E372" i="2"/>
  <c r="C373" i="2"/>
  <c r="D373" i="2"/>
  <c r="C374" i="2"/>
  <c r="D374" i="2"/>
  <c r="E374" i="2"/>
  <c r="C375" i="2"/>
  <c r="D375" i="2"/>
  <c r="C213" i="2"/>
  <c r="D213" i="2"/>
  <c r="C214" i="2"/>
  <c r="E214" i="2" s="1"/>
  <c r="D214" i="2"/>
  <c r="C215" i="2"/>
  <c r="D215" i="2"/>
  <c r="C216" i="2"/>
  <c r="D216" i="2"/>
  <c r="C217" i="2"/>
  <c r="D217" i="2"/>
  <c r="C218" i="2"/>
  <c r="D218" i="2"/>
  <c r="C219" i="2"/>
  <c r="D219" i="2"/>
  <c r="C220" i="2"/>
  <c r="D220" i="2"/>
  <c r="E220" i="2" s="1"/>
  <c r="C221" i="2"/>
  <c r="D221" i="2"/>
  <c r="C222" i="2"/>
  <c r="E222" i="2" s="1"/>
  <c r="D222" i="2"/>
  <c r="C223" i="2"/>
  <c r="E223" i="2" s="1"/>
  <c r="D223" i="2"/>
  <c r="C224" i="2"/>
  <c r="E224" i="2" s="1"/>
  <c r="D224" i="2"/>
  <c r="C225" i="2"/>
  <c r="E225" i="2" s="1"/>
  <c r="D225" i="2"/>
  <c r="C226" i="2"/>
  <c r="D226" i="2"/>
  <c r="C227" i="2"/>
  <c r="D227" i="2"/>
  <c r="C228" i="2"/>
  <c r="D228" i="2"/>
  <c r="C229" i="2"/>
  <c r="D229" i="2"/>
  <c r="C230" i="2"/>
  <c r="E230" i="2" s="1"/>
  <c r="D230" i="2"/>
  <c r="C231" i="2"/>
  <c r="D231" i="2"/>
  <c r="C232" i="2"/>
  <c r="E232" i="2" s="1"/>
  <c r="D232" i="2"/>
  <c r="C233" i="2"/>
  <c r="D233" i="2"/>
  <c r="C234" i="2"/>
  <c r="D234" i="2"/>
  <c r="C235" i="2"/>
  <c r="D235" i="2"/>
  <c r="C236" i="2"/>
  <c r="D236" i="2"/>
  <c r="C237" i="2"/>
  <c r="E237" i="2" s="1"/>
  <c r="D237" i="2"/>
  <c r="C238" i="2"/>
  <c r="D238" i="2"/>
  <c r="C212" i="2"/>
  <c r="E212" i="2" s="1"/>
  <c r="D212" i="2"/>
  <c r="C211" i="2"/>
  <c r="E211" i="2" s="1"/>
  <c r="D211" i="2"/>
  <c r="C210" i="2"/>
  <c r="E210" i="2" s="1"/>
  <c r="D210" i="2"/>
  <c r="C209" i="2"/>
  <c r="E209" i="2" s="1"/>
  <c r="D209" i="2"/>
  <c r="C207" i="2"/>
  <c r="D207" i="2"/>
  <c r="C208" i="2"/>
  <c r="E208" i="2" s="1"/>
  <c r="D208" i="2"/>
  <c r="C206" i="2"/>
  <c r="D206" i="2"/>
  <c r="G3" i="3"/>
  <c r="D205" i="2"/>
  <c r="C205" i="2"/>
  <c r="D204" i="2"/>
  <c r="C204" i="2"/>
  <c r="D203" i="2"/>
  <c r="C203" i="2"/>
  <c r="D202" i="2"/>
  <c r="C202" i="2"/>
  <c r="E202" i="2" s="1"/>
  <c r="D201" i="2"/>
  <c r="C201" i="2"/>
  <c r="E201" i="2" s="1"/>
  <c r="D200" i="2"/>
  <c r="C200" i="2"/>
  <c r="D199" i="2"/>
  <c r="C199" i="2"/>
  <c r="D198" i="2"/>
  <c r="C198" i="2"/>
  <c r="E198" i="2" s="1"/>
  <c r="D197" i="2"/>
  <c r="C197" i="2"/>
  <c r="E197" i="2" s="1"/>
  <c r="D196" i="2"/>
  <c r="C196" i="2"/>
  <c r="D195" i="2"/>
  <c r="C195" i="2"/>
  <c r="E195" i="2" s="1"/>
  <c r="D194" i="2"/>
  <c r="C194" i="2"/>
  <c r="D193" i="2"/>
  <c r="C193" i="2"/>
  <c r="E193" i="2" s="1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E186" i="2" s="1"/>
  <c r="D185" i="2"/>
  <c r="C185" i="2"/>
  <c r="D184" i="2"/>
  <c r="C184" i="2"/>
  <c r="D183" i="2"/>
  <c r="C183" i="2"/>
  <c r="D182" i="2"/>
  <c r="C182" i="2"/>
  <c r="D181" i="2"/>
  <c r="C181" i="2"/>
  <c r="D180" i="2"/>
  <c r="C180" i="2"/>
  <c r="D179" i="2"/>
  <c r="C179" i="2"/>
  <c r="E179" i="2" s="1"/>
  <c r="D178" i="2"/>
  <c r="C178" i="2"/>
  <c r="E178" i="2" s="1"/>
  <c r="D177" i="2"/>
  <c r="C177" i="2"/>
  <c r="E177" i="2" s="1"/>
  <c r="D176" i="2"/>
  <c r="C176" i="2"/>
  <c r="E176" i="2" s="1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E167" i="2" s="1"/>
  <c r="D166" i="2"/>
  <c r="C166" i="2"/>
  <c r="E166" i="2" s="1"/>
  <c r="D165" i="2"/>
  <c r="C165" i="2"/>
  <c r="E165" i="2" s="1"/>
  <c r="D164" i="2"/>
  <c r="C164" i="2"/>
  <c r="D163" i="2"/>
  <c r="C163" i="2"/>
  <c r="D162" i="2"/>
  <c r="C162" i="2"/>
  <c r="D161" i="2"/>
  <c r="C161" i="2"/>
  <c r="D160" i="2"/>
  <c r="C160" i="2"/>
  <c r="D159" i="2"/>
  <c r="C159" i="2"/>
  <c r="D158" i="2"/>
  <c r="C158" i="2"/>
  <c r="D157" i="2"/>
  <c r="C157" i="2"/>
  <c r="D156" i="2"/>
  <c r="C156" i="2"/>
  <c r="E156" i="2" s="1"/>
  <c r="D155" i="2"/>
  <c r="C155" i="2"/>
  <c r="D154" i="2"/>
  <c r="C154" i="2"/>
  <c r="D153" i="2"/>
  <c r="C153" i="2"/>
  <c r="D152" i="2"/>
  <c r="C152" i="2"/>
  <c r="D151" i="2"/>
  <c r="C151" i="2"/>
  <c r="E151" i="2" s="1"/>
  <c r="D150" i="2"/>
  <c r="C150" i="2"/>
  <c r="D149" i="2"/>
  <c r="C149" i="2"/>
  <c r="E149" i="2" s="1"/>
  <c r="D148" i="2"/>
  <c r="C148" i="2"/>
  <c r="D147" i="2"/>
  <c r="C147" i="2"/>
  <c r="E147" i="2" s="1"/>
  <c r="D146" i="2"/>
  <c r="C146" i="2"/>
  <c r="D145" i="2"/>
  <c r="C145" i="2"/>
  <c r="D144" i="2"/>
  <c r="C144" i="2"/>
  <c r="E144" i="2" s="1"/>
  <c r="D143" i="2"/>
  <c r="C143" i="2"/>
  <c r="D142" i="2"/>
  <c r="C142" i="2"/>
  <c r="E142" i="2" s="1"/>
  <c r="D141" i="2"/>
  <c r="C141" i="2"/>
  <c r="D140" i="2"/>
  <c r="C140" i="2"/>
  <c r="D139" i="2"/>
  <c r="C139" i="2"/>
  <c r="D138" i="2"/>
  <c r="C138" i="2"/>
  <c r="E138" i="2" s="1"/>
  <c r="D137" i="2"/>
  <c r="C137" i="2"/>
  <c r="D136" i="2"/>
  <c r="C136" i="2"/>
  <c r="D135" i="2"/>
  <c r="C135" i="2"/>
  <c r="D134" i="2"/>
  <c r="C134" i="2"/>
  <c r="E134" i="2" s="1"/>
  <c r="D133" i="2"/>
  <c r="C133" i="2"/>
  <c r="E133" i="2" s="1"/>
  <c r="D132" i="2"/>
  <c r="C132" i="2"/>
  <c r="D131" i="2"/>
  <c r="C131" i="2"/>
  <c r="D130" i="2"/>
  <c r="C130" i="2"/>
  <c r="D129" i="2"/>
  <c r="C129" i="2"/>
  <c r="D128" i="2"/>
  <c r="C128" i="2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E121" i="2" s="1"/>
  <c r="D120" i="2"/>
  <c r="C120" i="2"/>
  <c r="D119" i="2"/>
  <c r="C119" i="2"/>
  <c r="D118" i="2"/>
  <c r="C118" i="2"/>
  <c r="D117" i="2"/>
  <c r="C117" i="2"/>
  <c r="D116" i="2"/>
  <c r="C116" i="2"/>
  <c r="D115" i="2"/>
  <c r="C115" i="2"/>
  <c r="E115" i="2" s="1"/>
  <c r="D114" i="2"/>
  <c r="C114" i="2"/>
  <c r="E114" i="2" s="1"/>
  <c r="D113" i="2"/>
  <c r="C113" i="2"/>
  <c r="E113" i="2" s="1"/>
  <c r="D112" i="2"/>
  <c r="C112" i="2"/>
  <c r="E112" i="2" s="1"/>
  <c r="D111" i="2"/>
  <c r="C111" i="2"/>
  <c r="D110" i="2"/>
  <c r="C110" i="2"/>
  <c r="D109" i="2"/>
  <c r="C109" i="2"/>
  <c r="D108" i="2"/>
  <c r="C108" i="2"/>
  <c r="E108" i="2" s="1"/>
  <c r="D107" i="2"/>
  <c r="C107" i="2"/>
  <c r="D106" i="2"/>
  <c r="C106" i="2"/>
  <c r="E106" i="2" s="1"/>
  <c r="D105" i="2"/>
  <c r="C105" i="2"/>
  <c r="E105" i="2" s="1"/>
  <c r="D104" i="2"/>
  <c r="C104" i="2"/>
  <c r="D103" i="2"/>
  <c r="C103" i="2"/>
  <c r="E103" i="2" s="1"/>
  <c r="D102" i="2"/>
  <c r="C102" i="2"/>
  <c r="D101" i="2"/>
  <c r="C101" i="2"/>
  <c r="E101" i="2" s="1"/>
  <c r="D100" i="2"/>
  <c r="C100" i="2"/>
  <c r="D99" i="2"/>
  <c r="C99" i="2"/>
  <c r="E99" i="2" s="1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E85" i="2" s="1"/>
  <c r="D84" i="2"/>
  <c r="C84" i="2"/>
  <c r="D83" i="2"/>
  <c r="C83" i="2"/>
  <c r="E83" i="2" s="1"/>
  <c r="D82" i="2"/>
  <c r="C82" i="2"/>
  <c r="D81" i="2"/>
  <c r="C81" i="2"/>
  <c r="E81" i="2" s="1"/>
  <c r="D80" i="2"/>
  <c r="C80" i="2"/>
  <c r="D79" i="2"/>
  <c r="C79" i="2"/>
  <c r="E79" i="2" s="1"/>
  <c r="D78" i="2"/>
  <c r="C78" i="2"/>
  <c r="D77" i="2"/>
  <c r="C77" i="2"/>
  <c r="D76" i="2"/>
  <c r="C76" i="2"/>
  <c r="D75" i="2"/>
  <c r="C75" i="2"/>
  <c r="E75" i="2" s="1"/>
  <c r="D74" i="2"/>
  <c r="C74" i="2"/>
  <c r="D73" i="2"/>
  <c r="C73" i="2"/>
  <c r="D72" i="2"/>
  <c r="C72" i="2"/>
  <c r="D71" i="2"/>
  <c r="C71" i="2"/>
  <c r="E71" i="2" s="1"/>
  <c r="D70" i="2"/>
  <c r="C70" i="2"/>
  <c r="D69" i="2"/>
  <c r="C69" i="2"/>
  <c r="E69" i="2" s="1"/>
  <c r="D68" i="2"/>
  <c r="C68" i="2"/>
  <c r="D67" i="2"/>
  <c r="C67" i="2"/>
  <c r="E67" i="2" s="1"/>
  <c r="D66" i="2"/>
  <c r="C66" i="2"/>
  <c r="D65" i="2"/>
  <c r="C65" i="2"/>
  <c r="E65" i="2" s="1"/>
  <c r="D64" i="2"/>
  <c r="C64" i="2"/>
  <c r="D63" i="2"/>
  <c r="C63" i="2"/>
  <c r="E63" i="2" s="1"/>
  <c r="D62" i="2"/>
  <c r="C62" i="2"/>
  <c r="D61" i="2"/>
  <c r="C61" i="2"/>
  <c r="E61" i="2" s="1"/>
  <c r="D60" i="2"/>
  <c r="C60" i="2"/>
  <c r="D59" i="2"/>
  <c r="C59" i="2"/>
  <c r="E59" i="2" s="1"/>
  <c r="D58" i="2"/>
  <c r="C58" i="2"/>
  <c r="D57" i="2"/>
  <c r="C57" i="2"/>
  <c r="E57" i="2" s="1"/>
  <c r="D56" i="2"/>
  <c r="C56" i="2"/>
  <c r="D55" i="2"/>
  <c r="C55" i="2"/>
  <c r="E55" i="2" s="1"/>
  <c r="D54" i="2"/>
  <c r="C54" i="2"/>
  <c r="D53" i="2"/>
  <c r="C53" i="2"/>
  <c r="E53" i="2" s="1"/>
  <c r="D52" i="2"/>
  <c r="C52" i="2"/>
  <c r="D51" i="2"/>
  <c r="C51" i="2"/>
  <c r="E51" i="2" s="1"/>
  <c r="D50" i="2"/>
  <c r="C50" i="2"/>
  <c r="D49" i="2"/>
  <c r="C49" i="2"/>
  <c r="E49" i="2" s="1"/>
  <c r="D48" i="2"/>
  <c r="C48" i="2"/>
  <c r="D47" i="2"/>
  <c r="C47" i="2"/>
  <c r="E47" i="2" s="1"/>
  <c r="D46" i="2"/>
  <c r="C46" i="2"/>
  <c r="D45" i="2"/>
  <c r="C45" i="2"/>
  <c r="E45" i="2" s="1"/>
  <c r="D44" i="2"/>
  <c r="C44" i="2"/>
  <c r="D43" i="2"/>
  <c r="C43" i="2"/>
  <c r="E43" i="2" s="1"/>
  <c r="D42" i="2"/>
  <c r="C42" i="2"/>
  <c r="D41" i="2"/>
  <c r="C41" i="2"/>
  <c r="E41" i="2" s="1"/>
  <c r="D40" i="2"/>
  <c r="C40" i="2"/>
  <c r="D39" i="2"/>
  <c r="C39" i="2"/>
  <c r="D38" i="2"/>
  <c r="E38" i="2" s="1"/>
  <c r="C38" i="2"/>
  <c r="D37" i="2"/>
  <c r="C37" i="2"/>
  <c r="E37" i="2" s="1"/>
  <c r="D36" i="2"/>
  <c r="C36" i="2"/>
  <c r="D35" i="2"/>
  <c r="C35" i="2"/>
  <c r="E35" i="2" s="1"/>
  <c r="D34" i="2"/>
  <c r="C34" i="2"/>
  <c r="D33" i="2"/>
  <c r="C33" i="2"/>
  <c r="D32" i="2"/>
  <c r="C32" i="2"/>
  <c r="D31" i="2"/>
  <c r="C31" i="2"/>
  <c r="E31" i="2" s="1"/>
  <c r="D30" i="2"/>
  <c r="C30" i="2"/>
  <c r="D29" i="2"/>
  <c r="C29" i="2"/>
  <c r="E29" i="2" s="1"/>
  <c r="D28" i="2"/>
  <c r="C28" i="2"/>
  <c r="D27" i="2"/>
  <c r="C27" i="2"/>
  <c r="E27" i="2" s="1"/>
  <c r="D26" i="2"/>
  <c r="E26" i="2" s="1"/>
  <c r="C26" i="2"/>
  <c r="D25" i="2"/>
  <c r="C25" i="2"/>
  <c r="E25" i="2" s="1"/>
  <c r="D24" i="2"/>
  <c r="C24" i="2"/>
  <c r="D23" i="2"/>
  <c r="C23" i="2"/>
  <c r="D22" i="2"/>
  <c r="C22" i="2"/>
  <c r="D21" i="2"/>
  <c r="C21" i="2"/>
  <c r="E21" i="2" s="1"/>
  <c r="D20" i="2"/>
  <c r="C20" i="2"/>
  <c r="D19" i="2"/>
  <c r="C19" i="2"/>
  <c r="D18" i="2"/>
  <c r="E18" i="2" s="1"/>
  <c r="C18" i="2"/>
  <c r="D17" i="2"/>
  <c r="C17" i="2"/>
  <c r="E17" i="2" s="1"/>
  <c r="D16" i="2"/>
  <c r="C16" i="2"/>
  <c r="D15" i="2"/>
  <c r="C15" i="2"/>
  <c r="E15" i="2" s="1"/>
  <c r="D14" i="2"/>
  <c r="C14" i="2"/>
  <c r="D13" i="2"/>
  <c r="C13" i="2"/>
  <c r="E13" i="2" s="1"/>
  <c r="D12" i="2"/>
  <c r="C12" i="2"/>
  <c r="D11" i="2"/>
  <c r="C11" i="2"/>
  <c r="E11" i="2" s="1"/>
  <c r="D10" i="2"/>
  <c r="C10" i="2"/>
  <c r="D9" i="2"/>
  <c r="C9" i="2"/>
  <c r="E9" i="2" s="1"/>
  <c r="D8" i="2"/>
  <c r="C8" i="2"/>
  <c r="D7" i="2"/>
  <c r="C7" i="2"/>
  <c r="E7" i="2" s="1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D6" i="2"/>
  <c r="C6" i="2"/>
  <c r="B38" i="1"/>
  <c r="B37" i="1"/>
  <c r="B36" i="1"/>
  <c r="B35" i="1"/>
  <c r="B34" i="1"/>
  <c r="B29" i="1"/>
  <c r="B28" i="1"/>
  <c r="B27" i="1"/>
  <c r="B26" i="1"/>
  <c r="B16" i="1"/>
  <c r="G3" i="4" s="1"/>
  <c r="B15" i="1"/>
  <c r="G41" i="3" s="1"/>
  <c r="B14" i="1"/>
  <c r="B5" i="4" s="1"/>
  <c r="B6" i="1"/>
  <c r="A2" i="6" s="1"/>
  <c r="E218" i="2" l="1"/>
  <c r="E217" i="2"/>
  <c r="E216" i="2"/>
  <c r="E261" i="2"/>
  <c r="E267" i="2"/>
  <c r="E271" i="2"/>
  <c r="E273" i="2"/>
  <c r="E281" i="2"/>
  <c r="E285" i="2"/>
  <c r="E291" i="2"/>
  <c r="E293" i="2"/>
  <c r="E321" i="2"/>
  <c r="E325" i="2"/>
  <c r="E327" i="2"/>
  <c r="E215" i="2"/>
  <c r="E219" i="2"/>
  <c r="E221" i="2"/>
  <c r="E226" i="2"/>
  <c r="E228" i="2"/>
  <c r="E234" i="2"/>
  <c r="E236" i="2"/>
  <c r="E238" i="2"/>
  <c r="E23" i="2"/>
  <c r="E10" i="2"/>
  <c r="E299" i="2"/>
  <c r="E301" i="2"/>
  <c r="E303" i="2"/>
  <c r="E305" i="2"/>
  <c r="E307" i="2"/>
  <c r="E309" i="2"/>
  <c r="E213" i="2"/>
  <c r="E357" i="2"/>
  <c r="E359" i="2"/>
  <c r="E361" i="2"/>
  <c r="E363" i="2"/>
  <c r="E365" i="2"/>
  <c r="E367" i="2"/>
  <c r="E369" i="2"/>
  <c r="E371" i="2"/>
  <c r="E373" i="2"/>
  <c r="E375" i="2"/>
  <c r="E159" i="2"/>
  <c r="E19" i="2"/>
  <c r="E66" i="2"/>
  <c r="E64" i="2"/>
  <c r="E62" i="2"/>
  <c r="E58" i="2"/>
  <c r="E54" i="2"/>
  <c r="E46" i="2"/>
  <c r="E33" i="2"/>
  <c r="E30" i="2"/>
  <c r="E14" i="2"/>
  <c r="E50" i="2"/>
  <c r="E42" i="2"/>
  <c r="E39" i="2"/>
  <c r="E34" i="2"/>
  <c r="E22" i="2"/>
  <c r="E239" i="2"/>
  <c r="E241" i="2"/>
  <c r="E243" i="2"/>
  <c r="E245" i="2"/>
  <c r="E247" i="2"/>
  <c r="E249" i="2"/>
  <c r="E251" i="2"/>
  <c r="E253" i="2"/>
  <c r="E263" i="2"/>
  <c r="E275" i="2"/>
  <c r="E279" i="2"/>
  <c r="E287" i="2"/>
  <c r="E295" i="2"/>
  <c r="E331" i="2"/>
  <c r="E333" i="2"/>
  <c r="E345" i="2"/>
  <c r="E347" i="2"/>
  <c r="E227" i="2"/>
  <c r="E229" i="2"/>
  <c r="E231" i="2"/>
  <c r="E233" i="2"/>
  <c r="E235" i="2"/>
  <c r="E205" i="2"/>
  <c r="E199" i="2"/>
  <c r="E207" i="2"/>
  <c r="E206" i="2"/>
  <c r="E194" i="2"/>
  <c r="E189" i="2"/>
  <c r="E188" i="2"/>
  <c r="E183" i="2"/>
  <c r="E182" i="2"/>
  <c r="E175" i="2"/>
  <c r="E174" i="2"/>
  <c r="E173" i="2"/>
  <c r="E172" i="2"/>
  <c r="E171" i="2"/>
  <c r="E169" i="2"/>
  <c r="E163" i="2"/>
  <c r="E162" i="2"/>
  <c r="E157" i="2"/>
  <c r="E161" i="2"/>
  <c r="E86" i="2"/>
  <c r="E150" i="2"/>
  <c r="E119" i="2"/>
  <c r="E154" i="2"/>
  <c r="E153" i="2"/>
  <c r="E146" i="2"/>
  <c r="E145" i="2"/>
  <c r="E143" i="2"/>
  <c r="E141" i="2"/>
  <c r="E140" i="2"/>
  <c r="E137" i="2"/>
  <c r="E135" i="2"/>
  <c r="E131" i="2"/>
  <c r="E130" i="2"/>
  <c r="E129" i="2"/>
  <c r="E125" i="2"/>
  <c r="E124" i="2"/>
  <c r="E122" i="2"/>
  <c r="E118" i="2"/>
  <c r="E117" i="2"/>
  <c r="E111" i="2"/>
  <c r="E109" i="2"/>
  <c r="E102" i="2"/>
  <c r="E98" i="2"/>
  <c r="E97" i="2"/>
  <c r="E95" i="2"/>
  <c r="E93" i="2"/>
  <c r="E92" i="2"/>
  <c r="E90" i="2"/>
  <c r="E89" i="2"/>
  <c r="E87" i="2"/>
  <c r="E77" i="2"/>
  <c r="E73" i="2"/>
  <c r="B21" i="1"/>
  <c r="B22" i="1" s="1"/>
  <c r="E8" i="2"/>
  <c r="E12" i="2"/>
  <c r="E16" i="2"/>
  <c r="E20" i="2"/>
  <c r="E24" i="2"/>
  <c r="E28" i="2"/>
  <c r="E32" i="2"/>
  <c r="E36" i="2"/>
  <c r="E40" i="2"/>
  <c r="E44" i="2"/>
  <c r="E48" i="2"/>
  <c r="E52" i="2"/>
  <c r="E56" i="2"/>
  <c r="E60" i="2"/>
  <c r="E68" i="2"/>
  <c r="E72" i="2"/>
  <c r="E76" i="2"/>
  <c r="E80" i="2"/>
  <c r="E96" i="2"/>
  <c r="E107" i="2"/>
  <c r="E126" i="2"/>
  <c r="E160" i="2"/>
  <c r="E190" i="2"/>
  <c r="E123" i="2"/>
  <c r="E187" i="2"/>
  <c r="E6" i="2"/>
  <c r="E127" i="2"/>
  <c r="E191" i="2"/>
  <c r="B11" i="3"/>
  <c r="E70" i="2"/>
  <c r="E74" i="2"/>
  <c r="E78" i="2"/>
  <c r="E82" i="2"/>
  <c r="E94" i="2"/>
  <c r="E128" i="2"/>
  <c r="E139" i="2"/>
  <c r="E158" i="2"/>
  <c r="E192" i="2"/>
  <c r="E203" i="2"/>
  <c r="G17" i="3"/>
  <c r="E170" i="2"/>
  <c r="E181" i="2"/>
  <c r="E185" i="2"/>
  <c r="E204" i="2"/>
  <c r="B43" i="3"/>
  <c r="C43" i="3" s="1"/>
  <c r="K43" i="3" s="1"/>
  <c r="E91" i="2"/>
  <c r="E110" i="2"/>
  <c r="E155" i="2"/>
  <c r="G49" i="3"/>
  <c r="C5" i="4"/>
  <c r="K5" i="4" s="1"/>
  <c r="B20" i="1"/>
  <c r="E84" i="2"/>
  <c r="E100" i="2"/>
  <c r="E116" i="2"/>
  <c r="E132" i="2"/>
  <c r="E148" i="2"/>
  <c r="E164" i="2"/>
  <c r="E180" i="2"/>
  <c r="E196" i="2"/>
  <c r="G9" i="3"/>
  <c r="B31" i="3"/>
  <c r="B9" i="4"/>
  <c r="G55" i="3"/>
  <c r="G51" i="3"/>
  <c r="G47" i="3"/>
  <c r="G43" i="3"/>
  <c r="G39" i="3"/>
  <c r="G35" i="3"/>
  <c r="G31" i="3"/>
  <c r="G27" i="3"/>
  <c r="G23" i="3"/>
  <c r="G19" i="3"/>
  <c r="G15" i="3"/>
  <c r="G11" i="3"/>
  <c r="G7" i="3"/>
  <c r="G54" i="3"/>
  <c r="G50" i="3"/>
  <c r="G46" i="3"/>
  <c r="G42" i="3"/>
  <c r="G38" i="3"/>
  <c r="G34" i="3"/>
  <c r="G30" i="3"/>
  <c r="G26" i="3"/>
  <c r="G22" i="3"/>
  <c r="G18" i="3"/>
  <c r="G14" i="3"/>
  <c r="G10" i="3"/>
  <c r="G6" i="3"/>
  <c r="G56" i="3"/>
  <c r="G52" i="3"/>
  <c r="G48" i="3"/>
  <c r="G44" i="3"/>
  <c r="G40" i="3"/>
  <c r="G36" i="3"/>
  <c r="G32" i="3"/>
  <c r="G28" i="3"/>
  <c r="G24" i="3"/>
  <c r="G20" i="3"/>
  <c r="G16" i="3"/>
  <c r="G12" i="3"/>
  <c r="G8" i="3"/>
  <c r="G53" i="3"/>
  <c r="G37" i="3"/>
  <c r="G21" i="3"/>
  <c r="G5" i="3"/>
  <c r="G45" i="3"/>
  <c r="G29" i="3"/>
  <c r="G13" i="3"/>
  <c r="B4" i="3"/>
  <c r="G25" i="3"/>
  <c r="G13" i="4"/>
  <c r="G9" i="4"/>
  <c r="G5" i="4"/>
  <c r="G12" i="4"/>
  <c r="G8" i="4"/>
  <c r="G4" i="4"/>
  <c r="G14" i="4"/>
  <c r="G10" i="4"/>
  <c r="G6" i="4"/>
  <c r="G15" i="4"/>
  <c r="G7" i="4"/>
  <c r="F3" i="2"/>
  <c r="B27" i="3"/>
  <c r="B5" i="5"/>
  <c r="B4" i="5"/>
  <c r="B3" i="5"/>
  <c r="B12" i="4"/>
  <c r="B8" i="4"/>
  <c r="B4" i="4"/>
  <c r="B54" i="3"/>
  <c r="B50" i="3"/>
  <c r="B46" i="3"/>
  <c r="B42" i="3"/>
  <c r="B38" i="3"/>
  <c r="B34" i="3"/>
  <c r="B30" i="3"/>
  <c r="B26" i="3"/>
  <c r="B22" i="3"/>
  <c r="B18" i="3"/>
  <c r="B14" i="3"/>
  <c r="B10" i="3"/>
  <c r="B6" i="3"/>
  <c r="B15" i="4"/>
  <c r="B11" i="4"/>
  <c r="B7" i="4"/>
  <c r="B3" i="4"/>
  <c r="B53" i="3"/>
  <c r="B49" i="3"/>
  <c r="B45" i="3"/>
  <c r="B41" i="3"/>
  <c r="B37" i="3"/>
  <c r="B33" i="3"/>
  <c r="B29" i="3"/>
  <c r="B25" i="3"/>
  <c r="B21" i="3"/>
  <c r="B17" i="3"/>
  <c r="B13" i="3"/>
  <c r="B9" i="3"/>
  <c r="B14" i="4"/>
  <c r="B10" i="4"/>
  <c r="B6" i="4"/>
  <c r="B56" i="3"/>
  <c r="B52" i="3"/>
  <c r="B48" i="3"/>
  <c r="B44" i="3"/>
  <c r="B40" i="3"/>
  <c r="B36" i="3"/>
  <c r="B32" i="3"/>
  <c r="B28" i="3"/>
  <c r="B24" i="3"/>
  <c r="B20" i="3"/>
  <c r="B16" i="3"/>
  <c r="B12" i="3"/>
  <c r="B8" i="3"/>
  <c r="C5" i="5"/>
  <c r="E41" i="1" s="1"/>
  <c r="F41" i="1" s="1"/>
  <c r="C4" i="5"/>
  <c r="C3" i="5"/>
  <c r="B3" i="3"/>
  <c r="B5" i="3"/>
  <c r="B55" i="3"/>
  <c r="B39" i="3"/>
  <c r="B23" i="3"/>
  <c r="B7" i="3"/>
  <c r="B13" i="4"/>
  <c r="B51" i="3"/>
  <c r="B35" i="3"/>
  <c r="B19" i="3"/>
  <c r="B17" i="1"/>
  <c r="B39" i="1"/>
  <c r="G3" i="2"/>
  <c r="E88" i="2"/>
  <c r="E104" i="2"/>
  <c r="E120" i="2"/>
  <c r="E136" i="2"/>
  <c r="E152" i="2"/>
  <c r="E168" i="2"/>
  <c r="E184" i="2"/>
  <c r="E200" i="2"/>
  <c r="G33" i="3"/>
  <c r="G11" i="4"/>
  <c r="B18" i="1"/>
  <c r="G4" i="3"/>
  <c r="B15" i="3"/>
  <c r="B47" i="3"/>
  <c r="C11" i="3" l="1"/>
  <c r="K11" i="3" s="1"/>
  <c r="A48" i="1"/>
  <c r="H3" i="2"/>
  <c r="C51" i="3"/>
  <c r="C6" i="4"/>
  <c r="K6" i="4" s="1"/>
  <c r="C7" i="4"/>
  <c r="C13" i="4"/>
  <c r="K13" i="4" s="1"/>
  <c r="C10" i="4"/>
  <c r="K10" i="4" s="1"/>
  <c r="C8" i="4"/>
  <c r="K8" i="4" s="1"/>
  <c r="C23" i="3"/>
  <c r="K23" i="3" s="1"/>
  <c r="C8" i="3"/>
  <c r="C40" i="3"/>
  <c r="C9" i="3"/>
  <c r="C41" i="3"/>
  <c r="C6" i="3"/>
  <c r="C38" i="3"/>
  <c r="K38" i="3" s="1"/>
  <c r="C4" i="3"/>
  <c r="K4" i="3" s="1"/>
  <c r="G5" i="5"/>
  <c r="B41" i="1"/>
  <c r="C44" i="3"/>
  <c r="C45" i="3"/>
  <c r="K45" i="3" s="1"/>
  <c r="C42" i="3"/>
  <c r="K42" i="3" s="1"/>
  <c r="E40" i="1"/>
  <c r="F40" i="1" s="1"/>
  <c r="G4" i="5"/>
  <c r="G3" i="5"/>
  <c r="B40" i="1"/>
  <c r="C55" i="3"/>
  <c r="C16" i="3"/>
  <c r="K16" i="3" s="1"/>
  <c r="C48" i="3"/>
  <c r="C17" i="3"/>
  <c r="C49" i="3"/>
  <c r="C14" i="3"/>
  <c r="K14" i="3" s="1"/>
  <c r="C46" i="3"/>
  <c r="K46" i="3" s="1"/>
  <c r="C47" i="3"/>
  <c r="K47" i="3" s="1"/>
  <c r="C19" i="3"/>
  <c r="K19" i="3" s="1"/>
  <c r="C5" i="3"/>
  <c r="K5" i="3" s="1"/>
  <c r="C20" i="3"/>
  <c r="K20" i="3" s="1"/>
  <c r="C52" i="3"/>
  <c r="K52" i="3" s="1"/>
  <c r="C21" i="3"/>
  <c r="K21" i="3" s="1"/>
  <c r="C53" i="3"/>
  <c r="C18" i="3"/>
  <c r="K18" i="3" s="1"/>
  <c r="C50" i="3"/>
  <c r="K50" i="3" s="1"/>
  <c r="C27" i="3"/>
  <c r="K27" i="3" s="1"/>
  <c r="C39" i="3"/>
  <c r="K39" i="3" s="1"/>
  <c r="C11" i="4"/>
  <c r="K11" i="4" s="1"/>
  <c r="C9" i="4"/>
  <c r="C12" i="3"/>
  <c r="K12" i="3" s="1"/>
  <c r="C13" i="3"/>
  <c r="K13" i="3"/>
  <c r="C10" i="3"/>
  <c r="K10" i="3"/>
  <c r="C15" i="3"/>
  <c r="C35" i="3"/>
  <c r="K35" i="3" s="1"/>
  <c r="C3" i="3"/>
  <c r="C24" i="3"/>
  <c r="C56" i="3"/>
  <c r="K56" i="3" s="1"/>
  <c r="C25" i="3"/>
  <c r="K25" i="3" s="1"/>
  <c r="C3" i="4"/>
  <c r="C22" i="3"/>
  <c r="K22" i="3"/>
  <c r="C54" i="3"/>
  <c r="C28" i="3"/>
  <c r="K28" i="3" s="1"/>
  <c r="C29" i="3"/>
  <c r="K29" i="3" s="1"/>
  <c r="C26" i="3"/>
  <c r="C4" i="4"/>
  <c r="K4" i="4" s="1"/>
  <c r="C32" i="3"/>
  <c r="K32" i="3" s="1"/>
  <c r="C33" i="3"/>
  <c r="B9" i="6" s="1"/>
  <c r="C30" i="3"/>
  <c r="K7" i="3"/>
  <c r="C7" i="3"/>
  <c r="C36" i="3"/>
  <c r="K36" i="3" s="1"/>
  <c r="C14" i="4"/>
  <c r="K14" i="4" s="1"/>
  <c r="C37" i="3"/>
  <c r="C15" i="4"/>
  <c r="C34" i="3"/>
  <c r="K34" i="3" s="1"/>
  <c r="C12" i="4"/>
  <c r="K12" i="4" s="1"/>
  <c r="C50" i="1"/>
  <c r="C31" i="3"/>
  <c r="K31" i="3" s="1"/>
  <c r="F4" i="3" l="1"/>
  <c r="F6" i="4"/>
  <c r="F18" i="3"/>
  <c r="K8" i="3"/>
  <c r="B58" i="1"/>
  <c r="K3" i="4"/>
  <c r="F11" i="3"/>
  <c r="I11" i="3" s="1"/>
  <c r="B59" i="1"/>
  <c r="B60" i="1"/>
  <c r="K37" i="3"/>
  <c r="K24" i="3"/>
  <c r="J11" i="4"/>
  <c r="K41" i="3"/>
  <c r="K51" i="3"/>
  <c r="K44" i="3"/>
  <c r="J42" i="3"/>
  <c r="K33" i="3"/>
  <c r="J29" i="3"/>
  <c r="K48" i="3"/>
  <c r="F10" i="4"/>
  <c r="E36" i="1"/>
  <c r="F36" i="1" s="1"/>
  <c r="K54" i="3"/>
  <c r="F25" i="3"/>
  <c r="J12" i="3"/>
  <c r="B7" i="6"/>
  <c r="K40" i="3"/>
  <c r="F34" i="3"/>
  <c r="B8" i="6"/>
  <c r="J50" i="3"/>
  <c r="B6" i="6"/>
  <c r="J21" i="3"/>
  <c r="B52" i="1"/>
  <c r="J12" i="4"/>
  <c r="K30" i="3"/>
  <c r="K3" i="3"/>
  <c r="K9" i="4"/>
  <c r="E35" i="1"/>
  <c r="F35" i="1" s="1"/>
  <c r="F5" i="3"/>
  <c r="C51" i="1"/>
  <c r="F13" i="4"/>
  <c r="B50" i="1"/>
  <c r="D50" i="1" s="1"/>
  <c r="E34" i="1"/>
  <c r="F34" i="1" s="1"/>
  <c r="F27" i="3"/>
  <c r="J14" i="3"/>
  <c r="J8" i="4"/>
  <c r="K26" i="3"/>
  <c r="K7" i="4"/>
  <c r="J15" i="3"/>
  <c r="J9" i="3"/>
  <c r="J26" i="3"/>
  <c r="J7" i="4"/>
  <c r="J49" i="3"/>
  <c r="J17" i="3"/>
  <c r="J8" i="3"/>
  <c r="J51" i="3"/>
  <c r="J15" i="4"/>
  <c r="J48" i="3"/>
  <c r="J6" i="3"/>
  <c r="J3" i="3"/>
  <c r="J13" i="3"/>
  <c r="F13" i="3"/>
  <c r="J53" i="3"/>
  <c r="J55" i="3"/>
  <c r="J41" i="3"/>
  <c r="F43" i="3"/>
  <c r="J43" i="3"/>
  <c r="F5" i="5"/>
  <c r="K49" i="3"/>
  <c r="K9" i="3"/>
  <c r="J37" i="3"/>
  <c r="J45" i="3"/>
  <c r="F45" i="3"/>
  <c r="K15" i="3"/>
  <c r="K6" i="3"/>
  <c r="J24" i="3"/>
  <c r="K15" i="4"/>
  <c r="F4" i="5"/>
  <c r="K53" i="3"/>
  <c r="F19" i="3"/>
  <c r="J19" i="3"/>
  <c r="K17" i="3"/>
  <c r="J44" i="3"/>
  <c r="J22" i="3"/>
  <c r="F22" i="3"/>
  <c r="J40" i="3"/>
  <c r="J4" i="4"/>
  <c r="F4" i="4"/>
  <c r="J3" i="4"/>
  <c r="J54" i="3"/>
  <c r="F5" i="4"/>
  <c r="J5" i="4"/>
  <c r="K55" i="3"/>
  <c r="F7" i="3"/>
  <c r="J7" i="3"/>
  <c r="J30" i="3"/>
  <c r="J10" i="3"/>
  <c r="F10" i="3"/>
  <c r="F3" i="5"/>
  <c r="B51" i="1"/>
  <c r="B53" i="1"/>
  <c r="D53" i="1" s="1"/>
  <c r="C6" i="6" s="1"/>
  <c r="C56" i="1"/>
  <c r="D56" i="1" s="1"/>
  <c r="C9" i="6" s="1"/>
  <c r="B55" i="1"/>
  <c r="D55" i="1" s="1"/>
  <c r="C8" i="6" s="1"/>
  <c r="E38" i="1"/>
  <c r="F38" i="1" s="1"/>
  <c r="E37" i="1"/>
  <c r="F37" i="1" s="1"/>
  <c r="C58" i="1"/>
  <c r="E39" i="1"/>
  <c r="F39" i="1" s="1"/>
  <c r="C52" i="1"/>
  <c r="C59" i="1"/>
  <c r="C60" i="1"/>
  <c r="C57" i="1"/>
  <c r="B54" i="1"/>
  <c r="D54" i="1" s="1"/>
  <c r="C7" i="6" s="1"/>
  <c r="B57" i="1"/>
  <c r="F8" i="3" l="1"/>
  <c r="C26" i="1"/>
  <c r="D26" i="1" s="1"/>
  <c r="J6" i="4"/>
  <c r="J18" i="3"/>
  <c r="J10" i="4"/>
  <c r="J34" i="3"/>
  <c r="F29" i="3"/>
  <c r="H29" i="3" s="1"/>
  <c r="F11" i="4"/>
  <c r="I11" i="4" s="1"/>
  <c r="F48" i="3"/>
  <c r="I48" i="3" s="1"/>
  <c r="F37" i="3"/>
  <c r="I37" i="3" s="1"/>
  <c r="C35" i="1"/>
  <c r="D35" i="1" s="1"/>
  <c r="G35" i="1" s="1"/>
  <c r="C3" i="2"/>
  <c r="C27" i="1"/>
  <c r="D27" i="1" s="1"/>
  <c r="D60" i="1"/>
  <c r="F24" i="3"/>
  <c r="I24" i="3" s="1"/>
  <c r="F40" i="3"/>
  <c r="I40" i="3" s="1"/>
  <c r="F51" i="3"/>
  <c r="H51" i="3" s="1"/>
  <c r="F44" i="3"/>
  <c r="I44" i="3" s="1"/>
  <c r="D58" i="1"/>
  <c r="J13" i="4"/>
  <c r="D59" i="1"/>
  <c r="H11" i="3"/>
  <c r="J4" i="3"/>
  <c r="J25" i="3"/>
  <c r="C34" i="1"/>
  <c r="D34" i="1" s="1"/>
  <c r="G34" i="1" s="1"/>
  <c r="B3" i="2"/>
  <c r="F42" i="3"/>
  <c r="H42" i="3" s="1"/>
  <c r="J11" i="3"/>
  <c r="F3" i="4"/>
  <c r="I3" i="4" s="1"/>
  <c r="F12" i="3"/>
  <c r="H12" i="3" s="1"/>
  <c r="F41" i="3"/>
  <c r="H41" i="3" s="1"/>
  <c r="F33" i="3"/>
  <c r="I33" i="3" s="1"/>
  <c r="J33" i="3"/>
  <c r="F54" i="3"/>
  <c r="I54" i="3" s="1"/>
  <c r="F50" i="3"/>
  <c r="I50" i="3" s="1"/>
  <c r="F21" i="3"/>
  <c r="I21" i="3" s="1"/>
  <c r="C38" i="1"/>
  <c r="D38" i="1" s="1"/>
  <c r="G38" i="1" s="1"/>
  <c r="F8" i="4"/>
  <c r="H8" i="4" s="1"/>
  <c r="J27" i="3"/>
  <c r="F9" i="4"/>
  <c r="I9" i="4" s="1"/>
  <c r="C29" i="1"/>
  <c r="E29" i="1" s="1"/>
  <c r="F14" i="3"/>
  <c r="H14" i="3" s="1"/>
  <c r="J5" i="3"/>
  <c r="D51" i="1"/>
  <c r="F30" i="3"/>
  <c r="I30" i="3" s="1"/>
  <c r="F26" i="3"/>
  <c r="I26" i="3" s="1"/>
  <c r="F12" i="4"/>
  <c r="H12" i="4" s="1"/>
  <c r="D52" i="1"/>
  <c r="C28" i="1"/>
  <c r="E28" i="1" s="1"/>
  <c r="F7" i="4"/>
  <c r="I7" i="4" s="1"/>
  <c r="C37" i="1"/>
  <c r="D37" i="1" s="1"/>
  <c r="G37" i="1" s="1"/>
  <c r="J9" i="4"/>
  <c r="F3" i="3"/>
  <c r="H3" i="3" s="1"/>
  <c r="D57" i="1"/>
  <c r="I4" i="5"/>
  <c r="H4" i="5"/>
  <c r="C40" i="1"/>
  <c r="D40" i="1" s="1"/>
  <c r="G40" i="1" s="1"/>
  <c r="F16" i="3"/>
  <c r="J16" i="3"/>
  <c r="I5" i="5"/>
  <c r="H5" i="5"/>
  <c r="C41" i="1"/>
  <c r="D41" i="1" s="1"/>
  <c r="G41" i="1" s="1"/>
  <c r="I3" i="5"/>
  <c r="H3" i="5"/>
  <c r="F39" i="3"/>
  <c r="J39" i="3"/>
  <c r="F36" i="3"/>
  <c r="J36" i="3"/>
  <c r="I25" i="3"/>
  <c r="H25" i="3"/>
  <c r="J46" i="3"/>
  <c r="F46" i="3"/>
  <c r="H6" i="4"/>
  <c r="I6" i="4"/>
  <c r="I5" i="3"/>
  <c r="H5" i="3"/>
  <c r="H43" i="3"/>
  <c r="I43" i="3"/>
  <c r="F47" i="3"/>
  <c r="J47" i="3"/>
  <c r="I4" i="4"/>
  <c r="H4" i="4"/>
  <c r="I22" i="3"/>
  <c r="H22" i="3"/>
  <c r="H19" i="3"/>
  <c r="I19" i="3"/>
  <c r="F52" i="3"/>
  <c r="J52" i="3"/>
  <c r="F6" i="3"/>
  <c r="F28" i="3"/>
  <c r="J28" i="3"/>
  <c r="H5" i="4"/>
  <c r="I5" i="4"/>
  <c r="I45" i="3"/>
  <c r="H45" i="3"/>
  <c r="F55" i="3"/>
  <c r="F35" i="3"/>
  <c r="J35" i="3"/>
  <c r="H4" i="3"/>
  <c r="I4" i="3"/>
  <c r="F32" i="3"/>
  <c r="J32" i="3"/>
  <c r="I10" i="4"/>
  <c r="H10" i="4"/>
  <c r="F53" i="3"/>
  <c r="F17" i="3"/>
  <c r="F9" i="3"/>
  <c r="H7" i="3"/>
  <c r="I7" i="3"/>
  <c r="F56" i="3"/>
  <c r="J56" i="3"/>
  <c r="H13" i="4"/>
  <c r="I13" i="4"/>
  <c r="H27" i="3"/>
  <c r="I27" i="3"/>
  <c r="I18" i="3"/>
  <c r="H18" i="3"/>
  <c r="I10" i="3"/>
  <c r="H10" i="3"/>
  <c r="F20" i="3"/>
  <c r="J20" i="3"/>
  <c r="F23" i="3"/>
  <c r="J23" i="3"/>
  <c r="F14" i="4"/>
  <c r="J14" i="4"/>
  <c r="J38" i="3"/>
  <c r="F38" i="3"/>
  <c r="I34" i="3"/>
  <c r="H34" i="3"/>
  <c r="I13" i="3"/>
  <c r="H13" i="3"/>
  <c r="F15" i="4"/>
  <c r="F49" i="3"/>
  <c r="F31" i="3"/>
  <c r="J31" i="3"/>
  <c r="F15" i="3"/>
  <c r="H8" i="3" l="1"/>
  <c r="I8" i="3"/>
  <c r="E26" i="1"/>
  <c r="I29" i="3"/>
  <c r="H11" i="4"/>
  <c r="H48" i="3"/>
  <c r="H24" i="3"/>
  <c r="H44" i="3"/>
  <c r="I41" i="3"/>
  <c r="E27" i="1"/>
  <c r="H37" i="3"/>
  <c r="D3" i="2"/>
  <c r="H40" i="3"/>
  <c r="I42" i="3"/>
  <c r="I12" i="3"/>
  <c r="I51" i="3"/>
  <c r="H33" i="3"/>
  <c r="E3" i="2"/>
  <c r="H3" i="4"/>
  <c r="H54" i="3"/>
  <c r="C36" i="1"/>
  <c r="D36" i="1" s="1"/>
  <c r="G36" i="1" s="1"/>
  <c r="H50" i="3"/>
  <c r="H21" i="3"/>
  <c r="I8" i="4"/>
  <c r="D29" i="1"/>
  <c r="H9" i="4"/>
  <c r="H26" i="3"/>
  <c r="C39" i="1"/>
  <c r="D39" i="1" s="1"/>
  <c r="G39" i="1" s="1"/>
  <c r="I14" i="3"/>
  <c r="I12" i="4"/>
  <c r="H30" i="3"/>
  <c r="H7" i="4"/>
  <c r="I3" i="3"/>
  <c r="D28" i="1"/>
  <c r="I38" i="3"/>
  <c r="H38" i="3"/>
  <c r="I17" i="3"/>
  <c r="H17" i="3"/>
  <c r="I53" i="3"/>
  <c r="H53" i="3"/>
  <c r="H28" i="3"/>
  <c r="I28" i="3"/>
  <c r="H39" i="3"/>
  <c r="I39" i="3"/>
  <c r="H23" i="3"/>
  <c r="I23" i="3"/>
  <c r="I9" i="3"/>
  <c r="H9" i="3"/>
  <c r="I46" i="3"/>
  <c r="H46" i="3"/>
  <c r="H31" i="3"/>
  <c r="I31" i="3"/>
  <c r="H35" i="3"/>
  <c r="I35" i="3"/>
  <c r="I20" i="3"/>
  <c r="H20" i="3"/>
  <c r="I6" i="3"/>
  <c r="H6" i="3"/>
  <c r="I49" i="3"/>
  <c r="H49" i="3"/>
  <c r="I15" i="4"/>
  <c r="H15" i="4"/>
  <c r="H47" i="3"/>
  <c r="I47" i="3"/>
  <c r="I16" i="3"/>
  <c r="H16" i="3"/>
  <c r="I56" i="3"/>
  <c r="H56" i="3"/>
  <c r="H36" i="3"/>
  <c r="I36" i="3"/>
  <c r="H15" i="3"/>
  <c r="I15" i="3"/>
  <c r="I14" i="4"/>
  <c r="H14" i="4"/>
  <c r="I32" i="3"/>
  <c r="H32" i="3"/>
  <c r="H55" i="3"/>
  <c r="I55" i="3"/>
  <c r="I52" i="3"/>
  <c r="H52" i="3"/>
  <c r="H39" i="1" l="1"/>
  <c r="H40" i="1"/>
  <c r="H34" i="1"/>
  <c r="H35" i="1"/>
  <c r="H41" i="1"/>
  <c r="H38" i="1"/>
  <c r="H36" i="1"/>
  <c r="H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6" authorId="0" shapeId="0" xr:uid="{00000000-0006-0000-0100-000001000000}">
      <text>
        <r>
          <rPr>
            <sz val="10"/>
            <rFont val="Noto Sans CJK SC"/>
            <family val="2"/>
          </rPr>
          <t>日にちの数字だけ入力してください（例：</t>
        </r>
        <r>
          <rPr>
            <sz val="10"/>
            <rFont val="Arial"/>
            <family val="2"/>
          </rPr>
          <t>16</t>
        </r>
        <r>
          <rPr>
            <sz val="10"/>
            <rFont val="Noto Sans CJK SC"/>
            <family val="2"/>
          </rPr>
          <t>日なら</t>
        </r>
        <r>
          <rPr>
            <sz val="10"/>
            <rFont val="Arial"/>
            <family val="2"/>
          </rPr>
          <t>16</t>
        </r>
        <r>
          <rPr>
            <sz val="10"/>
            <rFont val="Noto Sans CJK SC"/>
            <family val="2"/>
          </rPr>
          <t>）。
月をまたぐ時（例：</t>
        </r>
        <r>
          <rPr>
            <sz val="10"/>
            <rFont val="Arial"/>
            <family val="2"/>
          </rPr>
          <t>7/31</t>
        </r>
        <r>
          <rPr>
            <sz val="10"/>
            <rFont val="Noto Sans CJK SC"/>
            <family val="2"/>
          </rPr>
          <t>の次に</t>
        </r>
        <r>
          <rPr>
            <sz val="10"/>
            <rFont val="Arial"/>
            <family val="2"/>
          </rPr>
          <t>8/1</t>
        </r>
        <r>
          <rPr>
            <sz val="10"/>
            <rFont val="Noto Sans CJK SC"/>
            <family val="2"/>
          </rPr>
          <t>を入力する時）は、</t>
        </r>
        <r>
          <rPr>
            <sz val="10"/>
            <rFont val="Arial"/>
            <family val="2"/>
          </rPr>
          <t>31</t>
        </r>
        <r>
          <rPr>
            <sz val="10"/>
            <rFont val="Noto Sans CJK SC"/>
            <family val="2"/>
          </rPr>
          <t>より小さい数字（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など）を入れれば自動で翌月と判断します。
空欄のままなら、上の行と同じ日付になります。
最初の行（この行）だけは、隣の</t>
        </r>
        <r>
          <rPr>
            <sz val="10"/>
            <rFont val="Arial"/>
            <family val="2"/>
          </rPr>
          <t>B</t>
        </r>
        <r>
          <rPr>
            <sz val="10"/>
            <rFont val="Noto Sans CJK SC"/>
            <family val="2"/>
          </rPr>
          <t>列（日付）に完全な日付を直接入力してください。</t>
        </r>
      </text>
    </comment>
    <comment ref="B6" authorId="0" shapeId="0" xr:uid="{00000000-0006-0000-0100-000002000000}">
      <text>
        <r>
          <rPr>
            <sz val="10"/>
            <rFont val="Noto Sans CJK SC"/>
            <family val="2"/>
          </rPr>
          <t>最初の行はここに完全な日付（例：</t>
        </r>
        <r>
          <rPr>
            <sz val="10"/>
            <rFont val="Arial"/>
            <family val="2"/>
          </rPr>
          <t>2026/7/1</t>
        </r>
        <r>
          <rPr>
            <sz val="10"/>
            <rFont val="Noto Sans CJK SC"/>
            <family val="2"/>
          </rPr>
          <t>）を入力してください。</t>
        </r>
        <r>
          <rPr>
            <sz val="10"/>
            <rFont val="Arial"/>
            <family val="2"/>
          </rPr>
          <t>2</t>
        </r>
        <r>
          <rPr>
            <sz val="10"/>
            <rFont val="Noto Sans CJK SC"/>
            <family val="2"/>
          </rPr>
          <t>行目以降は</t>
        </r>
        <r>
          <rPr>
            <sz val="10"/>
            <rFont val="Arial"/>
            <family val="2"/>
          </rPr>
          <t>A</t>
        </r>
        <r>
          <rPr>
            <sz val="10"/>
            <rFont val="Noto Sans CJK SC"/>
            <family val="2"/>
          </rPr>
          <t>列に日にちだけ入れれば</t>
        </r>
        <r>
          <rPr>
            <sz val="10"/>
            <rFont val="Arial"/>
            <family val="2"/>
          </rPr>
          <t>OK</t>
        </r>
        <r>
          <rPr>
            <sz val="10"/>
            <rFont val="Noto Sans CJK SC"/>
            <family val="2"/>
          </rPr>
          <t>です。
日付を間違えた時は、このセルに直接正しい日付を上書きすれば</t>
        </r>
        <r>
          <rPr>
            <sz val="10"/>
            <rFont val="Arial"/>
            <family val="2"/>
          </rPr>
          <t>OK</t>
        </r>
        <r>
          <rPr>
            <sz val="10"/>
            <rFont val="Noto Sans CJK SC"/>
            <family val="2"/>
          </rPr>
          <t>です。</t>
        </r>
      </text>
    </comment>
    <comment ref="P6" authorId="0" shapeId="0" xr:uid="{00000000-0006-0000-0100-000003000000}">
      <text>
        <r>
          <rPr>
            <sz val="10"/>
            <rFont val="Noto Sans CJK SC"/>
            <family val="2"/>
          </rPr>
          <t>件数（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〜</t>
        </r>
        <r>
          <rPr>
            <sz val="10"/>
            <rFont val="Arial"/>
            <family val="2"/>
          </rPr>
          <t>4</t>
        </r>
        <r>
          <rPr>
            <sz val="10"/>
            <rFont val="Noto Sans CJK SC"/>
            <family val="2"/>
          </rPr>
          <t>）を入力。金額は小原計・前園計に自動反映されます。</t>
        </r>
      </text>
    </comment>
    <comment ref="Q6" authorId="0" shapeId="0" xr:uid="{00000000-0006-0000-0100-000004000000}">
      <text>
        <r>
          <rPr>
            <sz val="10"/>
            <rFont val="Arial"/>
            <family val="2"/>
          </rPr>
          <t xml:space="preserve">100 </t>
        </r>
        <r>
          <rPr>
            <sz val="10"/>
            <rFont val="Noto Sans CJK SC"/>
            <family val="2"/>
          </rPr>
          <t xml:space="preserve">または </t>
        </r>
        <r>
          <rPr>
            <sz val="10"/>
            <rFont val="Arial"/>
            <family val="2"/>
          </rPr>
          <t xml:space="preserve">200 </t>
        </r>
        <r>
          <rPr>
            <sz val="10"/>
            <rFont val="Noto Sans CJK SC"/>
            <family val="2"/>
          </rPr>
          <t>を入力。</t>
        </r>
        <r>
          <rPr>
            <sz val="10"/>
            <rFont val="Arial"/>
            <family val="2"/>
          </rPr>
          <t>200</t>
        </r>
        <r>
          <rPr>
            <sz val="10"/>
            <rFont val="Noto Sans CJK SC"/>
            <family val="2"/>
          </rPr>
          <t>は単価判明済み、</t>
        </r>
        <r>
          <rPr>
            <sz val="10"/>
            <rFont val="Arial"/>
            <family val="2"/>
          </rPr>
          <t>100</t>
        </r>
        <r>
          <rPr>
            <sz val="10"/>
            <rFont val="Noto Sans CJK SC"/>
            <family val="2"/>
          </rPr>
          <t>は単価未定（サマリーで設定可）。</t>
        </r>
      </text>
    </comment>
    <comment ref="R6" authorId="0" shapeId="0" xr:uid="{00000000-0006-0000-0100-000005000000}">
      <text>
        <r>
          <rPr>
            <sz val="10"/>
            <rFont val="Noto Sans CJK SC"/>
            <family val="2"/>
          </rPr>
          <t>入会件数を入力（通常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）。</t>
        </r>
      </text>
    </comment>
  </commentList>
</comments>
</file>

<file path=xl/sharedStrings.xml><?xml version="1.0" encoding="utf-8"?>
<sst xmlns="http://schemas.openxmlformats.org/spreadsheetml/2006/main" count="158" uniqueCount="108">
  <si>
    <t>売上ダッシュボード（週・月・半期・年間）</t>
  </si>
  <si>
    <t>■ 入力項目（黄色セルのみ編集）</t>
  </si>
  <si>
    <t>集計対象年</t>
  </si>
  <si>
    <t>年度開始月</t>
  </si>
  <si>
    <t>本日の日付（自動）</t>
  </si>
  <si>
    <r>
      <rPr>
        <sz val="11"/>
        <rFont val="Noto Sans CJK SC"/>
        <family val="2"/>
      </rPr>
      <t>個人 週予算（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</si>
  <si>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Noto Sans CJK SC"/>
        <family val="2"/>
      </rPr>
      <t>個人 月予算（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人あたり）</t>
    </r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</si>
  <si>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 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</si>
  <si>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r>
      <rPr>
        <sz val="11"/>
        <rFont val="Arial"/>
        <family val="2"/>
      </rPr>
      <t xml:space="preserve">JONE200 </t>
    </r>
    <r>
      <rPr>
        <sz val="11"/>
        <rFont val="Noto Sans CJK SC"/>
        <family val="2"/>
      </rPr>
      <t>単価</t>
    </r>
  </si>
  <si>
    <r>
      <rPr>
        <sz val="11"/>
        <rFont val="Arial"/>
        <family val="2"/>
      </rPr>
      <t xml:space="preserve">JONE100 </t>
    </r>
    <r>
      <rPr>
        <sz val="11"/>
        <rFont val="Noto Sans CJK SC"/>
        <family val="2"/>
      </rPr>
      <t>単価（未定の場合は</t>
    </r>
    <r>
      <rPr>
        <sz val="11"/>
        <rFont val="Arial"/>
        <family val="2"/>
      </rPr>
      <t>0</t>
    </r>
    <r>
      <rPr>
        <sz val="11"/>
        <rFont val="Noto Sans CJK SC"/>
        <family val="2"/>
      </rPr>
      <t>）</t>
    </r>
  </si>
  <si>
    <r>
      <rPr>
        <sz val="11"/>
        <rFont val="Arial"/>
        <family val="2"/>
      </rPr>
      <t xml:space="preserve">YTS </t>
    </r>
    <r>
      <rPr>
        <sz val="11"/>
        <rFont val="Noto Sans CJK SC"/>
        <family val="2"/>
      </rPr>
      <t>単価（</t>
    </r>
    <r>
      <rPr>
        <sz val="11"/>
        <rFont val="Arial"/>
        <family val="2"/>
      </rPr>
      <t>1</t>
    </r>
    <r>
      <rPr>
        <sz val="11"/>
        <rFont val="Noto Sans CJK SC"/>
        <family val="2"/>
      </rPr>
      <t>件）</t>
    </r>
  </si>
  <si>
    <t>年度開始日</t>
  </si>
  <si>
    <r>
      <rPr>
        <sz val="11"/>
        <rFont val="Noto Sans CJK SC"/>
        <family val="2"/>
      </rPr>
      <t>チーム週予算（個人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</si>
  <si>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チーム月予算（個人</t>
    </r>
    <r>
      <rPr>
        <sz val="11"/>
        <rFont val="Arial"/>
        <family val="2"/>
      </rPr>
      <t>×2</t>
    </r>
    <r>
      <rPr>
        <sz val="11"/>
        <rFont val="Noto Sans CJK SC"/>
        <family val="2"/>
      </rPr>
      <t>）</t>
    </r>
  </si>
  <si>
    <r>
      <rPr>
        <sz val="11"/>
        <rFont val="Noto Sans CJK SC"/>
        <family val="2"/>
      </rPr>
      <t>半期予算（月予算</t>
    </r>
    <r>
      <rPr>
        <sz val="11"/>
        <rFont val="Arial"/>
        <family val="2"/>
      </rPr>
      <t>×6</t>
    </r>
    <r>
      <rPr>
        <sz val="11"/>
        <rFont val="Noto Sans CJK SC"/>
        <family val="2"/>
      </rPr>
      <t>・参考）</t>
    </r>
  </si>
  <si>
    <r>
      <rPr>
        <sz val="11"/>
        <rFont val="Noto Sans CJK SC"/>
        <family val="2"/>
      </rPr>
      <t>年間予算（月予算</t>
    </r>
    <r>
      <rPr>
        <sz val="11"/>
        <rFont val="Arial"/>
        <family val="2"/>
      </rPr>
      <t>×12</t>
    </r>
    <r>
      <rPr>
        <sz val="11"/>
        <rFont val="Noto Sans CJK SC"/>
        <family val="2"/>
      </rPr>
      <t>・参考）</t>
    </r>
  </si>
  <si>
    <t>現在の週番号</t>
  </si>
  <si>
    <t>現在の月番号</t>
  </si>
  <si>
    <t>現在の半期区分</t>
  </si>
  <si>
    <t>■ スタッフ別進捗（今週・今月）</t>
  </si>
  <si>
    <t>対象</t>
  </si>
  <si>
    <t>予算</t>
  </si>
  <si>
    <t>実績</t>
  </si>
  <si>
    <t>達成率</t>
  </si>
  <si>
    <t>残り必要額</t>
  </si>
  <si>
    <t>小原（今週）</t>
  </si>
  <si>
    <t>前園（今週）</t>
  </si>
  <si>
    <t>小原（今月）</t>
  </si>
  <si>
    <t>前園（今月）</t>
  </si>
  <si>
    <r>
      <rPr>
        <b/>
        <sz val="11"/>
        <rFont val="Noto Sans CJK SC"/>
        <family val="2"/>
      </rPr>
      <t>■ 優先度ダッシュボード（</t>
    </r>
    <r>
      <rPr>
        <b/>
        <sz val="11"/>
        <rFont val="Arial"/>
        <family val="2"/>
      </rPr>
      <t>1</t>
    </r>
    <r>
      <rPr>
        <b/>
        <sz val="11"/>
        <rFont val="Noto Sans CJK SC"/>
        <family val="2"/>
      </rPr>
      <t>日あたり必要額が大きいほど優先）</t>
    </r>
  </si>
  <si>
    <t>期限</t>
  </si>
  <si>
    <t>残り日数</t>
  </si>
  <si>
    <r>
      <rPr>
        <b/>
        <sz val="10"/>
        <color rgb="FFFFFFFF"/>
        <rFont val="Arial"/>
        <family val="2"/>
      </rPr>
      <t>1</t>
    </r>
    <r>
      <rPr>
        <b/>
        <sz val="10"/>
        <color rgb="FFFFFFFF"/>
        <rFont val="Noto Sans CJK SC"/>
        <family val="2"/>
      </rPr>
      <t>日あたり必要額</t>
    </r>
  </si>
  <si>
    <t>優先度</t>
  </si>
  <si>
    <t>チーム（今週）</t>
  </si>
  <si>
    <t>チーム（今月）</t>
  </si>
  <si>
    <t>チーム（今半期）</t>
  </si>
  <si>
    <t>チーム（今年）</t>
  </si>
  <si>
    <r>
      <rPr>
        <i/>
        <sz val="9"/>
        <color rgb="FF808080"/>
        <rFont val="Noto Sans CJK SC"/>
        <family val="2"/>
      </rPr>
      <t>※「優先度」の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位は、残り必要額を残り日数で割った『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日あたり必要額』が最も大きい項目です。そこから手をつけるのが最も効率的です。</t>
    </r>
  </si>
  <si>
    <r>
      <rPr>
        <i/>
        <sz val="9"/>
        <color rgb="FF808080"/>
        <rFont val="Noto Sans CJK SC"/>
        <family val="2"/>
      </rPr>
      <t>※ 個人の月予算は</t>
    </r>
    <r>
      <rPr>
        <i/>
        <sz val="9"/>
        <color rgb="FF808080"/>
        <rFont val="Arial"/>
        <family val="2"/>
      </rPr>
      <t>1</t>
    </r>
    <r>
      <rPr>
        <i/>
        <sz val="9"/>
        <color rgb="FF808080"/>
        <rFont val="Noto Sans CJK SC"/>
        <family val="2"/>
      </rPr>
      <t>人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万円、チームは</t>
    </r>
    <r>
      <rPr>
        <i/>
        <sz val="9"/>
        <color rgb="FF808080"/>
        <rFont val="Arial"/>
        <family val="2"/>
      </rPr>
      <t>200</t>
    </r>
    <r>
      <rPr>
        <i/>
        <sz val="9"/>
        <color rgb="FF808080"/>
        <rFont val="Noto Sans CJK SC"/>
        <family val="2"/>
      </rPr>
      <t>万円（個人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）です。半期・年間はチーム月予算からの参考換算値です。</t>
    </r>
  </si>
  <si>
    <t>※ 週は月曜始まり。月をまたぐ週も前後月の実績を含めて集計します。</t>
  </si>
  <si>
    <t>■ 今月 カテゴリー別内訳（実績のみ）</t>
  </si>
  <si>
    <t>カテゴリー</t>
  </si>
  <si>
    <t>小原</t>
  </si>
  <si>
    <t>前園</t>
  </si>
  <si>
    <t>合計</t>
  </si>
  <si>
    <t>松山本店</t>
  </si>
  <si>
    <t>持込</t>
  </si>
  <si>
    <t>RYTS</t>
  </si>
  <si>
    <t>大洲店</t>
  </si>
  <si>
    <t>―</t>
  </si>
  <si>
    <t>西予店</t>
  </si>
  <si>
    <t>宇和島店</t>
  </si>
  <si>
    <t>新居浜店</t>
  </si>
  <si>
    <t>サテライト</t>
  </si>
  <si>
    <r>
      <rPr>
        <sz val="11"/>
        <rFont val="Arial"/>
        <family val="2"/>
      </rPr>
      <t>JET</t>
    </r>
    <r>
      <rPr>
        <sz val="11"/>
        <rFont val="Noto Sans CJK SC"/>
        <family val="2"/>
      </rPr>
      <t>業務</t>
    </r>
  </si>
  <si>
    <t>JONE</t>
  </si>
  <si>
    <t>YTS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</si>
  <si>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コードから単価換算した金額です。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は</t>
    </r>
    <r>
      <rPr>
        <i/>
        <sz val="9"/>
        <color rgb="FF808080"/>
        <rFont val="Arial"/>
        <family val="2"/>
      </rPr>
      <t>100</t>
    </r>
    <r>
      <rPr>
        <i/>
        <sz val="9"/>
        <color rgb="FF808080"/>
        <rFont val="Noto Sans CJK SC"/>
        <family val="2"/>
      </rPr>
      <t>円単価が未定の場合</t>
    </r>
    <r>
      <rPr>
        <i/>
        <sz val="9"/>
        <color rgb="FF808080"/>
        <rFont val="Arial"/>
        <family val="2"/>
      </rPr>
      <t>0</t>
    </r>
    <r>
      <rPr>
        <i/>
        <sz val="9"/>
        <color rgb="FF808080"/>
        <rFont val="Noto Sans CJK SC"/>
        <family val="2"/>
      </rPr>
      <t>円換算です。</t>
    </r>
  </si>
  <si>
    <r>
      <rPr>
        <b/>
        <sz val="16"/>
        <color rgb="FFFFFFFF"/>
        <rFont val="Noto Sans CJK SC"/>
        <family val="2"/>
      </rPr>
      <t>受注ログ（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行＝</t>
    </r>
    <r>
      <rPr>
        <b/>
        <sz val="16"/>
        <color rgb="FFFFFFFF"/>
        <rFont val="Arial"/>
        <family val="2"/>
      </rPr>
      <t>1</t>
    </r>
    <r>
      <rPr>
        <b/>
        <sz val="16"/>
        <color rgb="FFFFFFFF"/>
        <rFont val="Noto Sans CJK SC"/>
        <family val="2"/>
      </rPr>
      <t>受注。</t>
    </r>
    <r>
      <rPr>
        <b/>
        <sz val="16"/>
        <color rgb="FFFFFFFF"/>
        <rFont val="Arial"/>
        <family val="2"/>
      </rPr>
      <t>A</t>
    </r>
    <r>
      <rPr>
        <b/>
        <sz val="16"/>
        <color rgb="FFFFFFFF"/>
        <rFont val="Noto Sans CJK SC"/>
        <family val="2"/>
      </rPr>
      <t>に日にちだけ入力→日付は自動。</t>
    </r>
    <r>
      <rPr>
        <b/>
        <sz val="16"/>
        <color rgb="FFFFFFFF"/>
        <rFont val="Arial"/>
        <family val="2"/>
      </rPr>
      <t>C</t>
    </r>
    <r>
      <rPr>
        <b/>
        <sz val="16"/>
        <color rgb="FFFFFFFF"/>
        <rFont val="Noto Sans CJK SC"/>
        <family val="2"/>
      </rPr>
      <t>〜</t>
    </r>
    <r>
      <rPr>
        <b/>
        <sz val="16"/>
        <color rgb="FFFFFFFF"/>
        <rFont val="Arial"/>
        <family val="2"/>
      </rPr>
      <t>H</t>
    </r>
    <r>
      <rPr>
        <b/>
        <sz val="16"/>
        <color rgb="FFFFFFFF"/>
        <rFont val="Noto Sans CJK SC"/>
        <family val="2"/>
      </rPr>
      <t>で日別・本日の状況がすぐ分かります）</t>
    </r>
  </si>
  <si>
    <t>小原週残</t>
  </si>
  <si>
    <t>前園週残</t>
  </si>
  <si>
    <t>チーム週実績</t>
  </si>
  <si>
    <t>チーム週残</t>
  </si>
  <si>
    <t>小原本日</t>
  </si>
  <si>
    <t>前園本日</t>
  </si>
  <si>
    <t>チーム本日</t>
  </si>
  <si>
    <t>日</t>
  </si>
  <si>
    <t>日付</t>
  </si>
  <si>
    <t>小原計</t>
  </si>
  <si>
    <t>前園計</t>
  </si>
  <si>
    <r>
      <rPr>
        <b/>
        <sz val="10"/>
        <color rgb="FFFFFFFF"/>
        <rFont val="Arial"/>
        <family val="2"/>
      </rPr>
      <t>JET</t>
    </r>
    <r>
      <rPr>
        <b/>
        <sz val="10"/>
        <color rgb="FFFFFFFF"/>
        <rFont val="Noto Sans CJK SC"/>
        <family val="2"/>
      </rPr>
      <t xml:space="preserve">業務
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</si>
  <si>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t>JONE
(100/200)</t>
  </si>
  <si>
    <r>
      <rPr>
        <b/>
        <sz val="10"/>
        <color rgb="FFFFFFFF"/>
        <rFont val="Arial"/>
        <family val="2"/>
      </rPr>
      <t>YTS
(</t>
    </r>
    <r>
      <rPr>
        <b/>
        <sz val="10"/>
        <color rgb="FFFFFFFF"/>
        <rFont val="Noto Sans CJK SC"/>
        <family val="2"/>
      </rPr>
      <t>件数</t>
    </r>
    <r>
      <rPr>
        <b/>
        <sz val="10"/>
        <color rgb="FFFFFFFF"/>
        <rFont val="Arial"/>
        <family val="2"/>
      </rPr>
      <t>)</t>
    </r>
  </si>
  <si>
    <r>
      <rPr>
        <i/>
        <sz val="9"/>
        <color rgb="FF808080"/>
        <rFont val="Arial"/>
        <family val="2"/>
      </rPr>
      <t>※ A</t>
    </r>
    <r>
      <rPr>
        <i/>
        <sz val="9"/>
        <color rgb="FF808080"/>
        <rFont val="Noto Sans CJK SC"/>
        <family val="2"/>
      </rPr>
      <t>列（日にちだけ）に数字を入れると、</t>
    </r>
    <r>
      <rPr>
        <i/>
        <sz val="9"/>
        <color rgb="FF808080"/>
        <rFont val="Arial"/>
        <family val="2"/>
      </rPr>
      <t>B</t>
    </r>
    <r>
      <rPr>
        <i/>
        <sz val="9"/>
        <color rgb="FF808080"/>
        <rFont val="Noto Sans CJK SC"/>
        <family val="2"/>
      </rPr>
      <t>列の日付が自動計算されます。空欄なら上の行と同じ日付のままです。</t>
    </r>
  </si>
  <si>
    <r>
      <rPr>
        <i/>
        <sz val="9"/>
        <color rgb="FF808080"/>
        <rFont val="Arial"/>
        <family val="2"/>
      </rPr>
      <t>※ C</t>
    </r>
    <r>
      <rPr>
        <i/>
        <sz val="9"/>
        <color rgb="FF808080"/>
        <rFont val="Noto Sans CJK SC"/>
        <family val="2"/>
      </rPr>
      <t>列（小原計）・</t>
    </r>
    <r>
      <rPr>
        <i/>
        <sz val="9"/>
        <color rgb="FF808080"/>
        <rFont val="Arial"/>
        <family val="2"/>
      </rPr>
      <t>D</t>
    </r>
    <r>
      <rPr>
        <i/>
        <sz val="9"/>
        <color rgb="FF808080"/>
        <rFont val="Noto Sans CJK SC"/>
        <family val="2"/>
      </rPr>
      <t>列（前園計）・</t>
    </r>
    <r>
      <rPr>
        <i/>
        <sz val="9"/>
        <color rgb="FF808080"/>
        <rFont val="Arial"/>
        <family val="2"/>
      </rPr>
      <t>E</t>
    </r>
    <r>
      <rPr>
        <i/>
        <sz val="9"/>
        <color rgb="FF808080"/>
        <rFont val="Noto Sans CJK SC"/>
        <family val="2"/>
      </rPr>
      <t>列（合計）を見れば、右にスクロールしなくてもその日誰の売上があったか分かります。</t>
    </r>
  </si>
  <si>
    <t>※ 実際に入力されたセルには自動で緑色が付きます。</t>
  </si>
  <si>
    <r>
      <rPr>
        <i/>
        <sz val="9"/>
        <color rgb="FF808080"/>
        <rFont val="Noto Sans CJK SC"/>
        <family val="2"/>
      </rPr>
      <t>※ 松山本店・持込・</t>
    </r>
    <r>
      <rPr>
        <i/>
        <sz val="9"/>
        <color rgb="FF808080"/>
        <rFont val="Arial"/>
        <family val="2"/>
      </rPr>
      <t>RYTS</t>
    </r>
    <r>
      <rPr>
        <i/>
        <sz val="9"/>
        <color rgb="FF808080"/>
        <rFont val="Noto Sans CJK SC"/>
        <family val="2"/>
      </rPr>
      <t>の</t>
    </r>
    <r>
      <rPr>
        <i/>
        <sz val="9"/>
        <color rgb="FF808080"/>
        <rFont val="Arial"/>
        <family val="2"/>
      </rPr>
      <t>3</t>
    </r>
    <r>
      <rPr>
        <i/>
        <sz val="9"/>
        <color rgb="FF808080"/>
        <rFont val="Noto Sans CJK SC"/>
        <family val="2"/>
      </rPr>
      <t>列合計が「松山本店の売上」になります。</t>
    </r>
  </si>
  <si>
    <t>※ 小原は新居浜店、前園は大洲店・西予店・宇和島店の列がありません（担当外のため）。</t>
  </si>
  <si>
    <r>
      <rPr>
        <i/>
        <sz val="9"/>
        <color rgb="FF808080"/>
        <rFont val="Arial"/>
        <family val="2"/>
      </rPr>
      <t>※ JET</t>
    </r>
    <r>
      <rPr>
        <i/>
        <sz val="9"/>
        <color rgb="FF808080"/>
        <rFont val="Noto Sans CJK SC"/>
        <family val="2"/>
      </rPr>
      <t>業務・</t>
    </r>
    <r>
      <rPr>
        <i/>
        <sz val="9"/>
        <color rgb="FF808080"/>
        <rFont val="Arial"/>
        <family val="2"/>
      </rPr>
      <t>JONE</t>
    </r>
    <r>
      <rPr>
        <i/>
        <sz val="9"/>
        <color rgb="FF808080"/>
        <rFont val="Noto Sans CJK SC"/>
        <family val="2"/>
      </rPr>
      <t>・</t>
    </r>
    <r>
      <rPr>
        <i/>
        <sz val="9"/>
        <color rgb="FF808080"/>
        <rFont val="Arial"/>
        <family val="2"/>
      </rPr>
      <t>YTS</t>
    </r>
    <r>
      <rPr>
        <i/>
        <sz val="9"/>
        <color rgb="FF808080"/>
        <rFont val="Noto Sans CJK SC"/>
        <family val="2"/>
      </rPr>
      <t>は件数やコードを入力すると、小原計</t>
    </r>
    <r>
      <rPr>
        <i/>
        <sz val="9"/>
        <color rgb="FF808080"/>
        <rFont val="Arial"/>
        <family val="2"/>
      </rPr>
      <t>/</t>
    </r>
    <r>
      <rPr>
        <i/>
        <sz val="9"/>
        <color rgb="FF808080"/>
        <rFont val="Noto Sans CJK SC"/>
        <family val="2"/>
      </rPr>
      <t>前園計に自動で金額換算されます（単価はサマリーシートで変更可）。</t>
    </r>
  </si>
  <si>
    <t>週次集計（月曜始まり・月またぎ含む）</t>
  </si>
  <si>
    <t>週番号</t>
  </si>
  <si>
    <t>開始日</t>
  </si>
  <si>
    <t>終了日</t>
  </si>
  <si>
    <t>小原実績</t>
  </si>
  <si>
    <t>前園実績</t>
  </si>
  <si>
    <t>チーム計</t>
  </si>
  <si>
    <t>チーム週予算</t>
  </si>
  <si>
    <t>差異</t>
  </si>
  <si>
    <t>小原達成率</t>
  </si>
  <si>
    <t>前園達成率</t>
  </si>
  <si>
    <r>
      <rPr>
        <i/>
        <sz val="9"/>
        <color rgb="FF808080"/>
        <rFont val="Noto Sans CJK SC"/>
        <family val="2"/>
      </rPr>
      <t>※ チーム週予算は個人週予算</t>
    </r>
    <r>
      <rPr>
        <i/>
        <sz val="9"/>
        <color rgb="FF808080"/>
        <rFont val="Arial"/>
        <family val="2"/>
      </rPr>
      <t>×2</t>
    </r>
    <r>
      <rPr>
        <i/>
        <sz val="9"/>
        <color rgb="FF808080"/>
        <rFont val="Noto Sans CJK SC"/>
        <family val="2"/>
      </rPr>
      <t>です（サマリーの</t>
    </r>
    <r>
      <rPr>
        <i/>
        <sz val="9"/>
        <color rgb="FF808080"/>
        <rFont val="Arial"/>
        <family val="2"/>
      </rPr>
      <t>B15</t>
    </r>
    <r>
      <rPr>
        <i/>
        <sz val="9"/>
        <color rgb="FF808080"/>
        <rFont val="Noto Sans CJK SC"/>
        <family val="2"/>
      </rPr>
      <t>、</t>
    </r>
    <r>
      <rPr>
        <i/>
        <sz val="9"/>
        <color rgb="FF808080"/>
        <rFont val="Arial"/>
        <family val="2"/>
      </rPr>
      <t>B7</t>
    </r>
    <r>
      <rPr>
        <i/>
        <sz val="9"/>
        <color rgb="FF808080"/>
        <rFont val="Noto Sans CJK SC"/>
        <family val="2"/>
      </rPr>
      <t>を書き換えれば連動します）。</t>
    </r>
  </si>
  <si>
    <r>
      <rPr>
        <b/>
        <sz val="16"/>
        <color rgb="FFFFFFFF"/>
        <rFont val="Noto Sans CJK SC"/>
        <family val="2"/>
      </rPr>
      <t>月次集計（個人月予算</t>
    </r>
    <r>
      <rPr>
        <b/>
        <sz val="16"/>
        <color rgb="FFFFFFFF"/>
        <rFont val="Arial"/>
        <family val="2"/>
      </rPr>
      <t>100</t>
    </r>
    <r>
      <rPr>
        <b/>
        <sz val="16"/>
        <color rgb="FFFFFFFF"/>
        <rFont val="Noto Sans CJK SC"/>
        <family val="2"/>
      </rPr>
      <t>万円</t>
    </r>
    <r>
      <rPr>
        <b/>
        <sz val="16"/>
        <color rgb="FFFFFFFF"/>
        <rFont val="Arial"/>
        <family val="2"/>
      </rPr>
      <t>×2</t>
    </r>
    <r>
      <rPr>
        <b/>
        <sz val="16"/>
        <color rgb="FFFFFFFF"/>
        <rFont val="Noto Sans CJK SC"/>
        <family val="2"/>
      </rPr>
      <t>＝チーム</t>
    </r>
    <r>
      <rPr>
        <b/>
        <sz val="16"/>
        <color rgb="FFFFFFFF"/>
        <rFont val="Arial"/>
        <family val="2"/>
      </rPr>
      <t>200</t>
    </r>
    <r>
      <rPr>
        <b/>
        <sz val="16"/>
        <color rgb="FFFFFFFF"/>
        <rFont val="Noto Sans CJK SC"/>
        <family val="2"/>
      </rPr>
      <t>万円）</t>
    </r>
  </si>
  <si>
    <t>月番号</t>
  </si>
  <si>
    <t>チーム月予算</t>
  </si>
  <si>
    <t>半期・年間集計（予算はチーム月予算からの参考換算）</t>
  </si>
  <si>
    <t>区分</t>
  </si>
  <si>
    <t>参考予算</t>
  </si>
  <si>
    <t>上半期</t>
  </si>
  <si>
    <t>下半期</t>
  </si>
  <si>
    <t>年間</t>
  </si>
  <si>
    <t>店舗別 売上状況</t>
  </si>
  <si>
    <t>■ 店舗別 売上（今週・今月）</t>
  </si>
  <si>
    <t>店舗</t>
  </si>
  <si>
    <t>今週</t>
  </si>
  <si>
    <t>今月</t>
  </si>
  <si>
    <t>※ 個人の実績・予算は含めていません（店舗別の売上のみ表示）。</t>
  </si>
  <si>
    <r>
      <rPr>
        <i/>
        <sz val="9"/>
        <color rgb="FF808080"/>
        <rFont val="Noto Sans CJK SC"/>
        <family val="2"/>
      </rPr>
      <t>※「印刷用」シートを開いた状態で</t>
    </r>
    <r>
      <rPr>
        <i/>
        <sz val="9"/>
        <color rgb="FF808080"/>
        <rFont val="Arial"/>
        <family val="2"/>
      </rPr>
      <t>Ctrl+P</t>
    </r>
    <r>
      <rPr>
        <i/>
        <sz val="9"/>
        <color rgb="FF808080"/>
        <rFont val="Noto Sans CJK SC"/>
        <family val="2"/>
      </rPr>
      <t>（印刷）を押すと、この内容だけが</t>
    </r>
    <r>
      <rPr>
        <i/>
        <sz val="9"/>
        <color rgb="FF808080"/>
        <rFont val="Arial"/>
        <family val="2"/>
      </rPr>
      <t>A4</t>
    </r>
    <r>
      <rPr>
        <i/>
        <sz val="9"/>
        <color rgb="FF808080"/>
        <rFont val="Noto Sans CJK SC"/>
        <family val="2"/>
      </rPr>
      <t>一枚で印刷されます。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</si>
</sst>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&quot;年&quot;"/>
    <numFmt numFmtId="177" formatCode="0&quot;月&quot;"/>
    <numFmt numFmtId="178" formatCode="#,##0&quot;円&quot;"/>
    <numFmt numFmtId="179" formatCode="m/d\(aaa\)"/>
    <numFmt numFmtId="180" formatCode="0.0%"/>
    <numFmt numFmtId="181" formatCode="0&quot;日&quot;"/>
    <numFmt numFmtId="182" formatCode="\+#,##0&quot;円&quot;;\-#,##0&quot;円&quot;;0&quot;円&quot;"/>
  </numFmts>
  <fonts count="22">
    <font>
      <sz val="11"/>
      <color theme="1"/>
      <name val="Calibri"/>
      <family val="2"/>
      <charset val="1"/>
    </font>
    <font>
      <b/>
      <sz val="16"/>
      <color rgb="FFFFFFFF"/>
      <name val="Noto Sans CJK SC"/>
      <family val="2"/>
    </font>
    <font>
      <b/>
      <sz val="11"/>
      <name val="Noto Sans CJK SC"/>
      <family val="2"/>
    </font>
    <font>
      <sz val="11"/>
      <name val="Noto Sans CJK SC"/>
      <family val="2"/>
    </font>
    <font>
      <b/>
      <sz val="11"/>
      <color rgb="FF0000FF"/>
      <name val="Arial"/>
      <family val="2"/>
    </font>
    <font>
      <sz val="11"/>
      <name val="Arial"/>
      <family val="2"/>
    </font>
    <font>
      <b/>
      <sz val="10"/>
      <color rgb="FFFFFFFF"/>
      <name val="Noto Sans CJK SC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  <font>
      <i/>
      <sz val="9"/>
      <color rgb="FF808080"/>
      <name val="Noto Sans CJK SC"/>
      <family val="2"/>
    </font>
    <font>
      <i/>
      <sz val="9"/>
      <color rgb="FF808080"/>
      <name val="Arial"/>
      <family val="2"/>
    </font>
    <font>
      <b/>
      <sz val="16"/>
      <color rgb="FFFFFFFF"/>
      <name val="Arial"/>
      <family val="2"/>
    </font>
    <font>
      <b/>
      <sz val="8"/>
      <color rgb="FFFFFFFF"/>
      <name val="Arial"/>
      <family val="2"/>
    </font>
    <font>
      <b/>
      <sz val="8"/>
      <color rgb="FFFFFFFF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8"/>
      <color rgb="FFFFFFFF"/>
      <name val="Noto Sans CJK SC"/>
      <family val="2"/>
    </font>
    <font>
      <i/>
      <sz val="11"/>
      <color rgb="FF808080"/>
      <name val="Noto Sans CJK SC"/>
      <family val="2"/>
    </font>
    <font>
      <b/>
      <sz val="14"/>
      <color rgb="FF1F4E78"/>
      <name val="Noto Sans CJK SC"/>
      <family val="2"/>
    </font>
    <font>
      <b/>
      <sz val="13"/>
      <name val="Noto Sans CJK SC"/>
      <family val="2"/>
    </font>
    <font>
      <sz val="13"/>
      <name val="Arial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548235"/>
        <bgColor rgb="FF339966"/>
      </patternFill>
    </fill>
    <fill>
      <patternFill patternType="solid">
        <fgColor rgb="FFFFF2CC"/>
        <bgColor rgb="FFFCF3E3"/>
      </patternFill>
    </fill>
    <fill>
      <patternFill patternType="solid">
        <fgColor rgb="FFEAF1FB"/>
        <bgColor rgb="FFFCF3E3"/>
      </patternFill>
    </fill>
    <fill>
      <patternFill patternType="solid">
        <fgColor rgb="FFFCF3E3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9" fillId="0" borderId="0" xfId="0" applyFont="1"/>
    <xf numFmtId="0" fontId="2" fillId="0" borderId="0" xfId="0" applyFont="1"/>
    <xf numFmtId="0" fontId="3" fillId="0" borderId="0" xfId="0" applyFont="1"/>
    <xf numFmtId="176" fontId="4" fillId="3" borderId="1" xfId="0" applyNumberFormat="1" applyFont="1" applyFill="1" applyBorder="1" applyAlignment="1">
      <alignment horizontal="center"/>
    </xf>
    <xf numFmtId="177" fontId="4" fillId="3" borderId="1" xfId="0" applyNumberFormat="1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78" fontId="4" fillId="3" borderId="1" xfId="0" applyNumberFormat="1" applyFont="1" applyFill="1" applyBorder="1" applyAlignment="1">
      <alignment horizontal="center"/>
    </xf>
    <xf numFmtId="0" fontId="5" fillId="0" borderId="0" xfId="0" applyFont="1"/>
    <xf numFmtId="179" fontId="5" fillId="0" borderId="1" xfId="0" applyNumberFormat="1" applyFont="1" applyBorder="1"/>
    <xf numFmtId="178" fontId="5" fillId="0" borderId="1" xfId="0" applyNumberFormat="1" applyFont="1" applyBorder="1"/>
    <xf numFmtId="0" fontId="5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78" fontId="5" fillId="0" borderId="1" xfId="0" applyNumberFormat="1" applyFont="1" applyBorder="1" applyAlignment="1">
      <alignment horizontal="center"/>
    </xf>
    <xf numFmtId="180" fontId="5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79" fontId="5" fillId="0" borderId="1" xfId="0" applyNumberFormat="1" applyFont="1" applyBorder="1" applyAlignment="1">
      <alignment horizontal="center"/>
    </xf>
    <xf numFmtId="18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78" fontId="7" fillId="0" borderId="1" xfId="0" applyNumberFormat="1" applyFont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/>
    </xf>
    <xf numFmtId="179" fontId="4" fillId="3" borderId="1" xfId="0" applyNumberFormat="1" applyFont="1" applyFill="1" applyBorder="1" applyAlignment="1">
      <alignment horizontal="center"/>
    </xf>
    <xf numFmtId="178" fontId="7" fillId="0" borderId="1" xfId="0" applyNumberFormat="1" applyFont="1" applyBorder="1" applyAlignment="1">
      <alignment horizontal="center"/>
    </xf>
    <xf numFmtId="178" fontId="4" fillId="6" borderId="1" xfId="0" applyNumberFormat="1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78" fontId="4" fillId="7" borderId="1" xfId="0" applyNumberFormat="1" applyFont="1" applyFill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78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82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9" fillId="0" borderId="1" xfId="0" applyFont="1" applyBorder="1"/>
    <xf numFmtId="178" fontId="20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left" vertical="center" indent="1"/>
    </xf>
    <xf numFmtId="0" fontId="9" fillId="0" borderId="0" xfId="0" applyFont="1"/>
    <xf numFmtId="0" fontId="10" fillId="0" borderId="0" xfId="0" applyFont="1"/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 indent="1"/>
    </xf>
    <xf numFmtId="0" fontId="17" fillId="0" borderId="0" xfId="0" applyFont="1"/>
    <xf numFmtId="0" fontId="18" fillId="0" borderId="0" xfId="0" applyFont="1"/>
  </cellXfs>
  <cellStyles count="1">
    <cellStyle name="標準" xfId="0" builtinId="0"/>
  </cellStyles>
  <dxfs count="8"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ill>
        <patternFill>
          <bgColor rgb="FFFCE4E4"/>
        </patternFill>
      </fill>
    </dxf>
    <dxf>
      <fill>
        <patternFill>
          <bgColor rgb="FFC6E0B4"/>
        </patternFill>
      </fill>
    </dxf>
    <dxf>
      <font>
        <b/>
        <sz val="11"/>
        <color rgb="FF0000FF"/>
        <name val="Arial"/>
        <charset val="1"/>
      </font>
    </dxf>
    <dxf>
      <fill>
        <patternFill>
          <bgColor rgb="FFFFD9A6"/>
        </patternFill>
      </fill>
    </dxf>
    <dxf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AF1FB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CF3E3"/>
      <rgbColor rgb="FF99CCFF"/>
      <rgbColor rgb="FFFF99CC"/>
      <rgbColor rgb="FFCC99FF"/>
      <rgbColor rgb="FFFFD9A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showGridLines="0" topLeftCell="A31" zoomScaleNormal="100" workbookViewId="0">
      <selection activeCell="G47" sqref="G47"/>
    </sheetView>
  </sheetViews>
  <sheetFormatPr defaultColWidth="8.7109375" defaultRowHeight="15"/>
  <cols>
    <col min="1" max="1" width="24" customWidth="1"/>
    <col min="2" max="8" width="16" customWidth="1"/>
    <col min="9" max="9" width="4" customWidth="1"/>
  </cols>
  <sheetData>
    <row r="1" spans="1:8" ht="25.5" customHeight="1">
      <c r="A1" s="37" t="s">
        <v>0</v>
      </c>
      <c r="B1" s="37"/>
      <c r="C1" s="37"/>
      <c r="D1" s="37"/>
      <c r="E1" s="37"/>
      <c r="F1" s="37"/>
      <c r="G1" s="37"/>
      <c r="H1" s="37"/>
    </row>
    <row r="3" spans="1:8">
      <c r="A3" s="2" t="s">
        <v>1</v>
      </c>
    </row>
    <row r="4" spans="1:8">
      <c r="A4" s="3" t="s">
        <v>2</v>
      </c>
      <c r="B4" s="4">
        <v>2026</v>
      </c>
    </row>
    <row r="5" spans="1:8">
      <c r="A5" s="3" t="s">
        <v>3</v>
      </c>
      <c r="B5" s="5">
        <v>5</v>
      </c>
    </row>
    <row r="6" spans="1:8">
      <c r="A6" s="3" t="s">
        <v>4</v>
      </c>
      <c r="B6" s="6">
        <f ca="1">TODAY()</f>
        <v>46289</v>
      </c>
    </row>
    <row r="7" spans="1:8">
      <c r="A7" s="3" t="s">
        <v>5</v>
      </c>
      <c r="B7" s="7">
        <v>250000</v>
      </c>
    </row>
    <row r="8" spans="1:8">
      <c r="A8" s="3" t="s">
        <v>6</v>
      </c>
      <c r="B8" s="7">
        <v>1000000</v>
      </c>
    </row>
    <row r="9" spans="1:8">
      <c r="A9" s="8" t="s">
        <v>7</v>
      </c>
      <c r="B9" s="7">
        <v>25000</v>
      </c>
    </row>
    <row r="10" spans="1:8">
      <c r="A10" s="8" t="s">
        <v>8</v>
      </c>
      <c r="B10" s="7">
        <v>7241</v>
      </c>
    </row>
    <row r="11" spans="1:8">
      <c r="A11" s="8" t="s">
        <v>9</v>
      </c>
      <c r="B11" s="7">
        <v>0</v>
      </c>
    </row>
    <row r="12" spans="1:8">
      <c r="A12" s="8" t="s">
        <v>10</v>
      </c>
      <c r="B12" s="7">
        <v>30000</v>
      </c>
    </row>
    <row r="14" spans="1:8">
      <c r="A14" s="3" t="s">
        <v>11</v>
      </c>
      <c r="B14" s="9">
        <f>DATE(B4,B5,1)</f>
        <v>46143</v>
      </c>
    </row>
    <row r="15" spans="1:8">
      <c r="A15" s="3" t="s">
        <v>12</v>
      </c>
      <c r="B15" s="10">
        <f>B7*2</f>
        <v>500000</v>
      </c>
    </row>
    <row r="16" spans="1:8">
      <c r="A16" s="3" t="s">
        <v>13</v>
      </c>
      <c r="B16" s="10">
        <f>B8*2</f>
        <v>2000000</v>
      </c>
    </row>
    <row r="17" spans="1:5">
      <c r="A17" s="3" t="s">
        <v>14</v>
      </c>
      <c r="B17" s="10">
        <f>B16*6</f>
        <v>12000000</v>
      </c>
    </row>
    <row r="18" spans="1:5">
      <c r="A18" s="3" t="s">
        <v>15</v>
      </c>
      <c r="B18" s="10">
        <f>B16*12</f>
        <v>24000000</v>
      </c>
    </row>
    <row r="20" spans="1:5">
      <c r="A20" s="3" t="s">
        <v>16</v>
      </c>
      <c r="B20" s="11">
        <f ca="1">INT((B6-(B14-WEEKDAY(B14,2)+1))/7)+1</f>
        <v>22</v>
      </c>
    </row>
    <row r="21" spans="1:5">
      <c r="A21" s="3" t="s">
        <v>17</v>
      </c>
      <c r="B21" s="11">
        <f ca="1">(YEAR(B6)-YEAR(B14))*12+MONTH(B6)-MONTH(B14)+1</f>
        <v>5</v>
      </c>
    </row>
    <row r="22" spans="1:5">
      <c r="A22" s="3" t="s">
        <v>18</v>
      </c>
      <c r="B22" s="11" t="str">
        <f ca="1">IF(B21&lt;=6,"上半期","下半期")</f>
        <v>上半期</v>
      </c>
    </row>
    <row r="24" spans="1:5">
      <c r="A24" s="2" t="s">
        <v>19</v>
      </c>
    </row>
    <row r="25" spans="1:5" ht="21.75" customHeight="1">
      <c r="A25" s="12" t="s">
        <v>20</v>
      </c>
      <c r="B25" s="12" t="s">
        <v>21</v>
      </c>
      <c r="C25" s="12" t="s">
        <v>22</v>
      </c>
      <c r="D25" s="12" t="s">
        <v>23</v>
      </c>
      <c r="E25" s="12" t="s">
        <v>24</v>
      </c>
    </row>
    <row r="26" spans="1:5">
      <c r="A26" s="13" t="s">
        <v>25</v>
      </c>
      <c r="B26" s="14">
        <f>B7</f>
        <v>250000</v>
      </c>
      <c r="C26" s="14">
        <f ca="1">INDEX(週次集計!D3:D56,$B$20)</f>
        <v>387801</v>
      </c>
      <c r="D26" s="15">
        <f ca="1">IFERROR(C26/B26,0)</f>
        <v>1.551204</v>
      </c>
      <c r="E26" s="14">
        <f ca="1">MAX(B26-C26,0)</f>
        <v>0</v>
      </c>
    </row>
    <row r="27" spans="1:5">
      <c r="A27" s="13" t="s">
        <v>26</v>
      </c>
      <c r="B27" s="14">
        <f>B7</f>
        <v>250000</v>
      </c>
      <c r="C27" s="14">
        <f ca="1">INDEX(週次集計!E3:E56,$B$20)</f>
        <v>22829</v>
      </c>
      <c r="D27" s="15">
        <f ca="1">IFERROR(C27/B27,0)</f>
        <v>9.1315999999999994E-2</v>
      </c>
      <c r="E27" s="14">
        <f ca="1">MAX(B27-C27,0)</f>
        <v>227171</v>
      </c>
    </row>
    <row r="28" spans="1:5">
      <c r="A28" s="13" t="s">
        <v>27</v>
      </c>
      <c r="B28" s="14">
        <f>B8</f>
        <v>1000000</v>
      </c>
      <c r="C28" s="14">
        <f ca="1">INDEX(月次集計!D3:D15,$B$21)</f>
        <v>1229092</v>
      </c>
      <c r="D28" s="15">
        <f ca="1">IFERROR(C28/B28,0)</f>
        <v>1.2290920000000001</v>
      </c>
      <c r="E28" s="14">
        <f ca="1">MAX(B28-C28,0)</f>
        <v>0</v>
      </c>
    </row>
    <row r="29" spans="1:5">
      <c r="A29" s="13" t="s">
        <v>28</v>
      </c>
      <c r="B29" s="14">
        <f>B8</f>
        <v>1000000</v>
      </c>
      <c r="C29" s="14">
        <f ca="1">INDEX(月次集計!E3:E15,$B$21)</f>
        <v>541948</v>
      </c>
      <c r="D29" s="15">
        <f ca="1">IFERROR(C29/B29,0)</f>
        <v>0.54194799999999999</v>
      </c>
      <c r="E29" s="14">
        <f ca="1">MAX(B29-C29,0)</f>
        <v>458052</v>
      </c>
    </row>
    <row r="32" spans="1:5">
      <c r="A32" s="2" t="s">
        <v>29</v>
      </c>
    </row>
    <row r="33" spans="1:8" ht="27.75" customHeight="1">
      <c r="A33" s="12" t="s">
        <v>20</v>
      </c>
      <c r="B33" s="12" t="s">
        <v>21</v>
      </c>
      <c r="C33" s="12" t="s">
        <v>22</v>
      </c>
      <c r="D33" s="12" t="s">
        <v>24</v>
      </c>
      <c r="E33" s="12" t="s">
        <v>30</v>
      </c>
      <c r="F33" s="12" t="s">
        <v>31</v>
      </c>
      <c r="G33" s="16" t="s">
        <v>32</v>
      </c>
      <c r="H33" s="12" t="s">
        <v>33</v>
      </c>
    </row>
    <row r="34" spans="1:8">
      <c r="A34" s="13" t="s">
        <v>25</v>
      </c>
      <c r="B34" s="14">
        <f>B7</f>
        <v>250000</v>
      </c>
      <c r="C34" s="14">
        <f ca="1">INDEX(週次集計!D3:D56,$B$20)</f>
        <v>387801</v>
      </c>
      <c r="D34" s="14">
        <f t="shared" ref="D34:D41" ca="1" si="0">MAX(B34-C34,0)</f>
        <v>0</v>
      </c>
      <c r="E34" s="17">
        <f ca="1">INDEX(週次集計!C3:C56,$B$20)</f>
        <v>46292</v>
      </c>
      <c r="F34" s="18">
        <f t="shared" ref="F34:F41" ca="1" si="1">MAX(E34-$B$6+1,1)</f>
        <v>4</v>
      </c>
      <c r="G34" s="14">
        <f t="shared" ref="G34:G41" ca="1" si="2">IFERROR(D34/F34,0)</f>
        <v>0</v>
      </c>
      <c r="H34" s="19">
        <f t="shared" ref="H34:H41" ca="1" si="3">RANK(G34,$G$34:$G$41)</f>
        <v>7</v>
      </c>
    </row>
    <row r="35" spans="1:8">
      <c r="A35" s="13" t="s">
        <v>26</v>
      </c>
      <c r="B35" s="14">
        <f>B7</f>
        <v>250000</v>
      </c>
      <c r="C35" s="14">
        <f ca="1">INDEX(週次集計!E3:E56,$B$20)</f>
        <v>22829</v>
      </c>
      <c r="D35" s="14">
        <f t="shared" ca="1" si="0"/>
        <v>227171</v>
      </c>
      <c r="E35" s="17">
        <f ca="1">INDEX(週次集計!C3:C56,$B$20)</f>
        <v>46292</v>
      </c>
      <c r="F35" s="18">
        <f t="shared" ca="1" si="1"/>
        <v>4</v>
      </c>
      <c r="G35" s="14">
        <f t="shared" ca="1" si="2"/>
        <v>56792.75</v>
      </c>
      <c r="H35" s="19">
        <f t="shared" ca="1" si="3"/>
        <v>4</v>
      </c>
    </row>
    <row r="36" spans="1:8">
      <c r="A36" s="13" t="s">
        <v>34</v>
      </c>
      <c r="B36" s="14">
        <f>B15</f>
        <v>500000</v>
      </c>
      <c r="C36" s="14">
        <f ca="1">INDEX(週次集計!F3:F56,$B$20)</f>
        <v>410630</v>
      </c>
      <c r="D36" s="14">
        <f t="shared" ca="1" si="0"/>
        <v>89370</v>
      </c>
      <c r="E36" s="17">
        <f ca="1">INDEX(週次集計!C3:C56,$B$20)</f>
        <v>46292</v>
      </c>
      <c r="F36" s="18">
        <f t="shared" ca="1" si="1"/>
        <v>4</v>
      </c>
      <c r="G36" s="14">
        <f t="shared" ca="1" si="2"/>
        <v>22342.5</v>
      </c>
      <c r="H36" s="19">
        <f t="shared" ca="1" si="3"/>
        <v>6</v>
      </c>
    </row>
    <row r="37" spans="1:8">
      <c r="A37" s="13" t="s">
        <v>27</v>
      </c>
      <c r="B37" s="14">
        <f>B8</f>
        <v>1000000</v>
      </c>
      <c r="C37" s="14">
        <f ca="1">INDEX(月次集計!D3:D15,$B$21)</f>
        <v>1229092</v>
      </c>
      <c r="D37" s="14">
        <f t="shared" ca="1" si="0"/>
        <v>0</v>
      </c>
      <c r="E37" s="17">
        <f ca="1">INDEX(月次集計!C3:C15,$B$21)</f>
        <v>46295</v>
      </c>
      <c r="F37" s="18">
        <f t="shared" ca="1" si="1"/>
        <v>7</v>
      </c>
      <c r="G37" s="14">
        <f t="shared" ca="1" si="2"/>
        <v>0</v>
      </c>
      <c r="H37" s="19">
        <f t="shared" ca="1" si="3"/>
        <v>7</v>
      </c>
    </row>
    <row r="38" spans="1:8">
      <c r="A38" s="13" t="s">
        <v>28</v>
      </c>
      <c r="B38" s="14">
        <f>B8</f>
        <v>1000000</v>
      </c>
      <c r="C38" s="14">
        <f ca="1">INDEX(月次集計!E3:E15,$B$21)</f>
        <v>541948</v>
      </c>
      <c r="D38" s="14">
        <f t="shared" ca="1" si="0"/>
        <v>458052</v>
      </c>
      <c r="E38" s="17">
        <f ca="1">INDEX(月次集計!C3:C15,$B$21)</f>
        <v>46295</v>
      </c>
      <c r="F38" s="18">
        <f t="shared" ca="1" si="1"/>
        <v>7</v>
      </c>
      <c r="G38" s="14">
        <f t="shared" ca="1" si="2"/>
        <v>65436</v>
      </c>
      <c r="H38" s="19">
        <f t="shared" ca="1" si="3"/>
        <v>3</v>
      </c>
    </row>
    <row r="39" spans="1:8">
      <c r="A39" s="13" t="s">
        <v>35</v>
      </c>
      <c r="B39" s="14">
        <f>B16</f>
        <v>2000000</v>
      </c>
      <c r="C39" s="14">
        <f ca="1">INDEX(月次集計!F3:F15,$B$21)</f>
        <v>1771040</v>
      </c>
      <c r="D39" s="14">
        <f t="shared" ca="1" si="0"/>
        <v>228960</v>
      </c>
      <c r="E39" s="17">
        <f ca="1">INDEX(月次集計!C3:C15,$B$21)</f>
        <v>46295</v>
      </c>
      <c r="F39" s="18">
        <f t="shared" ca="1" si="1"/>
        <v>7</v>
      </c>
      <c r="G39" s="14">
        <f t="shared" ca="1" si="2"/>
        <v>32708.571428571428</v>
      </c>
      <c r="H39" s="19">
        <f t="shared" ca="1" si="3"/>
        <v>5</v>
      </c>
    </row>
    <row r="40" spans="1:8">
      <c r="A40" s="13" t="s">
        <v>36</v>
      </c>
      <c r="B40" s="14">
        <f>B17</f>
        <v>12000000</v>
      </c>
      <c r="C40" s="14">
        <f ca="1">INDEX(半期年間集計!F3:F5,IF($B$22="上半期",1,2))</f>
        <v>5645873</v>
      </c>
      <c r="D40" s="14">
        <f t="shared" ca="1" si="0"/>
        <v>6354127</v>
      </c>
      <c r="E40" s="17">
        <f ca="1">INDEX(半期年間集計!C3:C5,IF($B$22="上半期",1,2))</f>
        <v>46326</v>
      </c>
      <c r="F40" s="18">
        <f t="shared" ca="1" si="1"/>
        <v>38</v>
      </c>
      <c r="G40" s="14">
        <f t="shared" ca="1" si="2"/>
        <v>167213.86842105264</v>
      </c>
      <c r="H40" s="19">
        <f t="shared" ca="1" si="3"/>
        <v>1</v>
      </c>
    </row>
    <row r="41" spans="1:8">
      <c r="A41" s="13" t="s">
        <v>37</v>
      </c>
      <c r="B41" s="14">
        <f>B18</f>
        <v>24000000</v>
      </c>
      <c r="C41" s="14">
        <f>INDEX(半期年間集計!F3:F5,3)</f>
        <v>5645873</v>
      </c>
      <c r="D41" s="14">
        <f t="shared" si="0"/>
        <v>18354127</v>
      </c>
      <c r="E41" s="17">
        <f>INDEX(半期年間集計!C3:C5,3)</f>
        <v>46507</v>
      </c>
      <c r="F41" s="18">
        <f t="shared" ca="1" si="1"/>
        <v>219</v>
      </c>
      <c r="G41" s="14">
        <f t="shared" ca="1" si="2"/>
        <v>83808.799086757994</v>
      </c>
      <c r="H41" s="19">
        <f t="shared" ca="1" si="3"/>
        <v>2</v>
      </c>
    </row>
    <row r="43" spans="1:8">
      <c r="A43" s="38" t="s">
        <v>38</v>
      </c>
      <c r="B43" s="38"/>
      <c r="C43" s="38"/>
      <c r="D43" s="38"/>
      <c r="E43" s="38"/>
      <c r="F43" s="38"/>
      <c r="G43" s="38"/>
      <c r="H43" s="38"/>
    </row>
    <row r="44" spans="1:8">
      <c r="A44" s="38" t="s">
        <v>39</v>
      </c>
      <c r="B44" s="38"/>
      <c r="C44" s="38"/>
      <c r="D44" s="38"/>
      <c r="E44" s="38"/>
      <c r="F44" s="38"/>
      <c r="G44" s="38"/>
      <c r="H44" s="38"/>
    </row>
    <row r="45" spans="1:8">
      <c r="A45" s="38" t="s">
        <v>40</v>
      </c>
      <c r="B45" s="38"/>
      <c r="C45" s="38"/>
      <c r="D45" s="38"/>
      <c r="E45" s="38"/>
      <c r="F45" s="38"/>
      <c r="G45" s="38"/>
      <c r="H45" s="38"/>
    </row>
    <row r="47" spans="1:8">
      <c r="A47" s="2" t="s">
        <v>41</v>
      </c>
    </row>
    <row r="48" spans="1:8">
      <c r="A48" s="1" t="str">
        <f ca="1">"（"&amp;TEXT(INDEX(月次集計!$B$3:$B$15,$B$21),"m月")&amp;"分）"</f>
        <v>（9月分）</v>
      </c>
    </row>
    <row r="49" spans="1:8">
      <c r="A49" s="12" t="s">
        <v>42</v>
      </c>
      <c r="B49" s="12" t="s">
        <v>43</v>
      </c>
      <c r="C49" s="12" t="s">
        <v>44</v>
      </c>
      <c r="D49" s="12" t="s">
        <v>45</v>
      </c>
    </row>
    <row r="50" spans="1:8">
      <c r="A50" s="20" t="s">
        <v>46</v>
      </c>
      <c r="B50" s="14">
        <f ca="1">SUMIFS(受注ログ!$I$6:$I$205,受注ログ!$B$6:$B$205,"&gt;="&amp;INDEX(月次集計!$B$3:$B$15,$B$21),受注ログ!$B$6:$B$205,"&lt;="&amp;INDEX(月次集計!$C$3:$C$15,$B$21))</f>
        <v>221183</v>
      </c>
      <c r="C50" s="14">
        <f ca="1">SUMIFS(受注ログ!$S$6:$S$205,受注ログ!$B$6:$B$205,"&gt;="&amp;INDEX(月次集計!$B$3:$B$15,$B$21),受注ログ!$B$6:$B$205,"&lt;="&amp;INDEX(月次集計!$C$3:$C$15,$B$21))</f>
        <v>255139</v>
      </c>
      <c r="D50" s="14">
        <f ca="1">B50+C50</f>
        <v>476322</v>
      </c>
    </row>
    <row r="51" spans="1:8">
      <c r="A51" s="20" t="s">
        <v>47</v>
      </c>
      <c r="B51" s="14">
        <f ca="1">SUMIFS(受注ログ!$J$6:$J$205,受注ログ!$B$6:$B$205,"&gt;="&amp;INDEX(月次集計!$B$3:$B$15,$B$21),受注ログ!$B$6:$B$205,"&lt;="&amp;INDEX(月次集計!$C$3:$C$15,$B$21))</f>
        <v>190944</v>
      </c>
      <c r="C51" s="14">
        <f ca="1">SUMIFS(受注ログ!$T$6:$T$205,受注ログ!$B$6:$B$205,"&gt;="&amp;INDEX(月次集計!$B$3:$B$15,$B$21),受注ログ!$B$6:$B$205,"&lt;="&amp;INDEX(月次集計!$C$3:$C$15,$B$21))</f>
        <v>113549</v>
      </c>
      <c r="D51" s="14">
        <f ca="1">B51+C51</f>
        <v>304493</v>
      </c>
    </row>
    <row r="52" spans="1:8">
      <c r="A52" s="11" t="s">
        <v>48</v>
      </c>
      <c r="B52" s="14">
        <f ca="1">SUMIFS(受注ログ!$K$6:$K$205,受注ログ!$B$6:$B$205,"&gt;="&amp;INDEX(月次集計!$B$3:$B$15,$B$21),受注ログ!$B$6:$B$205,"&lt;="&amp;INDEX(月次集計!$C$3:$C$15,$B$21))</f>
        <v>18226</v>
      </c>
      <c r="C52" s="14">
        <f ca="1">SUMIFS(受注ログ!$U$6:$U$205,受注ログ!$B$6:$B$205,"&gt;="&amp;INDEX(月次集計!$B$3:$B$15,$B$21),受注ログ!$B$6:$B$205,"&lt;="&amp;INDEX(月次集計!$C$3:$C$15,$B$21))</f>
        <v>7613</v>
      </c>
      <c r="D52" s="14">
        <f ca="1">B52+C52</f>
        <v>25839</v>
      </c>
    </row>
    <row r="53" spans="1:8">
      <c r="A53" s="20" t="s">
        <v>49</v>
      </c>
      <c r="B53" s="14">
        <f ca="1">SUMIFS(受注ログ!$L$6:$L$205,受注ログ!$B$6:$B$205,"&gt;="&amp;INDEX(月次集計!$B$3:$B$15,$B$21),受注ログ!$B$6:$B$205,"&lt;="&amp;INDEX(月次集計!$C$3:$C$15,$B$21))</f>
        <v>0</v>
      </c>
      <c r="C53" s="19" t="s">
        <v>50</v>
      </c>
      <c r="D53" s="14">
        <f ca="1">B53</f>
        <v>0</v>
      </c>
    </row>
    <row r="54" spans="1:8">
      <c r="A54" s="20" t="s">
        <v>51</v>
      </c>
      <c r="B54" s="14">
        <f ca="1">SUMIFS(受注ログ!$M$6:$M$205,受注ログ!$B$6:$B$205,"&gt;="&amp;INDEX(月次集計!$B$3:$B$15,$B$21),受注ログ!$B$6:$B$205,"&lt;="&amp;INDEX(月次集計!$C$3:$C$15,$B$21))</f>
        <v>0</v>
      </c>
      <c r="C54" s="19" t="s">
        <v>50</v>
      </c>
      <c r="D54" s="14">
        <f ca="1">B54</f>
        <v>0</v>
      </c>
    </row>
    <row r="55" spans="1:8">
      <c r="A55" s="20" t="s">
        <v>52</v>
      </c>
      <c r="B55" s="14">
        <f ca="1">SUMIFS(受注ログ!$N$6:$N$205,受注ログ!$B$6:$B$205,"&gt;="&amp;INDEX(月次集計!$B$3:$B$15,$B$21),受注ログ!$B$6:$B$205,"&lt;="&amp;INDEX(月次集計!$C$3:$C$15,$B$21))</f>
        <v>26974</v>
      </c>
      <c r="C55" s="19" t="s">
        <v>50</v>
      </c>
      <c r="D55" s="14">
        <f ca="1">B55</f>
        <v>26974</v>
      </c>
    </row>
    <row r="56" spans="1:8">
      <c r="A56" s="20" t="s">
        <v>53</v>
      </c>
      <c r="B56" s="19" t="s">
        <v>50</v>
      </c>
      <c r="C56" s="14">
        <f ca="1">SUMIFS(受注ログ!$V$6:$V$205,受注ログ!$B$6:$B$205,"&gt;="&amp;INDEX(月次集計!$B$3:$B$15,$B$21),受注ログ!$B$6:$B$205,"&lt;="&amp;INDEX(月次集計!$C$3:$C$15,$B$21))</f>
        <v>46613</v>
      </c>
      <c r="D56" s="14">
        <f ca="1">C56</f>
        <v>46613</v>
      </c>
    </row>
    <row r="57" spans="1:8">
      <c r="A57" s="20" t="s">
        <v>54</v>
      </c>
      <c r="B57" s="14">
        <f ca="1">SUMIFS(受注ログ!$O$6:$O$205,受注ログ!$B$6:$B$205,"&gt;="&amp;INDEX(月次集計!$B$3:$B$15,$B$21),受注ログ!$B$6:$B$205,"&lt;="&amp;INDEX(月次集計!$C$3:$C$15,$B$21))</f>
        <v>0</v>
      </c>
      <c r="C57" s="14">
        <f ca="1">SUMIFS(受注ログ!$W$6:$W$205,受注ログ!$B$6:$B$205,"&gt;="&amp;INDEX(月次集計!$B$3:$B$15,$B$21),受注ログ!$B$6:$B$205,"&lt;="&amp;INDEX(月次集計!$C$3:$C$15,$B$21))</f>
        <v>0</v>
      </c>
      <c r="D57" s="14">
        <f ca="1">B57+C57</f>
        <v>0</v>
      </c>
    </row>
    <row r="58" spans="1:8">
      <c r="A58" s="11" t="s">
        <v>55</v>
      </c>
      <c r="B58" s="14">
        <f ca="1">SUMIFS(受注ログ!$P$6:$P$205,受注ログ!$B$6:$B$205,"&gt;="&amp;INDEX(月次集計!$B$3:$B$15,$B$21),受注ログ!$B$6:$B$205,"&lt;="&amp;INDEX(月次集計!$C$3:$C$15,$B$21))*$B$9</f>
        <v>325000</v>
      </c>
      <c r="C58" s="14">
        <f ca="1">SUMIFS(受注ログ!$X$6:$X$205,受注ログ!$B$6:$B$205,"&gt;="&amp;INDEX(月次集計!$B$3:$B$15,$B$21),受注ログ!$B$6:$B$205,"&lt;="&amp;INDEX(月次集計!$C$3:$C$15,$B$21))*$B$9</f>
        <v>0</v>
      </c>
      <c r="D58" s="14">
        <f ca="1">B58+C58</f>
        <v>325000</v>
      </c>
    </row>
    <row r="59" spans="1:8">
      <c r="A59" s="11" t="s">
        <v>56</v>
      </c>
      <c r="B59" s="14">
        <f ca="1">COUNTIFS(受注ログ!$Q$6:$Q$205,200,受注ログ!$B$6:$B$205,"&gt;="&amp;INDEX(月次集計!$B$3:$B$15,$B$21),受注ログ!$B$6:$B$205,"&lt;="&amp;INDEX(月次集計!$C$3:$C$15,$B$21))*$B$10+COUNTIFS(受注ログ!$Q$6:$Q$205,100,受注ログ!$B$6:$B$205,"&gt;="&amp;INDEX(月次集計!$B$3:$B$15,$B$21),受注ログ!$B$6:$B$205,"&lt;="&amp;INDEX(月次集計!$C$3:$C$15,$B$21))*$B$11</f>
        <v>28964</v>
      </c>
      <c r="C59" s="14">
        <f ca="1">COUNTIFS(受注ログ!$Y$6:$Y$205,200,受注ログ!$B$6:$B$205,"&gt;="&amp;INDEX(月次集計!$B$3:$B$15,$B$21),受注ログ!$B$6:$B$205,"&lt;="&amp;INDEX(月次集計!$C$3:$C$15,$B$21))*$B$10+COUNTIFS(受注ログ!$Y$6:$Y$205,100,受注ログ!$B$6:$B$205,"&gt;="&amp;INDEX(月次集計!$B$3:$B$15,$B$21),受注ログ!$B$6:$B$205,"&lt;="&amp;INDEX(月次集計!$C$3:$C$15,$B$21))*$B$11</f>
        <v>36205</v>
      </c>
      <c r="D59" s="14">
        <f ca="1">B59+C59</f>
        <v>65169</v>
      </c>
    </row>
    <row r="60" spans="1:8">
      <c r="A60" s="11" t="s">
        <v>57</v>
      </c>
      <c r="B60" s="14">
        <f ca="1">SUMIFS(受注ログ!$R$6:$R$205,受注ログ!$B$6:$B$205,"&gt;="&amp;INDEX(月次集計!$B$3:$B$15,$B$21),受注ログ!$B$6:$B$205,"&lt;="&amp;INDEX(月次集計!$C$3:$C$15,$B$21))*$B$12</f>
        <v>30000</v>
      </c>
      <c r="C60" s="14">
        <f ca="1">SUMIFS(受注ログ!$Z$6:$Z$205,受注ログ!$B$6:$B$205,"&gt;="&amp;INDEX(月次集計!$B$3:$B$15,$B$21),受注ログ!$B$6:$B$205,"&lt;="&amp;INDEX(月次集計!$C$3:$C$15,$B$21))*$B$12</f>
        <v>60000</v>
      </c>
      <c r="D60" s="14">
        <f ca="1">B60+C60</f>
        <v>90000</v>
      </c>
    </row>
    <row r="61" spans="1:8">
      <c r="A61" s="39" t="s">
        <v>58</v>
      </c>
      <c r="B61" s="39"/>
      <c r="C61" s="39"/>
      <c r="D61" s="39"/>
      <c r="E61" s="39"/>
      <c r="F61" s="39"/>
      <c r="G61" s="39"/>
      <c r="H61" s="39"/>
    </row>
  </sheetData>
  <mergeCells count="5">
    <mergeCell ref="A1:H1"/>
    <mergeCell ref="A43:H43"/>
    <mergeCell ref="A44:H44"/>
    <mergeCell ref="A45:H45"/>
    <mergeCell ref="A61:H61"/>
  </mergeCells>
  <phoneticPr fontId="21"/>
  <conditionalFormatting sqref="H34:H41">
    <cfRule type="cellIs" dxfId="7" priority="2" operator="equal">
      <formula>1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375"/>
  <sheetViews>
    <sheetView showGridLines="0" zoomScaleNormal="100" workbookViewId="0">
      <pane xSplit="8" ySplit="5" topLeftCell="I224" activePane="bottomRight" state="frozen"/>
      <selection pane="topRight" activeCell="I1" sqref="I1"/>
      <selection pane="bottomLeft" activeCell="A6" sqref="A6"/>
      <selection pane="bottomRight" activeCell="B3" sqref="B3"/>
    </sheetView>
  </sheetViews>
  <sheetFormatPr defaultColWidth="8.7109375" defaultRowHeight="15"/>
  <cols>
    <col min="1" max="1" width="4" bestFit="1" customWidth="1"/>
    <col min="2" max="3" width="11.7109375" bestFit="1" customWidth="1"/>
    <col min="4" max="4" width="11.140625" bestFit="1" customWidth="1"/>
    <col min="5" max="6" width="11.7109375" bestFit="1" customWidth="1"/>
    <col min="7" max="7" width="10.42578125" bestFit="1" customWidth="1"/>
    <col min="8" max="8" width="11.7109375" bestFit="1" customWidth="1"/>
    <col min="9" max="12" width="10.42578125" bestFit="1" customWidth="1"/>
    <col min="13" max="13" width="11.7109375" bestFit="1" customWidth="1"/>
    <col min="14" max="14" width="10.42578125" bestFit="1" customWidth="1"/>
    <col min="15" max="15" width="8.140625" bestFit="1" customWidth="1"/>
    <col min="16" max="16" width="9.28515625" bestFit="1" customWidth="1"/>
    <col min="17" max="17" width="9.42578125" bestFit="1" customWidth="1"/>
    <col min="18" max="18" width="7.140625" bestFit="1" customWidth="1"/>
    <col min="19" max="22" width="10.42578125" bestFit="1" customWidth="1"/>
    <col min="23" max="23" width="8.140625" bestFit="1" customWidth="1"/>
    <col min="24" max="24" width="9.28515625" bestFit="1" customWidth="1"/>
    <col min="25" max="25" width="9.42578125" bestFit="1" customWidth="1"/>
    <col min="26" max="26" width="7.140625" bestFit="1" customWidth="1"/>
  </cols>
  <sheetData>
    <row r="1" spans="1:53" ht="25.5" customHeight="1">
      <c r="A1" s="37" t="s">
        <v>59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B1" s="39" t="s">
        <v>74</v>
      </c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</row>
    <row r="2" spans="1:53" ht="24" customHeight="1">
      <c r="A2" s="21"/>
      <c r="B2" s="22" t="s">
        <v>60</v>
      </c>
      <c r="C2" s="22" t="s">
        <v>61</v>
      </c>
      <c r="D2" s="22" t="s">
        <v>62</v>
      </c>
      <c r="E2" s="22" t="s">
        <v>63</v>
      </c>
      <c r="F2" s="22" t="s">
        <v>64</v>
      </c>
      <c r="G2" s="22" t="s">
        <v>65</v>
      </c>
      <c r="H2" s="22" t="s">
        <v>66</v>
      </c>
      <c r="AB2" s="39" t="s">
        <v>75</v>
      </c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</row>
    <row r="3" spans="1:53" ht="19.5" customHeight="1">
      <c r="A3" s="23"/>
      <c r="B3" s="23">
        <f ca="1">MAX(サマリー!$B$7-INDEX(週次集計!$D$3:$D$56,サマリー!$B$20),0)</f>
        <v>0</v>
      </c>
      <c r="C3" s="23">
        <f ca="1">MAX(サマリー!$B$7-INDEX(週次集計!$E$3:$E$56,サマリー!$B$20),0)</f>
        <v>227171</v>
      </c>
      <c r="D3" s="23">
        <f ca="1">INDEX(週次集計!$F$3:$F$56,サマリー!$B$20)</f>
        <v>410630</v>
      </c>
      <c r="E3" s="23">
        <f ca="1">MAX(サマリー!$B$15-INDEX(週次集計!$F$3:$F$56,サマリー!$B$20),0)</f>
        <v>89370</v>
      </c>
      <c r="F3" s="23">
        <f ca="1">SUMIFS($C$6:$C$205,$B$6:$B$205,TODAY())</f>
        <v>0</v>
      </c>
      <c r="G3" s="23">
        <f ca="1">SUMIFS($D$6:$D$205,$B$6:$B$205,TODAY())</f>
        <v>0</v>
      </c>
      <c r="H3" s="23">
        <f ca="1">F3+G3</f>
        <v>0</v>
      </c>
      <c r="AB3" s="38" t="s">
        <v>76</v>
      </c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</row>
    <row r="4" spans="1:53" ht="19.5" customHeight="1">
      <c r="I4" s="40" t="s">
        <v>43</v>
      </c>
      <c r="J4" s="40"/>
      <c r="K4" s="40"/>
      <c r="L4" s="40"/>
      <c r="M4" s="40"/>
      <c r="N4" s="40"/>
      <c r="O4" s="40"/>
      <c r="P4" s="40"/>
      <c r="Q4" s="40"/>
      <c r="R4" s="40"/>
      <c r="S4" s="41" t="s">
        <v>44</v>
      </c>
      <c r="T4" s="41"/>
      <c r="U4" s="41"/>
      <c r="V4" s="41"/>
      <c r="W4" s="41"/>
      <c r="X4" s="41"/>
      <c r="Y4" s="41"/>
      <c r="Z4" s="41"/>
      <c r="AB4" s="38" t="s">
        <v>77</v>
      </c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</row>
    <row r="5" spans="1:53" ht="31.5" customHeight="1">
      <c r="A5" s="12" t="s">
        <v>67</v>
      </c>
      <c r="B5" s="12" t="s">
        <v>68</v>
      </c>
      <c r="C5" s="12" t="s">
        <v>69</v>
      </c>
      <c r="D5" s="12" t="s">
        <v>70</v>
      </c>
      <c r="E5" s="12" t="s">
        <v>45</v>
      </c>
      <c r="F5" s="12"/>
      <c r="G5" s="12"/>
      <c r="H5" s="12"/>
      <c r="I5" s="12" t="s">
        <v>46</v>
      </c>
      <c r="J5" s="12" t="s">
        <v>47</v>
      </c>
      <c r="K5" s="16" t="s">
        <v>48</v>
      </c>
      <c r="L5" s="12" t="s">
        <v>49</v>
      </c>
      <c r="M5" s="12" t="s">
        <v>51</v>
      </c>
      <c r="N5" s="12" t="s">
        <v>52</v>
      </c>
      <c r="O5" s="12" t="s">
        <v>54</v>
      </c>
      <c r="P5" s="16" t="s">
        <v>71</v>
      </c>
      <c r="Q5" s="16" t="s">
        <v>72</v>
      </c>
      <c r="R5" s="16" t="s">
        <v>73</v>
      </c>
      <c r="S5" s="12" t="s">
        <v>46</v>
      </c>
      <c r="T5" s="12" t="s">
        <v>47</v>
      </c>
      <c r="U5" s="16" t="s">
        <v>48</v>
      </c>
      <c r="V5" s="12" t="s">
        <v>53</v>
      </c>
      <c r="W5" s="12" t="s">
        <v>54</v>
      </c>
      <c r="X5" s="16" t="s">
        <v>71</v>
      </c>
      <c r="Y5" s="16" t="s">
        <v>72</v>
      </c>
      <c r="Z5" s="16" t="s">
        <v>73</v>
      </c>
      <c r="AB5" s="38" t="s">
        <v>78</v>
      </c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</row>
    <row r="6" spans="1:53">
      <c r="A6" s="24"/>
      <c r="B6" s="25">
        <v>46202</v>
      </c>
      <c r="C6" s="26">
        <f>I6+J6+K6+L6+M6+N6+O6+IF(P6="",0,P6*サマリー!$B$9)+IF(Q6="",0,IF(Q6=200,サマリー!$B$10,IF(Q6=100,サマリー!$B$11,0)))+IF(R6="",0,R6*サマリー!$B$12)</f>
        <v>0</v>
      </c>
      <c r="D6" s="26">
        <f>S6+T6+U6+V6+W6+IF(X6="",0,X6*サマリー!$B$9)+IF(Y6="",0,IF(Y6=200,サマリー!$B$10,IF(Y6=100,サマリー!$B$11,0)))+IF(Z6="",0,Z6*サマリー!$B$12)</f>
        <v>27872</v>
      </c>
      <c r="E6" s="26">
        <f t="shared" ref="E6:E37" si="0">C6+D6</f>
        <v>27872</v>
      </c>
      <c r="I6" s="27"/>
      <c r="J6" s="27"/>
      <c r="K6" s="27"/>
      <c r="L6" s="27"/>
      <c r="M6" s="27"/>
      <c r="N6" s="27"/>
      <c r="O6" s="27"/>
      <c r="P6" s="24"/>
      <c r="Q6" s="24"/>
      <c r="R6" s="24"/>
      <c r="S6" s="27">
        <v>18250</v>
      </c>
      <c r="T6" s="27"/>
      <c r="U6" s="27">
        <v>9622</v>
      </c>
      <c r="V6" s="27"/>
      <c r="W6" s="27"/>
      <c r="X6" s="24"/>
      <c r="Y6" s="24"/>
      <c r="Z6" s="24"/>
      <c r="AB6" s="39" t="s">
        <v>79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</row>
    <row r="7" spans="1:53">
      <c r="A7" s="28">
        <v>30</v>
      </c>
      <c r="B7" s="17">
        <f t="shared" ref="B7:B38" si="1">IF(A7="",B6,IF(A7&lt;DAY(B6),DATE(YEAR(B6),MONTH(B6)+1,A7),DATE(YEAR(B6),MONTH(B6),A7)))</f>
        <v>46203</v>
      </c>
      <c r="C7" s="26">
        <f>I7+J7+K7+L7+M7+N7+O7+IF(P7="",0,P7*サマリー!$B$9)+IF(Q7="",0,IF(Q7=200,サマリー!$B$10,IF(Q7=100,サマリー!$B$11,0)))+IF(R7="",0,R7*サマリー!$B$12)</f>
        <v>47238</v>
      </c>
      <c r="D7" s="26">
        <f>S7+T7+U7+V7+W7+IF(X7="",0,X7*サマリー!$B$9)+IF(Y7="",0,IF(Y7=200,サマリー!$B$10,IF(Y7=100,サマリー!$B$11,0)))+IF(Z7="",0,Z7*サマリー!$B$12)</f>
        <v>0</v>
      </c>
      <c r="E7" s="26">
        <f t="shared" si="0"/>
        <v>47238</v>
      </c>
      <c r="I7" s="29">
        <v>47238</v>
      </c>
      <c r="J7" s="29"/>
      <c r="K7" s="29"/>
      <c r="L7" s="29"/>
      <c r="M7" s="29"/>
      <c r="N7" s="29"/>
      <c r="O7" s="29"/>
      <c r="P7" s="30"/>
      <c r="Q7" s="30"/>
      <c r="R7" s="30"/>
      <c r="S7" s="31"/>
      <c r="T7" s="31"/>
      <c r="U7" s="31"/>
      <c r="V7" s="31"/>
      <c r="W7" s="31"/>
      <c r="X7" s="32"/>
      <c r="Y7" s="32"/>
      <c r="Z7" s="32"/>
    </row>
    <row r="8" spans="1:53">
      <c r="A8" s="28"/>
      <c r="B8" s="17">
        <f t="shared" si="1"/>
        <v>46203</v>
      </c>
      <c r="C8" s="26">
        <f>I8+J8+K8+L8+M8+N8+O8+IF(P8="",0,P8*サマリー!$B$9)+IF(Q8="",0,IF(Q8=200,サマリー!$B$10,IF(Q8=100,サマリー!$B$11,0)))+IF(R8="",0,R8*サマリー!$B$12)</f>
        <v>43766</v>
      </c>
      <c r="D8" s="26">
        <f>S8+T8+U8+V8+W8+IF(X8="",0,X8*サマリー!$B$9)+IF(Y8="",0,IF(Y8=200,サマリー!$B$10,IF(Y8=100,サマリー!$B$11,0)))+IF(Z8="",0,Z8*サマリー!$B$12)</f>
        <v>0</v>
      </c>
      <c r="E8" s="26">
        <f t="shared" si="0"/>
        <v>43766</v>
      </c>
      <c r="I8" s="29">
        <v>31730</v>
      </c>
      <c r="J8" s="29"/>
      <c r="K8" s="29">
        <v>12036</v>
      </c>
      <c r="L8" s="29"/>
      <c r="M8" s="29"/>
      <c r="N8" s="29"/>
      <c r="O8" s="29"/>
      <c r="P8" s="30"/>
      <c r="Q8" s="30"/>
      <c r="R8" s="30"/>
      <c r="S8" s="31"/>
      <c r="T8" s="31"/>
      <c r="U8" s="31"/>
      <c r="V8" s="31"/>
      <c r="W8" s="31"/>
      <c r="X8" s="32"/>
      <c r="Y8" s="32"/>
      <c r="Z8" s="32"/>
    </row>
    <row r="9" spans="1:53">
      <c r="A9" s="28">
        <v>1</v>
      </c>
      <c r="B9" s="17">
        <f t="shared" si="1"/>
        <v>46204</v>
      </c>
      <c r="C9" s="26">
        <f>I9+J9+K9+L9+M9+N9+O9+IF(P9="",0,P9*サマリー!$B$9)+IF(Q9="",0,IF(Q9=200,サマリー!$B$10,IF(Q9=100,サマリー!$B$11,0)))+IF(R9="",0,R9*サマリー!$B$12)</f>
        <v>50000</v>
      </c>
      <c r="D9" s="26">
        <f>S9+T9+U9+V9+W9+IF(X9="",0,X9*サマリー!$B$9)+IF(Y9="",0,IF(Y9=200,サマリー!$B$10,IF(Y9=100,サマリー!$B$11,0)))+IF(Z9="",0,Z9*サマリー!$B$12)</f>
        <v>555</v>
      </c>
      <c r="E9" s="26">
        <f t="shared" si="0"/>
        <v>50555</v>
      </c>
      <c r="I9" s="29"/>
      <c r="J9" s="29"/>
      <c r="K9" s="29"/>
      <c r="L9" s="29"/>
      <c r="M9" s="29"/>
      <c r="N9" s="29"/>
      <c r="O9" s="29"/>
      <c r="P9" s="30">
        <v>2</v>
      </c>
      <c r="Q9" s="30"/>
      <c r="R9" s="30"/>
      <c r="S9" s="31"/>
      <c r="T9" s="31">
        <v>555</v>
      </c>
      <c r="U9" s="31"/>
      <c r="V9" s="31"/>
      <c r="W9" s="31"/>
      <c r="X9" s="32"/>
      <c r="Y9" s="32"/>
      <c r="Z9" s="32"/>
    </row>
    <row r="10" spans="1:53">
      <c r="A10" s="28">
        <v>2</v>
      </c>
      <c r="B10" s="17">
        <f t="shared" si="1"/>
        <v>46205</v>
      </c>
      <c r="C10" s="26">
        <f>I10+J10+K10+L10+M10+N10+O10+IF(P10="",0,P10*サマリー!$B$9)+IF(Q10="",0,IF(Q10=200,サマリー!$B$10,IF(Q10=100,サマリー!$B$11,0)))+IF(R10="",0,R10*サマリー!$B$12)</f>
        <v>38000</v>
      </c>
      <c r="D10" s="26">
        <f>S10+T10+U10+V10+W10+IF(X10="",0,X10*サマリー!$B$9)+IF(Y10="",0,IF(Y10=200,サマリー!$B$10,IF(Y10=100,サマリー!$B$11,0)))+IF(Z10="",0,Z10*サマリー!$B$12)</f>
        <v>23555</v>
      </c>
      <c r="E10" s="26">
        <f t="shared" si="0"/>
        <v>61555</v>
      </c>
      <c r="I10" s="29"/>
      <c r="J10" s="29"/>
      <c r="K10" s="29"/>
      <c r="L10" s="29"/>
      <c r="M10" s="29"/>
      <c r="N10" s="29">
        <v>13000</v>
      </c>
      <c r="O10" s="29"/>
      <c r="P10" s="30">
        <v>1</v>
      </c>
      <c r="Q10" s="30"/>
      <c r="R10" s="30"/>
      <c r="S10" s="31"/>
      <c r="T10" s="31">
        <v>23555</v>
      </c>
      <c r="U10" s="31"/>
      <c r="V10" s="31"/>
      <c r="W10" s="31"/>
      <c r="X10" s="32"/>
      <c r="Y10" s="32"/>
      <c r="Z10" s="32"/>
    </row>
    <row r="11" spans="1:53">
      <c r="A11" s="28">
        <v>3</v>
      </c>
      <c r="B11" s="17">
        <f t="shared" si="1"/>
        <v>46206</v>
      </c>
      <c r="C11" s="26">
        <f>I11+J11+K11+L11+M11+N11+O11+IF(P11="",0,P11*サマリー!$B$9)+IF(Q11="",0,IF(Q11=200,サマリー!$B$10,IF(Q11=100,サマリー!$B$11,0)))+IF(R11="",0,R11*サマリー!$B$12)</f>
        <v>33519</v>
      </c>
      <c r="D11" s="26">
        <f>S11+T11+U11+V11+W11+IF(X11="",0,X11*サマリー!$B$9)+IF(Y11="",0,IF(Y11=200,サマリー!$B$10,IF(Y11=100,サマリー!$B$11,0)))+IF(Z11="",0,Z11*サマリー!$B$12)</f>
        <v>1755</v>
      </c>
      <c r="E11" s="26">
        <f t="shared" si="0"/>
        <v>35274</v>
      </c>
      <c r="I11" s="29"/>
      <c r="J11" s="29">
        <v>3519</v>
      </c>
      <c r="K11" s="29"/>
      <c r="L11" s="29"/>
      <c r="M11" s="29"/>
      <c r="N11" s="29"/>
      <c r="O11" s="29"/>
      <c r="P11" s="30"/>
      <c r="Q11" s="30"/>
      <c r="R11" s="30">
        <v>1</v>
      </c>
      <c r="S11" s="31"/>
      <c r="T11" s="31"/>
      <c r="U11" s="31"/>
      <c r="V11" s="31">
        <v>1755</v>
      </c>
      <c r="W11" s="31"/>
      <c r="X11" s="32"/>
      <c r="Y11" s="32"/>
      <c r="Z11" s="32"/>
    </row>
    <row r="12" spans="1:53">
      <c r="A12" s="28"/>
      <c r="B12" s="17">
        <f t="shared" si="1"/>
        <v>46206</v>
      </c>
      <c r="C12" s="26">
        <f>I12+J12+K12+L12+M12+N12+O12+IF(P12="",0,P12*サマリー!$B$9)+IF(Q12="",0,IF(Q12=200,サマリー!$B$10,IF(Q12=100,サマリー!$B$11,0)))+IF(R12="",0,R12*サマリー!$B$12)</f>
        <v>0</v>
      </c>
      <c r="D12" s="26">
        <f>S12+T12+U12+V12+W12+IF(X12="",0,X12*サマリー!$B$9)+IF(Y12="",0,IF(Y12=200,サマリー!$B$10,IF(Y12=100,サマリー!$B$11,0)))+IF(Z12="",0,Z12*サマリー!$B$12)</f>
        <v>6400</v>
      </c>
      <c r="E12" s="26">
        <f t="shared" si="0"/>
        <v>6400</v>
      </c>
      <c r="I12" s="29"/>
      <c r="J12" s="29"/>
      <c r="K12" s="29"/>
      <c r="L12" s="29"/>
      <c r="M12" s="29"/>
      <c r="N12" s="29"/>
      <c r="O12" s="29"/>
      <c r="P12" s="30"/>
      <c r="Q12" s="30"/>
      <c r="R12" s="30"/>
      <c r="S12" s="31"/>
      <c r="T12" s="31"/>
      <c r="U12" s="31"/>
      <c r="V12" s="31">
        <v>6400</v>
      </c>
      <c r="W12" s="31"/>
      <c r="X12" s="32"/>
      <c r="Y12" s="32"/>
      <c r="Z12" s="32"/>
    </row>
    <row r="13" spans="1:53">
      <c r="A13" s="28"/>
      <c r="B13" s="17">
        <f t="shared" si="1"/>
        <v>46206</v>
      </c>
      <c r="C13" s="26">
        <f>I13+J13+K13+L13+M13+N13+O13+IF(P13="",0,P13*サマリー!$B$9)+IF(Q13="",0,IF(Q13=200,サマリー!$B$10,IF(Q13=100,サマリー!$B$11,0)))+IF(R13="",0,R13*サマリー!$B$12)</f>
        <v>0</v>
      </c>
      <c r="D13" s="26">
        <f>S13+T13+U13+V13+W13+IF(X13="",0,X13*サマリー!$B$9)+IF(Y13="",0,IF(Y13=200,サマリー!$B$10,IF(Y13=100,サマリー!$B$11,0)))+IF(Z13="",0,Z13*サマリー!$B$12)</f>
        <v>11900</v>
      </c>
      <c r="E13" s="26">
        <f t="shared" si="0"/>
        <v>11900</v>
      </c>
      <c r="I13" s="29"/>
      <c r="J13" s="29"/>
      <c r="K13" s="29"/>
      <c r="L13" s="29"/>
      <c r="M13" s="29"/>
      <c r="N13" s="29"/>
      <c r="O13" s="29"/>
      <c r="P13" s="30"/>
      <c r="Q13" s="30"/>
      <c r="R13" s="30"/>
      <c r="S13" s="31"/>
      <c r="T13" s="31"/>
      <c r="U13" s="31"/>
      <c r="V13" s="31">
        <v>11900</v>
      </c>
      <c r="W13" s="31"/>
      <c r="X13" s="32"/>
      <c r="Y13" s="32"/>
      <c r="Z13" s="32"/>
    </row>
    <row r="14" spans="1:53">
      <c r="A14" s="28">
        <v>4</v>
      </c>
      <c r="B14" s="17">
        <f t="shared" si="1"/>
        <v>46207</v>
      </c>
      <c r="C14" s="26">
        <f>I14+J14+K14+L14+M14+N14+O14+IF(P14="",0,P14*サマリー!$B$9)+IF(Q14="",0,IF(Q14=200,サマリー!$B$10,IF(Q14=100,サマリー!$B$11,0)))+IF(R14="",0,R14*サマリー!$B$12)</f>
        <v>7255</v>
      </c>
      <c r="D14" s="26">
        <f>S14+T14+U14+V14+W14+IF(X14="",0,X14*サマリー!$B$9)+IF(Y14="",0,IF(Y14=200,サマリー!$B$10,IF(Y14=100,サマリー!$B$11,0)))+IF(Z14="",0,Z14*サマリー!$B$12)</f>
        <v>0</v>
      </c>
      <c r="E14" s="26">
        <f t="shared" si="0"/>
        <v>7255</v>
      </c>
      <c r="I14" s="29"/>
      <c r="J14" s="29">
        <v>1755</v>
      </c>
      <c r="K14" s="29"/>
      <c r="L14" s="29">
        <v>5500</v>
      </c>
      <c r="M14" s="29"/>
      <c r="N14" s="29"/>
      <c r="O14" s="29"/>
      <c r="P14" s="30"/>
      <c r="Q14" s="30"/>
      <c r="R14" s="30"/>
      <c r="S14" s="31"/>
      <c r="T14" s="31"/>
      <c r="U14" s="31"/>
      <c r="V14" s="31"/>
      <c r="W14" s="31"/>
      <c r="X14" s="32"/>
      <c r="Y14" s="32"/>
      <c r="Z14" s="32"/>
    </row>
    <row r="15" spans="1:53">
      <c r="A15" s="28">
        <v>5</v>
      </c>
      <c r="B15" s="17">
        <f t="shared" si="1"/>
        <v>46208</v>
      </c>
      <c r="C15" s="26">
        <f>I15+J15+K15+L15+M15+N15+O15+IF(P15="",0,P15*サマリー!$B$9)+IF(Q15="",0,IF(Q15=200,サマリー!$B$10,IF(Q15=100,サマリー!$B$11,0)))+IF(R15="",0,R15*サマリー!$B$12)</f>
        <v>12119</v>
      </c>
      <c r="D15" s="26">
        <f>S15+T15+U15+V15+W15+IF(X15="",0,X15*サマリー!$B$9)+IF(Y15="",0,IF(Y15=200,サマリー!$B$10,IF(Y15=100,サマリー!$B$11,0)))+IF(Z15="",0,Z15*サマリー!$B$12)</f>
        <v>18800</v>
      </c>
      <c r="E15" s="26">
        <f t="shared" si="0"/>
        <v>30919</v>
      </c>
      <c r="I15" s="29">
        <v>12119</v>
      </c>
      <c r="J15" s="29"/>
      <c r="K15" s="29"/>
      <c r="L15" s="29"/>
      <c r="M15" s="29"/>
      <c r="N15" s="29"/>
      <c r="O15" s="29"/>
      <c r="P15" s="30"/>
      <c r="Q15" s="30"/>
      <c r="R15" s="30"/>
      <c r="S15" s="31"/>
      <c r="T15" s="31"/>
      <c r="U15" s="31"/>
      <c r="V15" s="31">
        <v>18800</v>
      </c>
      <c r="W15" s="31"/>
      <c r="X15" s="32"/>
      <c r="Y15" s="32"/>
      <c r="Z15" s="32"/>
    </row>
    <row r="16" spans="1:53">
      <c r="A16" s="28"/>
      <c r="B16" s="17">
        <f t="shared" si="1"/>
        <v>46208</v>
      </c>
      <c r="C16" s="26">
        <f>I16+J16+K16+L16+M16+N16+O16+IF(P16="",0,P16*サマリー!$B$9)+IF(Q16="",0,IF(Q16=200,サマリー!$B$10,IF(Q16=100,サマリー!$B$11,0)))+IF(R16="",0,R16*サマリー!$B$12)</f>
        <v>759</v>
      </c>
      <c r="D16" s="26">
        <f>S16+T16+U16+V16+W16+IF(X16="",0,X16*サマリー!$B$9)+IF(Y16="",0,IF(Y16=200,サマリー!$B$10,IF(Y16=100,サマリー!$B$11,0)))+IF(Z16="",0,Z16*サマリー!$B$12)</f>
        <v>0</v>
      </c>
      <c r="E16" s="26">
        <f t="shared" si="0"/>
        <v>759</v>
      </c>
      <c r="I16" s="29">
        <v>550</v>
      </c>
      <c r="J16" s="29">
        <v>209</v>
      </c>
      <c r="K16" s="29"/>
      <c r="L16" s="29"/>
      <c r="M16" s="29"/>
      <c r="N16" s="29"/>
      <c r="O16" s="29"/>
      <c r="P16" s="30"/>
      <c r="Q16" s="30"/>
      <c r="R16" s="30"/>
      <c r="S16" s="31"/>
      <c r="T16" s="31"/>
      <c r="U16" s="31"/>
      <c r="V16" s="31"/>
      <c r="W16" s="31"/>
      <c r="X16" s="32"/>
      <c r="Y16" s="32"/>
      <c r="Z16" s="32"/>
    </row>
    <row r="17" spans="1:26">
      <c r="A17" s="28"/>
      <c r="B17" s="17">
        <f t="shared" si="1"/>
        <v>46208</v>
      </c>
      <c r="C17" s="26">
        <f>I17+J17+K17+L17+M17+N17+O17+IF(P17="",0,P17*サマリー!$B$9)+IF(Q17="",0,IF(Q17=200,サマリー!$B$10,IF(Q17=100,サマリー!$B$11,0)))+IF(R17="",0,R17*サマリー!$B$12)</f>
        <v>13010</v>
      </c>
      <c r="D17" s="26">
        <f>S17+T17+U17+V17+W17+IF(X17="",0,X17*サマリー!$B$9)+IF(Y17="",0,IF(Y17=200,サマリー!$B$10,IF(Y17=100,サマリー!$B$11,0)))+IF(Z17="",0,Z17*サマリー!$B$12)</f>
        <v>0</v>
      </c>
      <c r="E17" s="26">
        <f t="shared" si="0"/>
        <v>13010</v>
      </c>
      <c r="I17" s="29">
        <v>13010</v>
      </c>
      <c r="J17" s="29"/>
      <c r="K17" s="29"/>
      <c r="L17" s="29"/>
      <c r="M17" s="29"/>
      <c r="N17" s="29"/>
      <c r="O17" s="29"/>
      <c r="P17" s="30"/>
      <c r="Q17" s="30"/>
      <c r="R17" s="30"/>
      <c r="S17" s="31"/>
      <c r="T17" s="31"/>
      <c r="U17" s="31"/>
      <c r="V17" s="31"/>
      <c r="W17" s="31"/>
      <c r="X17" s="32"/>
      <c r="Y17" s="32"/>
      <c r="Z17" s="32"/>
    </row>
    <row r="18" spans="1:26">
      <c r="A18" s="28">
        <v>6</v>
      </c>
      <c r="B18" s="17">
        <f t="shared" si="1"/>
        <v>46209</v>
      </c>
      <c r="C18" s="26">
        <f>I18+J18+K18+L18+M18+N18+O18+IF(P18="",0,P18*サマリー!$B$9)+IF(Q18="",0,IF(Q18=200,サマリー!$B$10,IF(Q18=100,サマリー!$B$11,0)))+IF(R18="",0,R18*サマリー!$B$12)</f>
        <v>2000</v>
      </c>
      <c r="D18" s="26">
        <f>S18+T18+U18+V18+W18+IF(X18="",0,X18*サマリー!$B$9)+IF(Y18="",0,IF(Y18=200,サマリー!$B$10,IF(Y18=100,サマリー!$B$11,0)))+IF(Z18="",0,Z18*サマリー!$B$12)</f>
        <v>62258</v>
      </c>
      <c r="E18" s="26">
        <f t="shared" si="0"/>
        <v>64258</v>
      </c>
      <c r="I18" s="29"/>
      <c r="J18" s="29"/>
      <c r="K18" s="29"/>
      <c r="L18" s="29">
        <v>2000</v>
      </c>
      <c r="M18" s="29"/>
      <c r="N18" s="29"/>
      <c r="O18" s="29"/>
      <c r="P18" s="30"/>
      <c r="Q18" s="30"/>
      <c r="R18" s="30"/>
      <c r="S18" s="31">
        <v>23200</v>
      </c>
      <c r="T18" s="31"/>
      <c r="U18" s="31">
        <v>31817</v>
      </c>
      <c r="V18" s="31"/>
      <c r="W18" s="31"/>
      <c r="X18" s="32"/>
      <c r="Y18" s="32">
        <v>200</v>
      </c>
      <c r="Z18" s="32"/>
    </row>
    <row r="19" spans="1:26">
      <c r="A19" s="28"/>
      <c r="B19" s="17">
        <f t="shared" si="1"/>
        <v>46209</v>
      </c>
      <c r="C19" s="26">
        <f>I19+J19+K19+L19+M19+N19+O19+IF(P19="",0,P19*サマリー!$B$9)+IF(Q19="",0,IF(Q19=200,サマリー!$B$10,IF(Q19=100,サマリー!$B$11,0)))+IF(R19="",0,R19*サマリー!$B$12)</f>
        <v>0</v>
      </c>
      <c r="D19" s="26">
        <f>S19+T19+U19+V19+W19+IF(X19="",0,X19*サマリー!$B$9)+IF(Y19="",0,IF(Y19=200,サマリー!$B$10,IF(Y19=100,サマリー!$B$11,0)))+IF(Z19="",0,Z19*サマリー!$B$12)</f>
        <v>3655</v>
      </c>
      <c r="E19" s="26">
        <f t="shared" si="0"/>
        <v>3655</v>
      </c>
      <c r="I19" s="29"/>
      <c r="J19" s="29"/>
      <c r="K19" s="29"/>
      <c r="L19" s="29"/>
      <c r="M19" s="29"/>
      <c r="N19" s="29"/>
      <c r="O19" s="29"/>
      <c r="P19" s="30"/>
      <c r="Q19" s="30"/>
      <c r="R19" s="30"/>
      <c r="S19" s="31"/>
      <c r="T19" s="31">
        <v>3655</v>
      </c>
      <c r="U19" s="31"/>
      <c r="V19" s="31"/>
      <c r="W19" s="31"/>
      <c r="X19" s="32"/>
      <c r="Y19" s="32"/>
      <c r="Z19" s="32"/>
    </row>
    <row r="20" spans="1:26">
      <c r="A20" s="28"/>
      <c r="B20" s="17">
        <f t="shared" si="1"/>
        <v>46209</v>
      </c>
      <c r="C20" s="26">
        <f>I20+J20+K20+L20+M20+N20+O20+IF(P20="",0,P20*サマリー!$B$9)+IF(Q20="",0,IF(Q20=200,サマリー!$B$10,IF(Q20=100,サマリー!$B$11,0)))+IF(R20="",0,R20*サマリー!$B$12)</f>
        <v>0</v>
      </c>
      <c r="D20" s="26">
        <f>S20+T20+U20+V20+W20+IF(X20="",0,X20*サマリー!$B$9)+IF(Y20="",0,IF(Y20=200,サマリー!$B$10,IF(Y20=100,サマリー!$B$11,0)))+IF(Z20="",0,Z20*サマリー!$B$12)</f>
        <v>1100</v>
      </c>
      <c r="E20" s="26">
        <f t="shared" si="0"/>
        <v>1100</v>
      </c>
      <c r="I20" s="29"/>
      <c r="J20" s="29"/>
      <c r="K20" s="29"/>
      <c r="L20" s="29"/>
      <c r="M20" s="29"/>
      <c r="N20" s="29"/>
      <c r="O20" s="29"/>
      <c r="P20" s="30"/>
      <c r="Q20" s="30"/>
      <c r="R20" s="30"/>
      <c r="S20" s="31"/>
      <c r="T20" s="31">
        <v>1100</v>
      </c>
      <c r="U20" s="31"/>
      <c r="V20" s="31"/>
      <c r="W20" s="31"/>
      <c r="X20" s="32"/>
      <c r="Y20" s="32"/>
      <c r="Z20" s="32"/>
    </row>
    <row r="21" spans="1:26">
      <c r="A21" s="28"/>
      <c r="B21" s="17">
        <f t="shared" si="1"/>
        <v>46209</v>
      </c>
      <c r="C21" s="26">
        <f>I21+J21+K21+L21+M21+N21+O21+IF(P21="",0,P21*サマリー!$B$9)+IF(Q21="",0,IF(Q21=200,サマリー!$B$10,IF(Q21=100,サマリー!$B$11,0)))+IF(R21="",0,R21*サマリー!$B$12)</f>
        <v>0</v>
      </c>
      <c r="D21" s="26">
        <f>S21+T21+U21+V21+W21+IF(X21="",0,X21*サマリー!$B$9)+IF(Y21="",0,IF(Y21=200,サマリー!$B$10,IF(Y21=100,サマリー!$B$11,0)))+IF(Z21="",0,Z21*サマリー!$B$12)</f>
        <v>3755</v>
      </c>
      <c r="E21" s="26">
        <f t="shared" si="0"/>
        <v>3755</v>
      </c>
      <c r="I21" s="29"/>
      <c r="J21" s="29"/>
      <c r="K21" s="29"/>
      <c r="L21" s="29"/>
      <c r="M21" s="29"/>
      <c r="N21" s="29"/>
      <c r="O21" s="29"/>
      <c r="P21" s="30"/>
      <c r="Q21" s="30"/>
      <c r="R21" s="30"/>
      <c r="S21" s="31"/>
      <c r="T21" s="31">
        <v>3755</v>
      </c>
      <c r="U21" s="31"/>
      <c r="V21" s="31"/>
      <c r="W21" s="31"/>
      <c r="X21" s="32"/>
      <c r="Y21" s="32"/>
      <c r="Z21" s="32"/>
    </row>
    <row r="22" spans="1:26">
      <c r="A22" s="28"/>
      <c r="B22" s="17">
        <f t="shared" si="1"/>
        <v>46209</v>
      </c>
      <c r="C22" s="26">
        <f>I22+J22+K22+L22+M22+N22+O22+IF(P22="",0,P22*サマリー!$B$9)+IF(Q22="",0,IF(Q22=200,サマリー!$B$10,IF(Q22=100,サマリー!$B$11,0)))+IF(R22="",0,R22*サマリー!$B$12)</f>
        <v>0</v>
      </c>
      <c r="D22" s="26">
        <f>S22+T22+U22+V22+W22+IF(X22="",0,X22*サマリー!$B$9)+IF(Y22="",0,IF(Y22=200,サマリー!$B$10,IF(Y22=100,サマリー!$B$11,0)))+IF(Z22="",0,Z22*サマリー!$B$12)</f>
        <v>25838</v>
      </c>
      <c r="E22" s="26">
        <f t="shared" si="0"/>
        <v>25838</v>
      </c>
      <c r="I22" s="29"/>
      <c r="J22" s="29"/>
      <c r="K22" s="29"/>
      <c r="L22" s="29"/>
      <c r="M22" s="29"/>
      <c r="N22" s="29"/>
      <c r="O22" s="29"/>
      <c r="P22" s="30"/>
      <c r="Q22" s="30"/>
      <c r="R22" s="30"/>
      <c r="S22" s="31">
        <v>25838</v>
      </c>
      <c r="T22" s="31"/>
      <c r="U22" s="31"/>
      <c r="V22" s="31"/>
      <c r="W22" s="31"/>
      <c r="X22" s="32"/>
      <c r="Y22" s="32"/>
      <c r="Z22" s="32"/>
    </row>
    <row r="23" spans="1:26">
      <c r="A23" s="28">
        <v>7</v>
      </c>
      <c r="B23" s="17">
        <f t="shared" si="1"/>
        <v>46210</v>
      </c>
      <c r="C23" s="26">
        <f>I23+J23+K23+L23+M23+N23+O23+IF(P23="",0,P23*サマリー!$B$9)+IF(Q23="",0,IF(Q23=200,サマリー!$B$10,IF(Q23=100,サマリー!$B$11,0)))+IF(R23="",0,R23*サマリー!$B$12)</f>
        <v>0</v>
      </c>
      <c r="D23" s="26">
        <f>S23+T23+U23+V23+W23+IF(X23="",0,X23*サマリー!$B$9)+IF(Y23="",0,IF(Y23=200,サマリー!$B$10,IF(Y23=100,サマリー!$B$11,0)))+IF(Z23="",0,Z23*サマリー!$B$12)</f>
        <v>11441</v>
      </c>
      <c r="E23" s="26">
        <f t="shared" si="0"/>
        <v>11441</v>
      </c>
      <c r="I23" s="29"/>
      <c r="J23" s="29"/>
      <c r="K23" s="29"/>
      <c r="L23" s="29"/>
      <c r="M23" s="29"/>
      <c r="N23" s="29"/>
      <c r="O23" s="29"/>
      <c r="P23" s="30"/>
      <c r="Q23" s="30"/>
      <c r="R23" s="30"/>
      <c r="S23" s="31"/>
      <c r="T23" s="31">
        <v>4200</v>
      </c>
      <c r="U23" s="31"/>
      <c r="V23" s="31"/>
      <c r="W23" s="31"/>
      <c r="X23" s="32"/>
      <c r="Y23" s="32">
        <v>200</v>
      </c>
      <c r="Z23" s="32"/>
    </row>
    <row r="24" spans="1:26">
      <c r="A24" s="28">
        <v>8</v>
      </c>
      <c r="B24" s="17">
        <f t="shared" si="1"/>
        <v>46211</v>
      </c>
      <c r="C24" s="26">
        <f>I24+J24+K24+L24+M24+N24+O24+IF(P24="",0,P24*サマリー!$B$9)+IF(Q24="",0,IF(Q24=200,サマリー!$B$10,IF(Q24=100,サマリー!$B$11,0)))+IF(R24="",0,R24*サマリー!$B$12)</f>
        <v>4955</v>
      </c>
      <c r="D24" s="26">
        <f>S24+T24+U24+V24+W24+IF(X24="",0,X24*サマリー!$B$9)+IF(Y24="",0,IF(Y24=200,サマリー!$B$10,IF(Y24=100,サマリー!$B$11,0)))+IF(Z24="",0,Z24*サマリー!$B$12)</f>
        <v>0</v>
      </c>
      <c r="E24" s="26">
        <f t="shared" si="0"/>
        <v>4955</v>
      </c>
      <c r="I24" s="29"/>
      <c r="J24" s="29">
        <v>4955</v>
      </c>
      <c r="K24" s="29"/>
      <c r="L24" s="29"/>
      <c r="M24" s="29"/>
      <c r="N24" s="29"/>
      <c r="O24" s="29"/>
      <c r="P24" s="30"/>
      <c r="Q24" s="30"/>
      <c r="R24" s="30"/>
      <c r="S24" s="31"/>
      <c r="T24" s="31"/>
      <c r="U24" s="31"/>
      <c r="V24" s="31"/>
      <c r="W24" s="31"/>
      <c r="X24" s="32"/>
      <c r="Y24" s="32"/>
      <c r="Z24" s="32"/>
    </row>
    <row r="25" spans="1:26">
      <c r="A25" s="28"/>
      <c r="B25" s="17">
        <f t="shared" si="1"/>
        <v>46211</v>
      </c>
      <c r="C25" s="26">
        <f>I25+J25+K25+L25+M25+N25+O25+IF(P25="",0,P25*サマリー!$B$9)+IF(Q25="",0,IF(Q25=200,サマリー!$B$10,IF(Q25=100,サマリー!$B$11,0)))+IF(R25="",0,R25*サマリー!$B$12)</f>
        <v>1655</v>
      </c>
      <c r="D25" s="26">
        <f>S25+T25+U25+V25+W25+IF(X25="",0,X25*サマリー!$B$9)+IF(Y25="",0,IF(Y25=200,サマリー!$B$10,IF(Y25=100,サマリー!$B$11,0)))+IF(Z25="",0,Z25*サマリー!$B$12)</f>
        <v>0</v>
      </c>
      <c r="E25" s="26">
        <f t="shared" si="0"/>
        <v>1655</v>
      </c>
      <c r="I25" s="29"/>
      <c r="J25" s="29">
        <v>1655</v>
      </c>
      <c r="K25" s="29"/>
      <c r="L25" s="29"/>
      <c r="M25" s="29"/>
      <c r="N25" s="29"/>
      <c r="O25" s="29"/>
      <c r="P25" s="30"/>
      <c r="Q25" s="30"/>
      <c r="R25" s="30"/>
      <c r="S25" s="31"/>
      <c r="T25" s="31"/>
      <c r="U25" s="31"/>
      <c r="V25" s="31"/>
      <c r="W25" s="31"/>
      <c r="X25" s="32"/>
      <c r="Y25" s="32"/>
      <c r="Z25" s="32"/>
    </row>
    <row r="26" spans="1:26">
      <c r="A26" s="28">
        <v>9</v>
      </c>
      <c r="B26" s="17">
        <f t="shared" si="1"/>
        <v>46212</v>
      </c>
      <c r="C26" s="26">
        <f>I26+J26+K26+L26+M26+N26+O26+IF(P26="",0,P26*サマリー!$B$9)+IF(Q26="",0,IF(Q26=200,サマリー!$B$10,IF(Q26=100,サマリー!$B$11,0)))+IF(R26="",0,R26*サマリー!$B$12)</f>
        <v>25000</v>
      </c>
      <c r="D26" s="26">
        <f>S26+T26+U26+V26+W26+IF(X26="",0,X26*サマリー!$B$9)+IF(Y26="",0,IF(Y26=200,サマリー!$B$10,IF(Y26=100,サマリー!$B$11,0)))+IF(Z26="",0,Z26*サマリー!$B$12)</f>
        <v>35034</v>
      </c>
      <c r="E26" s="26">
        <f t="shared" si="0"/>
        <v>60034</v>
      </c>
      <c r="I26" s="29"/>
      <c r="J26" s="29"/>
      <c r="K26" s="29"/>
      <c r="L26" s="29"/>
      <c r="M26" s="29"/>
      <c r="N26" s="29"/>
      <c r="O26" s="29"/>
      <c r="P26" s="30">
        <v>1</v>
      </c>
      <c r="Q26" s="30"/>
      <c r="R26" s="30"/>
      <c r="S26" s="31"/>
      <c r="T26" s="31">
        <v>4200</v>
      </c>
      <c r="U26" s="31">
        <v>834</v>
      </c>
      <c r="V26" s="31"/>
      <c r="W26" s="31"/>
      <c r="X26" s="32"/>
      <c r="Y26" s="32"/>
      <c r="Z26" s="32">
        <v>1</v>
      </c>
    </row>
    <row r="27" spans="1:26">
      <c r="A27" s="28"/>
      <c r="B27" s="17">
        <f t="shared" si="1"/>
        <v>46212</v>
      </c>
      <c r="C27" s="26">
        <f>I27+J27+K27+L27+M27+N27+O27+IF(P27="",0,P27*サマリー!$B$9)+IF(Q27="",0,IF(Q27=200,サマリー!$B$10,IF(Q27=100,サマリー!$B$11,0)))+IF(R27="",0,R27*サマリー!$B$12)</f>
        <v>0</v>
      </c>
      <c r="D27" s="26">
        <f>S27+T27+U27+V27+W27+IF(X27="",0,X27*サマリー!$B$9)+IF(Y27="",0,IF(Y27=200,サマリー!$B$10,IF(Y27=100,サマリー!$B$11,0)))+IF(Z27="",0,Z27*サマリー!$B$12)</f>
        <v>2200</v>
      </c>
      <c r="E27" s="26">
        <f t="shared" si="0"/>
        <v>2200</v>
      </c>
      <c r="I27" s="29"/>
      <c r="J27" s="29"/>
      <c r="K27" s="29"/>
      <c r="L27" s="29"/>
      <c r="M27" s="29"/>
      <c r="N27" s="29"/>
      <c r="O27" s="29"/>
      <c r="P27" s="30"/>
      <c r="Q27" s="30"/>
      <c r="R27" s="30"/>
      <c r="S27" s="31"/>
      <c r="T27" s="31">
        <v>2200</v>
      </c>
      <c r="U27" s="31"/>
      <c r="V27" s="31"/>
      <c r="W27" s="31"/>
      <c r="X27" s="32"/>
      <c r="Y27" s="32"/>
      <c r="Z27" s="32"/>
    </row>
    <row r="28" spans="1:26">
      <c r="A28" s="28"/>
      <c r="B28" s="17">
        <f t="shared" si="1"/>
        <v>46212</v>
      </c>
      <c r="C28" s="26">
        <f>I28+J28+K28+L28+M28+N28+O28+IF(P28="",0,P28*サマリー!$B$9)+IF(Q28="",0,IF(Q28=200,サマリー!$B$10,IF(Q28=100,サマリー!$B$11,0)))+IF(R28="",0,R28*サマリー!$B$12)</f>
        <v>0</v>
      </c>
      <c r="D28" s="26">
        <f>S28+T28+U28+V28+W28+IF(X28="",0,X28*サマリー!$B$9)+IF(Y28="",0,IF(Y28=200,サマリー!$B$10,IF(Y28=100,サマリー!$B$11,0)))+IF(Z28="",0,Z28*サマリー!$B$12)</f>
        <v>6400</v>
      </c>
      <c r="E28" s="26">
        <f t="shared" si="0"/>
        <v>6400</v>
      </c>
      <c r="I28" s="29"/>
      <c r="J28" s="29"/>
      <c r="K28" s="29"/>
      <c r="L28" s="29"/>
      <c r="M28" s="29"/>
      <c r="N28" s="29"/>
      <c r="O28" s="29"/>
      <c r="P28" s="30"/>
      <c r="Q28" s="30"/>
      <c r="R28" s="30"/>
      <c r="S28" s="31"/>
      <c r="T28" s="31">
        <v>6400</v>
      </c>
      <c r="U28" s="31"/>
      <c r="V28" s="31"/>
      <c r="W28" s="31"/>
      <c r="X28" s="32"/>
      <c r="Y28" s="32"/>
      <c r="Z28" s="32"/>
    </row>
    <row r="29" spans="1:26">
      <c r="A29" s="28"/>
      <c r="B29" s="17">
        <f t="shared" si="1"/>
        <v>46212</v>
      </c>
      <c r="C29" s="26">
        <f>I29+J29+K29+L29+M29+N29+O29+IF(P29="",0,P29*サマリー!$B$9)+IF(Q29="",0,IF(Q29=200,サマリー!$B$10,IF(Q29=100,サマリー!$B$11,0)))+IF(R29="",0,R29*サマリー!$B$12)</f>
        <v>0</v>
      </c>
      <c r="D29" s="26">
        <f>S29+T29+U29+V29+W29+IF(X29="",0,X29*サマリー!$B$9)+IF(Y29="",0,IF(Y29=200,サマリー!$B$10,IF(Y29=100,サマリー!$B$11,0)))+IF(Z29="",0,Z29*サマリー!$B$12)</f>
        <v>3034</v>
      </c>
      <c r="E29" s="26">
        <f t="shared" si="0"/>
        <v>3034</v>
      </c>
      <c r="I29" s="29"/>
      <c r="J29" s="29"/>
      <c r="K29" s="29"/>
      <c r="L29" s="29"/>
      <c r="M29" s="29"/>
      <c r="N29" s="29"/>
      <c r="O29" s="29"/>
      <c r="P29" s="30"/>
      <c r="Q29" s="30"/>
      <c r="R29" s="30"/>
      <c r="S29" s="31"/>
      <c r="T29" s="31">
        <v>2200</v>
      </c>
      <c r="U29" s="31">
        <v>834</v>
      </c>
      <c r="V29" s="31"/>
      <c r="W29" s="31"/>
      <c r="X29" s="32"/>
      <c r="Y29" s="32"/>
      <c r="Z29" s="32"/>
    </row>
    <row r="30" spans="1:26">
      <c r="A30" s="28"/>
      <c r="B30" s="17">
        <f t="shared" si="1"/>
        <v>46212</v>
      </c>
      <c r="C30" s="26">
        <f>I30+J30+K30+L30+M30+N30+O30+IF(P30="",0,P30*サマリー!$B$9)+IF(Q30="",0,IF(Q30=200,サマリー!$B$10,IF(Q30=100,サマリー!$B$11,0)))+IF(R30="",0,R30*サマリー!$B$12)</f>
        <v>0</v>
      </c>
      <c r="D30" s="26">
        <f>S30+T30+U30+V30+W30+IF(X30="",0,X30*サマリー!$B$9)+IF(Y30="",0,IF(Y30=200,サマリー!$B$10,IF(Y30=100,サマリー!$B$11,0)))+IF(Z30="",0,Z30*サマリー!$B$12)</f>
        <v>1755</v>
      </c>
      <c r="E30" s="26">
        <f t="shared" si="0"/>
        <v>1755</v>
      </c>
      <c r="I30" s="29"/>
      <c r="J30" s="29"/>
      <c r="K30" s="29"/>
      <c r="L30" s="29"/>
      <c r="M30" s="29"/>
      <c r="N30" s="29"/>
      <c r="O30" s="29"/>
      <c r="P30" s="30"/>
      <c r="Q30" s="30"/>
      <c r="R30" s="30"/>
      <c r="S30" s="31"/>
      <c r="T30" s="31">
        <v>1755</v>
      </c>
      <c r="U30" s="31"/>
      <c r="V30" s="31"/>
      <c r="W30" s="31"/>
      <c r="X30" s="32"/>
      <c r="Y30" s="32"/>
      <c r="Z30" s="32"/>
    </row>
    <row r="31" spans="1:26">
      <c r="A31" s="28">
        <v>10</v>
      </c>
      <c r="B31" s="17">
        <f t="shared" si="1"/>
        <v>46213</v>
      </c>
      <c r="C31" s="26">
        <f>I31+J31+K31+L31+M31+N31+O31+IF(P31="",0,P31*サマリー!$B$9)+IF(Q31="",0,IF(Q31=200,サマリー!$B$10,IF(Q31=100,サマリー!$B$11,0)))+IF(R31="",0,R31*サマリー!$B$12)</f>
        <v>15793</v>
      </c>
      <c r="D31" s="26">
        <f>S31+T31+U31+V31+W31+IF(X31="",0,X31*サマリー!$B$9)+IF(Y31="",0,IF(Y31=200,サマリー!$B$10,IF(Y31=100,サマリー!$B$11,0)))+IF(Z31="",0,Z31*サマリー!$B$12)</f>
        <v>0</v>
      </c>
      <c r="E31" s="26">
        <f t="shared" si="0"/>
        <v>15793</v>
      </c>
      <c r="I31" s="29"/>
      <c r="J31" s="29">
        <v>2200</v>
      </c>
      <c r="K31" s="29">
        <v>13593</v>
      </c>
      <c r="L31" s="29"/>
      <c r="M31" s="29"/>
      <c r="N31" s="29"/>
      <c r="O31" s="29"/>
      <c r="P31" s="30"/>
      <c r="Q31" s="30"/>
      <c r="R31" s="30"/>
      <c r="S31" s="31"/>
      <c r="T31" s="31"/>
      <c r="U31" s="31"/>
      <c r="V31" s="31"/>
      <c r="W31" s="31"/>
      <c r="X31" s="32"/>
      <c r="Y31" s="32"/>
      <c r="Z31" s="32"/>
    </row>
    <row r="32" spans="1:26">
      <c r="A32" s="28"/>
      <c r="B32" s="17">
        <f t="shared" si="1"/>
        <v>46213</v>
      </c>
      <c r="C32" s="26">
        <f>I32+J32+K32+L32+M32+N32+O32+IF(P32="",0,P32*サマリー!$B$9)+IF(Q32="",0,IF(Q32=200,サマリー!$B$10,IF(Q32=100,サマリー!$B$11,0)))+IF(R32="",0,R32*サマリー!$B$12)</f>
        <v>1100</v>
      </c>
      <c r="D32" s="26">
        <f>S32+T32+U32+V32+W32+IF(X32="",0,X32*サマリー!$B$9)+IF(Y32="",0,IF(Y32=200,サマリー!$B$10,IF(Y32=100,サマリー!$B$11,0)))+IF(Z32="",0,Z32*サマリー!$B$12)</f>
        <v>0</v>
      </c>
      <c r="E32" s="26">
        <f t="shared" si="0"/>
        <v>1100</v>
      </c>
      <c r="I32" s="29"/>
      <c r="J32" s="29">
        <v>1100</v>
      </c>
      <c r="K32" s="29"/>
      <c r="L32" s="29"/>
      <c r="M32" s="29"/>
      <c r="N32" s="29"/>
      <c r="O32" s="29"/>
      <c r="P32" s="30"/>
      <c r="Q32" s="30"/>
      <c r="R32" s="30"/>
      <c r="S32" s="31"/>
      <c r="T32" s="31"/>
      <c r="U32" s="31"/>
      <c r="V32" s="31"/>
      <c r="W32" s="31"/>
      <c r="X32" s="32"/>
      <c r="Y32" s="32"/>
      <c r="Z32" s="32"/>
    </row>
    <row r="33" spans="1:26">
      <c r="A33" s="28"/>
      <c r="B33" s="17">
        <f t="shared" si="1"/>
        <v>46213</v>
      </c>
      <c r="C33" s="26">
        <f>I33+J33+K33+L33+M33+N33+O33+IF(P33="",0,P33*サマリー!$B$9)+IF(Q33="",0,IF(Q33=200,サマリー!$B$10,IF(Q33=100,サマリー!$B$11,0)))+IF(R33="",0,R33*サマリー!$B$12)</f>
        <v>6400</v>
      </c>
      <c r="D33" s="26">
        <f>S33+T33+U33+V33+W33+IF(X33="",0,X33*サマリー!$B$9)+IF(Y33="",0,IF(Y33=200,サマリー!$B$10,IF(Y33=100,サマリー!$B$11,0)))+IF(Z33="",0,Z33*サマリー!$B$12)</f>
        <v>0</v>
      </c>
      <c r="E33" s="26">
        <f t="shared" si="0"/>
        <v>6400</v>
      </c>
      <c r="I33" s="29"/>
      <c r="J33" s="29">
        <v>6400</v>
      </c>
      <c r="K33" s="29"/>
      <c r="L33" s="29"/>
      <c r="M33" s="29"/>
      <c r="N33" s="29"/>
      <c r="O33" s="29"/>
      <c r="P33" s="30"/>
      <c r="Q33" s="30"/>
      <c r="R33" s="30"/>
      <c r="S33" s="31"/>
      <c r="T33" s="31"/>
      <c r="U33" s="31"/>
      <c r="V33" s="31"/>
      <c r="W33" s="31"/>
      <c r="X33" s="32"/>
      <c r="Y33" s="32"/>
      <c r="Z33" s="32"/>
    </row>
    <row r="34" spans="1:26">
      <c r="A34" s="28"/>
      <c r="B34" s="17">
        <f t="shared" si="1"/>
        <v>46213</v>
      </c>
      <c r="C34" s="26">
        <f>I34+J34+K34+L34+M34+N34+O34+IF(P34="",0,P34*サマリー!$B$9)+IF(Q34="",0,IF(Q34=200,サマリー!$B$10,IF(Q34=100,サマリー!$B$11,0)))+IF(R34="",0,R34*サマリー!$B$12)</f>
        <v>1655</v>
      </c>
      <c r="D34" s="26">
        <f>S34+T34+U34+V34+W34+IF(X34="",0,X34*サマリー!$B$9)+IF(Y34="",0,IF(Y34=200,サマリー!$B$10,IF(Y34=100,サマリー!$B$11,0)))+IF(Z34="",0,Z34*サマリー!$B$12)</f>
        <v>0</v>
      </c>
      <c r="E34" s="26">
        <f t="shared" si="0"/>
        <v>1655</v>
      </c>
      <c r="I34" s="29"/>
      <c r="J34" s="29">
        <v>1655</v>
      </c>
      <c r="K34" s="29"/>
      <c r="L34" s="29"/>
      <c r="M34" s="29"/>
      <c r="N34" s="29"/>
      <c r="O34" s="29"/>
      <c r="P34" s="30"/>
      <c r="Q34" s="30"/>
      <c r="R34" s="30"/>
      <c r="S34" s="31"/>
      <c r="T34" s="31"/>
      <c r="U34" s="31"/>
      <c r="V34" s="31"/>
      <c r="W34" s="31"/>
      <c r="X34" s="32"/>
      <c r="Y34" s="32"/>
      <c r="Z34" s="32"/>
    </row>
    <row r="35" spans="1:26">
      <c r="A35" s="28">
        <v>11</v>
      </c>
      <c r="B35" s="17">
        <f t="shared" si="1"/>
        <v>46214</v>
      </c>
      <c r="C35" s="26">
        <f>I35+J35+K35+L35+M35+N35+O35+IF(P35="",0,P35*サマリー!$B$9)+IF(Q35="",0,IF(Q35=200,サマリー!$B$10,IF(Q35=100,サマリー!$B$11,0)))+IF(R35="",0,R35*サマリー!$B$12)</f>
        <v>36552</v>
      </c>
      <c r="D35" s="26">
        <f>S35+T35+U35+V35+W35+IF(X35="",0,X35*サマリー!$B$9)+IF(Y35="",0,IF(Y35=200,サマリー!$B$10,IF(Y35=100,サマリー!$B$11,0)))+IF(Z35="",0,Z35*サマリー!$B$12)</f>
        <v>555</v>
      </c>
      <c r="E35" s="26">
        <f t="shared" si="0"/>
        <v>37107</v>
      </c>
      <c r="I35" s="29"/>
      <c r="J35" s="29"/>
      <c r="K35" s="29">
        <v>6552</v>
      </c>
      <c r="L35" s="29"/>
      <c r="M35" s="29"/>
      <c r="N35" s="29"/>
      <c r="O35" s="29"/>
      <c r="P35" s="30"/>
      <c r="Q35" s="30"/>
      <c r="R35" s="30">
        <v>1</v>
      </c>
      <c r="S35" s="31"/>
      <c r="T35" s="31">
        <v>555</v>
      </c>
      <c r="U35" s="31"/>
      <c r="V35" s="31"/>
      <c r="W35" s="31"/>
      <c r="X35" s="32"/>
      <c r="Y35" s="32"/>
      <c r="Z35" s="32"/>
    </row>
    <row r="36" spans="1:26">
      <c r="A36" s="28"/>
      <c r="B36" s="17">
        <f t="shared" si="1"/>
        <v>46214</v>
      </c>
      <c r="C36" s="26">
        <f>I36+J36+K36+L36+M36+N36+O36+IF(P36="",0,P36*サマリー!$B$9)+IF(Q36="",0,IF(Q36=200,サマリー!$B$10,IF(Q36=100,サマリー!$B$11,0)))+IF(R36="",0,R36*サマリー!$B$12)</f>
        <v>18510</v>
      </c>
      <c r="D36" s="26">
        <f>S36+T36+U36+V36+W36+IF(X36="",0,X36*サマリー!$B$9)+IF(Y36="",0,IF(Y36=200,サマリー!$B$10,IF(Y36=100,サマリー!$B$11,0)))+IF(Z36="",0,Z36*サマリー!$B$12)</f>
        <v>6400</v>
      </c>
      <c r="E36" s="26">
        <f t="shared" si="0"/>
        <v>24910</v>
      </c>
      <c r="I36" s="29"/>
      <c r="J36" s="29">
        <v>18510</v>
      </c>
      <c r="K36" s="29"/>
      <c r="L36" s="29"/>
      <c r="M36" s="29"/>
      <c r="N36" s="29"/>
      <c r="O36" s="29"/>
      <c r="P36" s="30"/>
      <c r="Q36" s="30"/>
      <c r="R36" s="30"/>
      <c r="S36" s="31"/>
      <c r="T36" s="31">
        <v>6400</v>
      </c>
      <c r="U36" s="31"/>
      <c r="V36" s="31"/>
      <c r="W36" s="31"/>
      <c r="X36" s="32"/>
      <c r="Y36" s="32"/>
      <c r="Z36" s="32"/>
    </row>
    <row r="37" spans="1:26">
      <c r="A37" s="28">
        <v>12</v>
      </c>
      <c r="B37" s="17">
        <f t="shared" si="1"/>
        <v>46215</v>
      </c>
      <c r="C37" s="26">
        <f>I37+J37+K37+L37+M37+N37+O37+IF(P37="",0,P37*サマリー!$B$9)+IF(Q37="",0,IF(Q37=200,サマリー!$B$10,IF(Q37=100,サマリー!$B$11,0)))+IF(R37="",0,R37*サマリー!$B$12)</f>
        <v>6397</v>
      </c>
      <c r="D37" s="26">
        <f>S37+T37+U37+V37+W37+IF(X37="",0,X37*サマリー!$B$9)+IF(Y37="",0,IF(Y37=200,サマリー!$B$10,IF(Y37=100,サマリー!$B$11,0)))+IF(Z37="",0,Z37*サマリー!$B$12)</f>
        <v>9155</v>
      </c>
      <c r="E37" s="26">
        <f t="shared" si="0"/>
        <v>15552</v>
      </c>
      <c r="I37" s="29"/>
      <c r="J37" s="29"/>
      <c r="K37" s="29">
        <v>6397</v>
      </c>
      <c r="L37" s="29"/>
      <c r="M37" s="29"/>
      <c r="N37" s="29"/>
      <c r="O37" s="29"/>
      <c r="P37" s="30"/>
      <c r="Q37" s="30"/>
      <c r="R37" s="30"/>
      <c r="S37" s="31"/>
      <c r="T37" s="31">
        <v>9155</v>
      </c>
      <c r="U37" s="31"/>
      <c r="V37" s="31"/>
      <c r="W37" s="31"/>
      <c r="X37" s="32"/>
      <c r="Y37" s="32"/>
      <c r="Z37" s="32"/>
    </row>
    <row r="38" spans="1:26">
      <c r="A38" s="28"/>
      <c r="B38" s="17">
        <f t="shared" si="1"/>
        <v>46215</v>
      </c>
      <c r="C38" s="26">
        <f>I38+J38+K38+L38+M38+N38+O38+IF(P38="",0,P38*サマリー!$B$9)+IF(Q38="",0,IF(Q38=200,サマリー!$B$10,IF(Q38=100,サマリー!$B$11,0)))+IF(R38="",0,R38*サマリー!$B$12)</f>
        <v>14500</v>
      </c>
      <c r="D38" s="26">
        <f>S38+T38+U38+V38+W38+IF(X38="",0,X38*サマリー!$B$9)+IF(Y38="",0,IF(Y38=200,サマリー!$B$10,IF(Y38=100,サマリー!$B$11,0)))+IF(Z38="",0,Z38*サマリー!$B$12)</f>
        <v>0</v>
      </c>
      <c r="E38" s="26">
        <f t="shared" ref="E38:E69" si="2">C38+D38</f>
        <v>14500</v>
      </c>
      <c r="I38" s="29"/>
      <c r="J38" s="29"/>
      <c r="K38" s="29">
        <v>14500</v>
      </c>
      <c r="L38" s="29"/>
      <c r="M38" s="29"/>
      <c r="N38" s="29"/>
      <c r="O38" s="29"/>
      <c r="P38" s="30"/>
      <c r="Q38" s="30"/>
      <c r="R38" s="30"/>
      <c r="S38" s="31"/>
      <c r="T38" s="31"/>
      <c r="U38" s="31"/>
      <c r="V38" s="31"/>
      <c r="W38" s="31"/>
      <c r="X38" s="32"/>
      <c r="Y38" s="32"/>
      <c r="Z38" s="32"/>
    </row>
    <row r="39" spans="1:26">
      <c r="A39" s="28">
        <v>13</v>
      </c>
      <c r="B39" s="17">
        <f t="shared" ref="B39:B70" si="3">IF(A39="",B38,IF(A39&lt;DAY(B38),DATE(YEAR(B38),MONTH(B38)+1,A39),DATE(YEAR(B38),MONTH(B38),A39)))</f>
        <v>46216</v>
      </c>
      <c r="C39" s="26">
        <f>I39+J39+K39+L39+M39+N39+O39+IF(P39="",0,P39*サマリー!$B$9)+IF(Q39="",0,IF(Q39=200,サマリー!$B$10,IF(Q39=100,サマリー!$B$11,0)))+IF(R39="",0,R39*サマリー!$B$12)</f>
        <v>0</v>
      </c>
      <c r="D39" s="26">
        <f>S39+T39+U39+V39+W39+IF(X39="",0,X39*サマリー!$B$9)+IF(Y39="",0,IF(Y39=200,サマリー!$B$10,IF(Y39=100,サマリー!$B$11,0)))+IF(Z39="",0,Z39*サマリー!$B$12)</f>
        <v>3034</v>
      </c>
      <c r="E39" s="26">
        <f t="shared" si="2"/>
        <v>3034</v>
      </c>
      <c r="I39" s="29"/>
      <c r="J39" s="29"/>
      <c r="K39" s="29"/>
      <c r="L39" s="29"/>
      <c r="M39" s="29"/>
      <c r="N39" s="29"/>
      <c r="O39" s="29"/>
      <c r="P39" s="30"/>
      <c r="Q39" s="30"/>
      <c r="R39" s="30"/>
      <c r="S39" s="31"/>
      <c r="T39" s="31">
        <v>2200</v>
      </c>
      <c r="U39" s="31">
        <v>834</v>
      </c>
      <c r="V39" s="31"/>
      <c r="W39" s="31"/>
      <c r="X39" s="32"/>
      <c r="Y39" s="32"/>
      <c r="Z39" s="32"/>
    </row>
    <row r="40" spans="1:26">
      <c r="A40" s="28">
        <v>14</v>
      </c>
      <c r="B40" s="17">
        <f t="shared" si="3"/>
        <v>46217</v>
      </c>
      <c r="C40" s="26">
        <f>I40+J40+K40+L40+M40+N40+O40+IF(P40="",0,P40*サマリー!$B$9)+IF(Q40="",0,IF(Q40=200,サマリー!$B$10,IF(Q40=100,サマリー!$B$11,0)))+IF(R40="",0,R40*サマリー!$B$12)</f>
        <v>70579</v>
      </c>
      <c r="D40" s="26">
        <f>S40+T40+U40+V40+W40+IF(X40="",0,X40*サマリー!$B$9)+IF(Y40="",0,IF(Y40=200,サマリー!$B$10,IF(Y40=100,サマリー!$B$11,0)))+IF(Z40="",0,Z40*サマリー!$B$12)</f>
        <v>2000</v>
      </c>
      <c r="E40" s="26">
        <f t="shared" si="2"/>
        <v>72579</v>
      </c>
      <c r="I40" s="29">
        <v>29420</v>
      </c>
      <c r="J40" s="29"/>
      <c r="K40" s="29">
        <v>11159</v>
      </c>
      <c r="L40" s="29"/>
      <c r="M40" s="29"/>
      <c r="N40" s="29"/>
      <c r="O40" s="29"/>
      <c r="P40" s="30"/>
      <c r="Q40" s="30"/>
      <c r="R40" s="30">
        <v>1</v>
      </c>
      <c r="S40" s="31"/>
      <c r="T40" s="31">
        <v>2000</v>
      </c>
      <c r="U40" s="31"/>
      <c r="V40" s="31"/>
      <c r="W40" s="31"/>
      <c r="X40" s="32"/>
      <c r="Y40" s="32"/>
      <c r="Z40" s="32"/>
    </row>
    <row r="41" spans="1:26">
      <c r="A41" s="28">
        <v>15</v>
      </c>
      <c r="B41" s="17">
        <f t="shared" si="3"/>
        <v>46218</v>
      </c>
      <c r="C41" s="26">
        <f>I41+J41+K41+L41+M41+N41+O41+IF(P41="",0,P41*サマリー!$B$9)+IF(Q41="",0,IF(Q41=200,サマリー!$B$10,IF(Q41=100,サマリー!$B$11,0)))+IF(R41="",0,R41*サマリー!$B$12)</f>
        <v>4845</v>
      </c>
      <c r="D41" s="26">
        <f>S41+T41+U41+V41+W41+IF(X41="",0,X41*サマリー!$B$9)+IF(Y41="",0,IF(Y41=200,サマリー!$B$10,IF(Y41=100,サマリー!$B$11,0)))+IF(Z41="",0,Z41*サマリー!$B$12)</f>
        <v>0</v>
      </c>
      <c r="E41" s="26">
        <f t="shared" si="2"/>
        <v>4845</v>
      </c>
      <c r="I41" s="29"/>
      <c r="J41" s="29"/>
      <c r="K41" s="29">
        <v>4845</v>
      </c>
      <c r="L41" s="29"/>
      <c r="M41" s="29"/>
      <c r="N41" s="29"/>
      <c r="O41" s="29"/>
      <c r="P41" s="30"/>
      <c r="Q41" s="30"/>
      <c r="R41" s="30"/>
      <c r="S41" s="31"/>
      <c r="T41" s="31"/>
      <c r="U41" s="31"/>
      <c r="V41" s="31"/>
      <c r="W41" s="31"/>
      <c r="X41" s="32"/>
      <c r="Y41" s="32"/>
      <c r="Z41" s="32"/>
    </row>
    <row r="42" spans="1:26">
      <c r="A42" s="28"/>
      <c r="B42" s="17">
        <f t="shared" si="3"/>
        <v>46218</v>
      </c>
      <c r="C42" s="26">
        <f>I42+J42+K42+L42+M42+N42+O42+IF(P42="",0,P42*サマリー!$B$9)+IF(Q42="",0,IF(Q42=200,サマリー!$B$10,IF(Q42=100,サマリー!$B$11,0)))+IF(R42="",0,R42*サマリー!$B$12)</f>
        <v>15410</v>
      </c>
      <c r="D42" s="26">
        <f>S42+T42+U42+V42+W42+IF(X42="",0,X42*サマリー!$B$9)+IF(Y42="",0,IF(Y42=200,サマリー!$B$10,IF(Y42=100,サマリー!$B$11,0)))+IF(Z42="",0,Z42*サマリー!$B$12)</f>
        <v>0</v>
      </c>
      <c r="E42" s="26">
        <f t="shared" si="2"/>
        <v>15410</v>
      </c>
      <c r="I42" s="29"/>
      <c r="J42" s="29">
        <v>15410</v>
      </c>
      <c r="K42" s="29"/>
      <c r="L42" s="29"/>
      <c r="M42" s="29"/>
      <c r="N42" s="29"/>
      <c r="O42" s="29"/>
      <c r="P42" s="30"/>
      <c r="Q42" s="30"/>
      <c r="R42" s="30"/>
      <c r="S42" s="31"/>
      <c r="T42" s="31"/>
      <c r="U42" s="31"/>
      <c r="V42" s="31"/>
      <c r="W42" s="31"/>
      <c r="X42" s="32"/>
      <c r="Y42" s="32"/>
      <c r="Z42" s="32"/>
    </row>
    <row r="43" spans="1:26">
      <c r="A43" s="28"/>
      <c r="B43" s="17">
        <f t="shared" si="3"/>
        <v>46218</v>
      </c>
      <c r="C43" s="26">
        <f>I43+J43+K43+L43+M43+N43+O43+IF(P43="",0,P43*サマリー!$B$9)+IF(Q43="",0,IF(Q43=200,サマリー!$B$10,IF(Q43=100,サマリー!$B$11,0)))+IF(R43="",0,R43*サマリー!$B$12)</f>
        <v>67076</v>
      </c>
      <c r="D43" s="26">
        <f>S43+T43+U43+V43+W43+IF(X43="",0,X43*サマリー!$B$9)+IF(Y43="",0,IF(Y43=200,サマリー!$B$10,IF(Y43=100,サマリー!$B$11,0)))+IF(Z43="",0,Z43*サマリー!$B$12)</f>
        <v>0</v>
      </c>
      <c r="E43" s="26">
        <f t="shared" si="2"/>
        <v>67076</v>
      </c>
      <c r="I43" s="29">
        <v>28038</v>
      </c>
      <c r="J43" s="29"/>
      <c r="K43" s="29"/>
      <c r="L43" s="29"/>
      <c r="M43" s="29"/>
      <c r="N43" s="29">
        <v>39038</v>
      </c>
      <c r="O43" s="29"/>
      <c r="P43" s="30"/>
      <c r="Q43" s="30"/>
      <c r="R43" s="30"/>
      <c r="S43" s="31"/>
      <c r="T43" s="31"/>
      <c r="U43" s="31"/>
      <c r="V43" s="31"/>
      <c r="W43" s="31"/>
      <c r="X43" s="32"/>
      <c r="Y43" s="32"/>
      <c r="Z43" s="32"/>
    </row>
    <row r="44" spans="1:26">
      <c r="A44" s="28">
        <v>16</v>
      </c>
      <c r="B44" s="17">
        <f t="shared" si="3"/>
        <v>46219</v>
      </c>
      <c r="C44" s="26">
        <f>I44+J44+K44+L44+M44+N44+O44+IF(P44="",0,P44*サマリー!$B$9)+IF(Q44="",0,IF(Q44=200,サマリー!$B$10,IF(Q44=100,サマリー!$B$11,0)))+IF(R44="",0,R44*サマリー!$B$12)</f>
        <v>0</v>
      </c>
      <c r="D44" s="26">
        <f>S44+T44+U44+V44+W44+IF(X44="",0,X44*サマリー!$B$9)+IF(Y44="",0,IF(Y44=200,サマリー!$B$10,IF(Y44=100,サマリー!$B$11,0)))+IF(Z44="",0,Z44*サマリー!$B$12)</f>
        <v>3034</v>
      </c>
      <c r="E44" s="26">
        <f t="shared" si="2"/>
        <v>3034</v>
      </c>
      <c r="I44" s="29"/>
      <c r="J44" s="29"/>
      <c r="K44" s="29"/>
      <c r="L44" s="29"/>
      <c r="M44" s="29"/>
      <c r="N44" s="29"/>
      <c r="O44" s="29"/>
      <c r="P44" s="30"/>
      <c r="Q44" s="30"/>
      <c r="R44" s="30"/>
      <c r="S44" s="31"/>
      <c r="T44" s="31">
        <v>2200</v>
      </c>
      <c r="U44" s="31">
        <v>834</v>
      </c>
      <c r="V44" s="31"/>
      <c r="W44" s="31"/>
      <c r="X44" s="32"/>
      <c r="Y44" s="32"/>
      <c r="Z44" s="32"/>
    </row>
    <row r="45" spans="1:26">
      <c r="A45" s="28"/>
      <c r="B45" s="17">
        <f t="shared" si="3"/>
        <v>46219</v>
      </c>
      <c r="C45" s="26">
        <f>I45+J45+K45+L45+M45+N45+O45+IF(P45="",0,P45*サマリー!$B$9)+IF(Q45="",0,IF(Q45=200,サマリー!$B$10,IF(Q45=100,サマリー!$B$11,0)))+IF(R45="",0,R45*サマリー!$B$12)</f>
        <v>0</v>
      </c>
      <c r="D45" s="26">
        <f>S45+T45+U45+V45+W45+IF(X45="",0,X45*サマリー!$B$9)+IF(Y45="",0,IF(Y45=200,サマリー!$B$10,IF(Y45=100,サマリー!$B$11,0)))+IF(Z45="",0,Z45*サマリー!$B$12)</f>
        <v>4207</v>
      </c>
      <c r="E45" s="26">
        <f t="shared" si="2"/>
        <v>4207</v>
      </c>
      <c r="I45" s="29"/>
      <c r="J45" s="29"/>
      <c r="K45" s="29"/>
      <c r="L45" s="29"/>
      <c r="M45" s="29"/>
      <c r="N45" s="29"/>
      <c r="O45" s="29"/>
      <c r="P45" s="30"/>
      <c r="Q45" s="30"/>
      <c r="R45" s="30"/>
      <c r="S45" s="31"/>
      <c r="T45" s="31">
        <v>550</v>
      </c>
      <c r="U45" s="31">
        <v>3657</v>
      </c>
      <c r="V45" s="31"/>
      <c r="W45" s="31"/>
      <c r="X45" s="32"/>
      <c r="Y45" s="32"/>
      <c r="Z45" s="32"/>
    </row>
    <row r="46" spans="1:26">
      <c r="A46" s="28">
        <v>17</v>
      </c>
      <c r="B46" s="17">
        <f t="shared" si="3"/>
        <v>46220</v>
      </c>
      <c r="C46" s="26">
        <f>I46+J46+K46+L46+M46+N46+O46+IF(P46="",0,P46*サマリー!$B$9)+IF(Q46="",0,IF(Q46=200,サマリー!$B$10,IF(Q46=100,サマリー!$B$11,0)))+IF(R46="",0,R46*サマリー!$B$12)</f>
        <v>66414</v>
      </c>
      <c r="D46" s="26">
        <f>S46+T46+U46+V46+W46+IF(X46="",0,X46*サマリー!$B$9)+IF(Y46="",0,IF(Y46=200,サマリー!$B$10,IF(Y46=100,サマリー!$B$11,0)))+IF(Z46="",0,Z46*サマリー!$B$12)</f>
        <v>0</v>
      </c>
      <c r="E46" s="26">
        <f t="shared" si="2"/>
        <v>66414</v>
      </c>
      <c r="I46" s="29">
        <v>26400</v>
      </c>
      <c r="J46" s="29"/>
      <c r="K46" s="29">
        <v>10014</v>
      </c>
      <c r="L46" s="29"/>
      <c r="M46" s="29"/>
      <c r="N46" s="29"/>
      <c r="O46" s="29"/>
      <c r="P46" s="30"/>
      <c r="Q46" s="30"/>
      <c r="R46" s="30">
        <v>1</v>
      </c>
      <c r="S46" s="31"/>
      <c r="T46" s="31"/>
      <c r="U46" s="31"/>
      <c r="V46" s="31"/>
      <c r="W46" s="31"/>
      <c r="X46" s="32"/>
      <c r="Y46" s="32"/>
      <c r="Z46" s="32"/>
    </row>
    <row r="47" spans="1:26">
      <c r="A47" s="28">
        <v>18</v>
      </c>
      <c r="B47" s="17">
        <f t="shared" si="3"/>
        <v>46221</v>
      </c>
      <c r="C47" s="26">
        <f>I47+J47+K47+L47+M47+N47+O47+IF(P47="",0,P47*サマリー!$B$9)+IF(Q47="",0,IF(Q47=200,サマリー!$B$10,IF(Q47=100,サマリー!$B$11,0)))+IF(R47="",0,R47*サマリー!$B$12)</f>
        <v>37015</v>
      </c>
      <c r="D47" s="26">
        <f>S47+T47+U47+V47+W47+IF(X47="",0,X47*サマリー!$B$9)+IF(Y47="",0,IF(Y47=200,サマリー!$B$10,IF(Y47=100,サマリー!$B$11,0)))+IF(Z47="",0,Z47*サマリー!$B$12)</f>
        <v>46310</v>
      </c>
      <c r="E47" s="26">
        <f t="shared" si="2"/>
        <v>83325</v>
      </c>
      <c r="I47" s="29"/>
      <c r="J47" s="29">
        <v>15765</v>
      </c>
      <c r="K47" s="29"/>
      <c r="L47" s="29">
        <v>21250</v>
      </c>
      <c r="M47" s="29"/>
      <c r="N47" s="29"/>
      <c r="O47" s="29"/>
      <c r="P47" s="30"/>
      <c r="Q47" s="30"/>
      <c r="R47" s="30"/>
      <c r="S47" s="31"/>
      <c r="T47" s="31">
        <v>16310</v>
      </c>
      <c r="U47" s="31"/>
      <c r="V47" s="31"/>
      <c r="W47" s="31"/>
      <c r="X47" s="32"/>
      <c r="Y47" s="32"/>
      <c r="Z47" s="32">
        <v>1</v>
      </c>
    </row>
    <row r="48" spans="1:26">
      <c r="A48" s="28"/>
      <c r="B48" s="17">
        <f t="shared" si="3"/>
        <v>46221</v>
      </c>
      <c r="C48" s="26">
        <f>I48+J48+K48+L48+M48+N48+O48+IF(P48="",0,P48*サマリー!$B$9)+IF(Q48="",0,IF(Q48=200,サマリー!$B$10,IF(Q48=100,サマリー!$B$11,0)))+IF(R48="",0,R48*サマリー!$B$12)</f>
        <v>0</v>
      </c>
      <c r="D48" s="26">
        <f>S48+T48+U48+V48+W48+IF(X48="",0,X48*サマリー!$B$9)+IF(Y48="",0,IF(Y48=200,サマリー!$B$10,IF(Y48=100,サマリー!$B$11,0)))+IF(Z48="",0,Z48*サマリー!$B$12)</f>
        <v>3034</v>
      </c>
      <c r="E48" s="26">
        <f t="shared" si="2"/>
        <v>3034</v>
      </c>
      <c r="I48" s="29"/>
      <c r="J48" s="29"/>
      <c r="K48" s="29"/>
      <c r="L48" s="29"/>
      <c r="M48" s="29"/>
      <c r="N48" s="29"/>
      <c r="O48" s="29"/>
      <c r="P48" s="30"/>
      <c r="Q48" s="30"/>
      <c r="R48" s="30"/>
      <c r="S48" s="31"/>
      <c r="T48" s="31">
        <v>2200</v>
      </c>
      <c r="U48" s="31">
        <v>834</v>
      </c>
      <c r="V48" s="31"/>
      <c r="W48" s="31"/>
      <c r="X48" s="32"/>
      <c r="Y48" s="32"/>
      <c r="Z48" s="32"/>
    </row>
    <row r="49" spans="1:26">
      <c r="A49" s="28"/>
      <c r="B49" s="17">
        <f t="shared" si="3"/>
        <v>46221</v>
      </c>
      <c r="C49" s="26">
        <f>I49+J49+K49+L49+M49+N49+O49+IF(P49="",0,P49*サマリー!$B$9)+IF(Q49="",0,IF(Q49=200,サマリー!$B$10,IF(Q49=100,サマリー!$B$11,0)))+IF(R49="",0,R49*サマリー!$B$12)</f>
        <v>0</v>
      </c>
      <c r="D49" s="26">
        <f>S49+T49+U49+V49+W49+IF(X49="",0,X49*サマリー!$B$9)+IF(Y49="",0,IF(Y49=200,サマリー!$B$10,IF(Y49=100,サマリー!$B$11,0)))+IF(Z49="",0,Z49*サマリー!$B$12)</f>
        <v>6400</v>
      </c>
      <c r="E49" s="26">
        <f t="shared" si="2"/>
        <v>6400</v>
      </c>
      <c r="I49" s="29"/>
      <c r="J49" s="29"/>
      <c r="K49" s="29"/>
      <c r="L49" s="29"/>
      <c r="M49" s="29"/>
      <c r="N49" s="29"/>
      <c r="O49" s="29"/>
      <c r="P49" s="30"/>
      <c r="Q49" s="30"/>
      <c r="R49" s="30"/>
      <c r="S49" s="31"/>
      <c r="T49" s="31">
        <v>6400</v>
      </c>
      <c r="U49" s="31"/>
      <c r="V49" s="31"/>
      <c r="W49" s="31"/>
      <c r="X49" s="32"/>
      <c r="Y49" s="32"/>
      <c r="Z49" s="32"/>
    </row>
    <row r="50" spans="1:26">
      <c r="A50" s="28"/>
      <c r="B50" s="17">
        <f t="shared" si="3"/>
        <v>46221</v>
      </c>
      <c r="C50" s="26">
        <f>I50+J50+K50+L50+M50+N50+O50+IF(P50="",0,P50*サマリー!$B$9)+IF(Q50="",0,IF(Q50=200,サマリー!$B$10,IF(Q50=100,サマリー!$B$11,0)))+IF(R50="",0,R50*サマリー!$B$12)</f>
        <v>0</v>
      </c>
      <c r="D50" s="26">
        <f>S50+T50+U50+V50+W50+IF(X50="",0,X50*サマリー!$B$9)+IF(Y50="",0,IF(Y50=200,サマリー!$B$10,IF(Y50=100,サマリー!$B$11,0)))+IF(Z50="",0,Z50*サマリー!$B$12)</f>
        <v>3034</v>
      </c>
      <c r="E50" s="26">
        <f t="shared" si="2"/>
        <v>3034</v>
      </c>
      <c r="I50" s="29"/>
      <c r="J50" s="29"/>
      <c r="K50" s="29"/>
      <c r="L50" s="29"/>
      <c r="M50" s="29"/>
      <c r="N50" s="29"/>
      <c r="O50" s="29"/>
      <c r="P50" s="30"/>
      <c r="Q50" s="30"/>
      <c r="R50" s="30"/>
      <c r="S50" s="31"/>
      <c r="T50" s="31">
        <v>2200</v>
      </c>
      <c r="U50" s="31">
        <v>834</v>
      </c>
      <c r="V50" s="31"/>
      <c r="W50" s="31"/>
      <c r="X50" s="32"/>
      <c r="Y50" s="32"/>
      <c r="Z50" s="32"/>
    </row>
    <row r="51" spans="1:26">
      <c r="A51" s="28">
        <v>19</v>
      </c>
      <c r="B51" s="17">
        <f t="shared" si="3"/>
        <v>46222</v>
      </c>
      <c r="C51" s="26">
        <f>I51+J51+K51+L51+M51+N51+O51+IF(P51="",0,P51*サマリー!$B$9)+IF(Q51="",0,IF(Q51=200,サマリー!$B$10,IF(Q51=100,サマリー!$B$11,0)))+IF(R51="",0,R51*サマリー!$B$12)</f>
        <v>0</v>
      </c>
      <c r="D51" s="26">
        <f>S51+T51+U51+V51+W51+IF(X51="",0,X51*サマリー!$B$9)+IF(Y51="",0,IF(Y51=200,サマリー!$B$10,IF(Y51=100,サマリー!$B$11,0)))+IF(Z51="",0,Z51*サマリー!$B$12)</f>
        <v>9155</v>
      </c>
      <c r="E51" s="26">
        <f t="shared" si="2"/>
        <v>9155</v>
      </c>
      <c r="I51" s="29"/>
      <c r="J51" s="29"/>
      <c r="K51" s="29"/>
      <c r="L51" s="29"/>
      <c r="M51" s="29"/>
      <c r="N51" s="29"/>
      <c r="O51" s="29"/>
      <c r="P51" s="30"/>
      <c r="Q51" s="30"/>
      <c r="R51" s="30"/>
      <c r="S51" s="31"/>
      <c r="T51" s="31">
        <v>9155</v>
      </c>
      <c r="U51" s="31"/>
      <c r="V51" s="31"/>
      <c r="W51" s="31"/>
      <c r="X51" s="32"/>
      <c r="Y51" s="32"/>
      <c r="Z51" s="32"/>
    </row>
    <row r="52" spans="1:26">
      <c r="A52" s="28"/>
      <c r="B52" s="17">
        <f t="shared" si="3"/>
        <v>46222</v>
      </c>
      <c r="C52" s="26">
        <f>I52+J52+K52+L52+M52+N52+O52+IF(P52="",0,P52*サマリー!$B$9)+IF(Q52="",0,IF(Q52=200,サマリー!$B$10,IF(Q52=100,サマリー!$B$11,0)))+IF(R52="",0,R52*サマリー!$B$12)</f>
        <v>0</v>
      </c>
      <c r="D52" s="26">
        <f>S52+T52+U52+V52+W52+IF(X52="",0,X52*サマリー!$B$9)+IF(Y52="",0,IF(Y52=200,サマリー!$B$10,IF(Y52=100,サマリー!$B$11,0)))+IF(Z52="",0,Z52*サマリー!$B$12)</f>
        <v>8600</v>
      </c>
      <c r="E52" s="26">
        <f t="shared" si="2"/>
        <v>8600</v>
      </c>
      <c r="I52" s="29"/>
      <c r="J52" s="29"/>
      <c r="K52" s="29"/>
      <c r="L52" s="29"/>
      <c r="M52" s="29"/>
      <c r="N52" s="29"/>
      <c r="O52" s="29"/>
      <c r="P52" s="30"/>
      <c r="Q52" s="30"/>
      <c r="R52" s="30"/>
      <c r="S52" s="31"/>
      <c r="T52" s="31">
        <v>8600</v>
      </c>
      <c r="U52" s="31"/>
      <c r="V52" s="31"/>
      <c r="W52" s="31"/>
      <c r="X52" s="32"/>
      <c r="Y52" s="32"/>
      <c r="Z52" s="32"/>
    </row>
    <row r="53" spans="1:26">
      <c r="A53" s="28">
        <v>20</v>
      </c>
      <c r="B53" s="17">
        <f t="shared" si="3"/>
        <v>46223</v>
      </c>
      <c r="C53" s="26">
        <f>I53+J53+K53+L53+M53+N53+O53+IF(P53="",0,P53*サマリー!$B$9)+IF(Q53="",0,IF(Q53=200,サマリー!$B$10,IF(Q53=100,サマリー!$B$11,0)))+IF(R53="",0,R53*サマリー!$B$12)</f>
        <v>0</v>
      </c>
      <c r="D53" s="26">
        <f>S53+T53+U53+V53+W53+IF(X53="",0,X53*サマリー!$B$9)+IF(Y53="",0,IF(Y53=200,サマリー!$B$10,IF(Y53=100,サマリー!$B$11,0)))+IF(Z53="",0,Z53*サマリー!$B$12)</f>
        <v>43479</v>
      </c>
      <c r="E53" s="26">
        <f t="shared" si="2"/>
        <v>43479</v>
      </c>
      <c r="I53" s="29"/>
      <c r="J53" s="29"/>
      <c r="K53" s="29"/>
      <c r="L53" s="29"/>
      <c r="M53" s="29"/>
      <c r="N53" s="29"/>
      <c r="O53" s="29"/>
      <c r="P53" s="30"/>
      <c r="Q53" s="30"/>
      <c r="R53" s="30"/>
      <c r="S53" s="31">
        <v>36238</v>
      </c>
      <c r="T53" s="31"/>
      <c r="U53" s="31"/>
      <c r="V53" s="31"/>
      <c r="W53" s="31"/>
      <c r="X53" s="32"/>
      <c r="Y53" s="32">
        <v>200</v>
      </c>
      <c r="Z53" s="32"/>
    </row>
    <row r="54" spans="1:26">
      <c r="A54" s="28"/>
      <c r="B54" s="17">
        <f t="shared" si="3"/>
        <v>46223</v>
      </c>
      <c r="C54" s="26">
        <f>I54+J54+K54+L54+M54+N54+O54+IF(P54="",0,P54*サマリー!$B$9)+IF(Q54="",0,IF(Q54=200,サマリー!$B$10,IF(Q54=100,サマリー!$B$11,0)))+IF(R54="",0,R54*サマリー!$B$12)</f>
        <v>0</v>
      </c>
      <c r="D54" s="26">
        <f>S54+T54+U54+V54+W54+IF(X54="",0,X54*サマリー!$B$9)+IF(Y54="",0,IF(Y54=200,サマリー!$B$10,IF(Y54=100,サマリー!$B$11,0)))+IF(Z54="",0,Z54*サマリー!$B$12)</f>
        <v>21250</v>
      </c>
      <c r="E54" s="26">
        <f t="shared" si="2"/>
        <v>21250</v>
      </c>
      <c r="I54" s="29"/>
      <c r="J54" s="29"/>
      <c r="K54" s="29"/>
      <c r="L54" s="29"/>
      <c r="M54" s="29"/>
      <c r="N54" s="29"/>
      <c r="O54" s="29"/>
      <c r="P54" s="30"/>
      <c r="Q54" s="30"/>
      <c r="R54" s="30"/>
      <c r="S54" s="31"/>
      <c r="T54" s="31">
        <v>21250</v>
      </c>
      <c r="U54" s="31"/>
      <c r="V54" s="31"/>
      <c r="W54" s="31"/>
      <c r="X54" s="32"/>
      <c r="Y54" s="32"/>
      <c r="Z54" s="32"/>
    </row>
    <row r="55" spans="1:26">
      <c r="A55" s="28"/>
      <c r="B55" s="17">
        <f t="shared" si="3"/>
        <v>46223</v>
      </c>
      <c r="C55" s="26">
        <f>I55+J55+K55+L55+M55+N55+O55+IF(P55="",0,P55*サマリー!$B$9)+IF(Q55="",0,IF(Q55=200,サマリー!$B$10,IF(Q55=100,サマリー!$B$11,0)))+IF(R55="",0,R55*サマリー!$B$12)</f>
        <v>0</v>
      </c>
      <c r="D55" s="26">
        <f>S55+T55+U55+V55+W55+IF(X55="",0,X55*サマリー!$B$9)+IF(Y55="",0,IF(Y55=200,サマリー!$B$10,IF(Y55=100,サマリー!$B$11,0)))+IF(Z55="",0,Z55*サマリー!$B$12)</f>
        <v>10255</v>
      </c>
      <c r="E55" s="26">
        <f t="shared" si="2"/>
        <v>10255</v>
      </c>
      <c r="I55" s="29"/>
      <c r="J55" s="29"/>
      <c r="K55" s="29"/>
      <c r="L55" s="29"/>
      <c r="M55" s="29"/>
      <c r="N55" s="29"/>
      <c r="O55" s="29"/>
      <c r="P55" s="30"/>
      <c r="Q55" s="30"/>
      <c r="R55" s="30"/>
      <c r="S55" s="31"/>
      <c r="T55" s="31">
        <v>10255</v>
      </c>
      <c r="U55" s="31"/>
      <c r="V55" s="31"/>
      <c r="W55" s="31"/>
      <c r="X55" s="32"/>
      <c r="Y55" s="32"/>
      <c r="Z55" s="32"/>
    </row>
    <row r="56" spans="1:26">
      <c r="A56" s="28"/>
      <c r="B56" s="17">
        <f t="shared" si="3"/>
        <v>46223</v>
      </c>
      <c r="C56" s="26">
        <f>I56+J56+K56+L56+M56+N56+O56+IF(P56="",0,P56*サマリー!$B$9)+IF(Q56="",0,IF(Q56=200,サマリー!$B$10,IF(Q56=100,サマリー!$B$11,0)))+IF(R56="",0,R56*サマリー!$B$12)</f>
        <v>0</v>
      </c>
      <c r="D56" s="26">
        <f>S56+T56+U56+V56+W56+IF(X56="",0,X56*サマリー!$B$9)+IF(Y56="",0,IF(Y56=200,サマリー!$B$10,IF(Y56=100,サマリー!$B$11,0)))+IF(Z56="",0,Z56*サマリー!$B$12)</f>
        <v>8600</v>
      </c>
      <c r="E56" s="26">
        <f t="shared" si="2"/>
        <v>8600</v>
      </c>
      <c r="I56" s="29"/>
      <c r="J56" s="29"/>
      <c r="K56" s="29"/>
      <c r="L56" s="29"/>
      <c r="M56" s="29"/>
      <c r="N56" s="29"/>
      <c r="O56" s="29"/>
      <c r="P56" s="30"/>
      <c r="Q56" s="30"/>
      <c r="R56" s="30"/>
      <c r="S56" s="31"/>
      <c r="T56" s="31">
        <v>8600</v>
      </c>
      <c r="U56" s="31"/>
      <c r="V56" s="31"/>
      <c r="W56" s="31"/>
      <c r="X56" s="32"/>
      <c r="Y56" s="32"/>
      <c r="Z56" s="32"/>
    </row>
    <row r="57" spans="1:26">
      <c r="A57" s="28">
        <v>21</v>
      </c>
      <c r="B57" s="17">
        <f t="shared" si="3"/>
        <v>46224</v>
      </c>
      <c r="C57" s="26">
        <f>I57+J57+K57+L57+M57+N57+O57+IF(P57="",0,P57*サマリー!$B$9)+IF(Q57="",0,IF(Q57=200,サマリー!$B$10,IF(Q57=100,サマリー!$B$11,0)))+IF(R57="",0,R57*サマリー!$B$12)</f>
        <v>0</v>
      </c>
      <c r="D57" s="26">
        <f>S57+T57+U57+V57+W57+IF(X57="",0,X57*サマリー!$B$9)+IF(Y57="",0,IF(Y57=200,サマリー!$B$10,IF(Y57=100,サマリー!$B$11,0)))+IF(Z57="",0,Z57*サマリー!$B$12)</f>
        <v>8155</v>
      </c>
      <c r="E57" s="26">
        <f t="shared" si="2"/>
        <v>8155</v>
      </c>
      <c r="I57" s="29"/>
      <c r="J57" s="29"/>
      <c r="K57" s="29"/>
      <c r="L57" s="29"/>
      <c r="M57" s="29"/>
      <c r="N57" s="29"/>
      <c r="O57" s="29"/>
      <c r="P57" s="30"/>
      <c r="Q57" s="30"/>
      <c r="R57" s="30"/>
      <c r="S57" s="31"/>
      <c r="T57" s="31">
        <v>8155</v>
      </c>
      <c r="U57" s="31"/>
      <c r="V57" s="31"/>
      <c r="W57" s="31"/>
      <c r="X57" s="32"/>
      <c r="Y57" s="32"/>
      <c r="Z57" s="32"/>
    </row>
    <row r="58" spans="1:26">
      <c r="A58" s="28">
        <v>22</v>
      </c>
      <c r="B58" s="17">
        <f t="shared" si="3"/>
        <v>46225</v>
      </c>
      <c r="C58" s="26">
        <f>I58+J58+K58+L58+M58+N58+O58+IF(P58="",0,P58*サマリー!$B$9)+IF(Q58="",0,IF(Q58=200,サマリー!$B$10,IF(Q58=100,サマリー!$B$11,0)))+IF(R58="",0,R58*サマリー!$B$12)</f>
        <v>1100</v>
      </c>
      <c r="D58" s="26">
        <f>S58+T58+U58+V58+W58+IF(X58="",0,X58*サマリー!$B$9)+IF(Y58="",0,IF(Y58=200,サマリー!$B$10,IF(Y58=100,サマリー!$B$11,0)))+IF(Z58="",0,Z58*サマリー!$B$12)</f>
        <v>0</v>
      </c>
      <c r="E58" s="26">
        <f t="shared" si="2"/>
        <v>1100</v>
      </c>
      <c r="I58" s="29"/>
      <c r="J58" s="29">
        <v>1100</v>
      </c>
      <c r="K58" s="29"/>
      <c r="L58" s="29"/>
      <c r="M58" s="29"/>
      <c r="N58" s="29"/>
      <c r="O58" s="29"/>
      <c r="P58" s="30"/>
      <c r="Q58" s="30"/>
      <c r="R58" s="30"/>
      <c r="S58" s="31"/>
      <c r="T58" s="31"/>
      <c r="U58" s="31"/>
      <c r="V58" s="31"/>
      <c r="W58" s="31"/>
      <c r="X58" s="32"/>
      <c r="Y58" s="32"/>
      <c r="Z58" s="32"/>
    </row>
    <row r="59" spans="1:26">
      <c r="A59" s="28">
        <v>23</v>
      </c>
      <c r="B59" s="17">
        <f t="shared" si="3"/>
        <v>46226</v>
      </c>
      <c r="C59" s="26">
        <f>I59+J59+K59+L59+M59+N59+O59+IF(P59="",0,P59*サマリー!$B$9)+IF(Q59="",0,IF(Q59=200,サマリー!$B$10,IF(Q59=100,サマリー!$B$11,0)))+IF(R59="",0,R59*サマリー!$B$12)</f>
        <v>49000</v>
      </c>
      <c r="D59" s="26">
        <f>S59+T59+U59+V59+W59+IF(X59="",0,X59*サマリー!$B$9)+IF(Y59="",0,IF(Y59=200,サマリー!$B$10,IF(Y59=100,サマリー!$B$11,0)))+IF(Z59="",0,Z59*サマリー!$B$12)</f>
        <v>14320</v>
      </c>
      <c r="E59" s="26">
        <f t="shared" si="2"/>
        <v>63320</v>
      </c>
      <c r="I59" s="29"/>
      <c r="J59" s="29"/>
      <c r="K59" s="29"/>
      <c r="L59" s="29"/>
      <c r="M59" s="29">
        <v>49000</v>
      </c>
      <c r="N59" s="29"/>
      <c r="O59" s="29"/>
      <c r="P59" s="30"/>
      <c r="Q59" s="30"/>
      <c r="R59" s="30"/>
      <c r="S59" s="31"/>
      <c r="T59" s="31">
        <v>14320</v>
      </c>
      <c r="U59" s="31"/>
      <c r="V59" s="31"/>
      <c r="W59" s="31"/>
      <c r="X59" s="32"/>
      <c r="Y59" s="32"/>
      <c r="Z59" s="32"/>
    </row>
    <row r="60" spans="1:26">
      <c r="A60" s="28">
        <v>24</v>
      </c>
      <c r="B60" s="17">
        <f t="shared" si="3"/>
        <v>46227</v>
      </c>
      <c r="C60" s="26">
        <f>I60+J60+K60+L60+M60+N60+O60+IF(P60="",0,P60*サマリー!$B$9)+IF(Q60="",0,IF(Q60=200,サマリー!$B$10,IF(Q60=100,サマリー!$B$11,0)))+IF(R60="",0,R60*サマリー!$B$12)</f>
        <v>40601</v>
      </c>
      <c r="D60" s="26">
        <f>S60+T60+U60+V60+W60+IF(X60="",0,X60*サマリー!$B$9)+IF(Y60="",0,IF(Y60=200,サマリー!$B$10,IF(Y60=100,サマリー!$B$11,0)))+IF(Z60="",0,Z60*サマリー!$B$12)</f>
        <v>0</v>
      </c>
      <c r="E60" s="26">
        <f t="shared" si="2"/>
        <v>40601</v>
      </c>
      <c r="I60" s="29"/>
      <c r="J60" s="29">
        <v>33360</v>
      </c>
      <c r="K60" s="29"/>
      <c r="L60" s="29"/>
      <c r="M60" s="29"/>
      <c r="N60" s="29"/>
      <c r="O60" s="29"/>
      <c r="P60" s="30"/>
      <c r="Q60" s="30">
        <v>200</v>
      </c>
      <c r="R60" s="30"/>
      <c r="S60" s="31"/>
      <c r="T60" s="31"/>
      <c r="U60" s="31"/>
      <c r="V60" s="31"/>
      <c r="W60" s="31"/>
      <c r="X60" s="32"/>
      <c r="Y60" s="32"/>
      <c r="Z60" s="32"/>
    </row>
    <row r="61" spans="1:26">
      <c r="A61" s="28"/>
      <c r="B61" s="17">
        <f t="shared" si="3"/>
        <v>46227</v>
      </c>
      <c r="C61" s="26">
        <f>I61+J61+K61+L61+M61+N61+O61+IF(P61="",0,P61*サマリー!$B$9)+IF(Q61="",0,IF(Q61=200,サマリー!$B$10,IF(Q61=100,サマリー!$B$11,0)))+IF(R61="",0,R61*サマリー!$B$12)</f>
        <v>1655</v>
      </c>
      <c r="D61" s="26">
        <f>S61+T61+U61+V61+W61+IF(X61="",0,X61*サマリー!$B$9)+IF(Y61="",0,IF(Y61=200,サマリー!$B$10,IF(Y61=100,サマリー!$B$11,0)))+IF(Z61="",0,Z61*サマリー!$B$12)</f>
        <v>0</v>
      </c>
      <c r="E61" s="26">
        <f t="shared" si="2"/>
        <v>1655</v>
      </c>
      <c r="I61" s="29"/>
      <c r="J61" s="29">
        <v>1655</v>
      </c>
      <c r="K61" s="29"/>
      <c r="L61" s="29"/>
      <c r="M61" s="29"/>
      <c r="N61" s="29"/>
      <c r="O61" s="29"/>
      <c r="P61" s="30"/>
      <c r="Q61" s="30"/>
      <c r="R61" s="30"/>
      <c r="S61" s="31"/>
      <c r="T61" s="31"/>
      <c r="U61" s="31"/>
      <c r="V61" s="31"/>
      <c r="W61" s="31"/>
      <c r="X61" s="32"/>
      <c r="Y61" s="32"/>
      <c r="Z61" s="32"/>
    </row>
    <row r="62" spans="1:26">
      <c r="A62" s="28"/>
      <c r="B62" s="17">
        <f t="shared" si="3"/>
        <v>46227</v>
      </c>
      <c r="C62" s="26">
        <f>I62+J62+K62+L62+M62+N62+O62+IF(P62="",0,P62*サマリー!$B$9)+IF(Q62="",0,IF(Q62=200,サマリー!$B$10,IF(Q62=100,サマリー!$B$11,0)))+IF(R62="",0,R62*サマリー!$B$12)</f>
        <v>1655</v>
      </c>
      <c r="D62" s="26">
        <f>S62+T62+U62+V62+W62+IF(X62="",0,X62*サマリー!$B$9)+IF(Y62="",0,IF(Y62=200,サマリー!$B$10,IF(Y62=100,サマリー!$B$11,0)))+IF(Z62="",0,Z62*サマリー!$B$12)</f>
        <v>0</v>
      </c>
      <c r="E62" s="26">
        <f t="shared" si="2"/>
        <v>1655</v>
      </c>
      <c r="I62" s="29"/>
      <c r="J62" s="29">
        <v>1655</v>
      </c>
      <c r="K62" s="29"/>
      <c r="L62" s="29"/>
      <c r="M62" s="29"/>
      <c r="N62" s="29"/>
      <c r="O62" s="29"/>
      <c r="P62" s="30"/>
      <c r="Q62" s="30"/>
      <c r="R62" s="30"/>
      <c r="S62" s="31"/>
      <c r="T62" s="31"/>
      <c r="U62" s="31"/>
      <c r="V62" s="31"/>
      <c r="W62" s="31"/>
      <c r="X62" s="32"/>
      <c r="Y62" s="32"/>
      <c r="Z62" s="32"/>
    </row>
    <row r="63" spans="1:26">
      <c r="A63" s="28"/>
      <c r="B63" s="17">
        <f t="shared" si="3"/>
        <v>46227</v>
      </c>
      <c r="C63" s="26">
        <f>I63+J63+K63+L63+M63+N63+O63+IF(P63="",0,P63*サマリー!$B$9)+IF(Q63="",0,IF(Q63=200,サマリー!$B$10,IF(Q63=100,サマリー!$B$11,0)))+IF(R63="",0,R63*サマリー!$B$12)</f>
        <v>5720</v>
      </c>
      <c r="D63" s="26">
        <f>S63+T63+U63+V63+W63+IF(X63="",0,X63*サマリー!$B$9)+IF(Y63="",0,IF(Y63=200,サマリー!$B$10,IF(Y63=100,サマリー!$B$11,0)))+IF(Z63="",0,Z63*サマリー!$B$12)</f>
        <v>0</v>
      </c>
      <c r="E63" s="26">
        <f t="shared" si="2"/>
        <v>5720</v>
      </c>
      <c r="I63" s="29">
        <v>5720</v>
      </c>
      <c r="J63" s="29"/>
      <c r="K63" s="29"/>
      <c r="L63" s="29"/>
      <c r="M63" s="29"/>
      <c r="N63" s="29"/>
      <c r="O63" s="29"/>
      <c r="P63" s="30"/>
      <c r="Q63" s="30"/>
      <c r="R63" s="30"/>
      <c r="S63" s="31"/>
      <c r="T63" s="31"/>
      <c r="U63" s="31"/>
      <c r="V63" s="31"/>
      <c r="W63" s="31"/>
      <c r="X63" s="32"/>
      <c r="Y63" s="32"/>
      <c r="Z63" s="32"/>
    </row>
    <row r="64" spans="1:26">
      <c r="A64" s="28"/>
      <c r="B64" s="17">
        <f t="shared" si="3"/>
        <v>46227</v>
      </c>
      <c r="C64" s="26">
        <f>I64+J64+K64+L64+M64+N64+O64+IF(P64="",0,P64*サマリー!$B$9)+IF(Q64="",0,IF(Q64=200,サマリー!$B$10,IF(Q64=100,サマリー!$B$11,0)))+IF(R64="",0,R64*サマリー!$B$12)</f>
        <v>12879</v>
      </c>
      <c r="D64" s="26">
        <f>S64+T64+U64+V64+W64+IF(X64="",0,X64*サマリー!$B$9)+IF(Y64="",0,IF(Y64=200,サマリー!$B$10,IF(Y64=100,サマリー!$B$11,0)))+IF(Z64="",0,Z64*サマリー!$B$12)</f>
        <v>0</v>
      </c>
      <c r="E64" s="26">
        <f t="shared" si="2"/>
        <v>12879</v>
      </c>
      <c r="I64" s="29"/>
      <c r="J64" s="29">
        <v>2200</v>
      </c>
      <c r="K64" s="29">
        <v>10679</v>
      </c>
      <c r="L64" s="29"/>
      <c r="M64" s="29"/>
      <c r="N64" s="29"/>
      <c r="O64" s="29"/>
      <c r="P64" s="30"/>
      <c r="Q64" s="30"/>
      <c r="R64" s="30"/>
      <c r="S64" s="31"/>
      <c r="T64" s="31"/>
      <c r="U64" s="31"/>
      <c r="V64" s="31"/>
      <c r="W64" s="31"/>
      <c r="X64" s="32"/>
      <c r="Y64" s="32"/>
      <c r="Z64" s="32"/>
    </row>
    <row r="65" spans="1:26">
      <c r="A65" s="28">
        <v>25</v>
      </c>
      <c r="B65" s="17">
        <f t="shared" si="3"/>
        <v>46228</v>
      </c>
      <c r="C65" s="26">
        <f>I65+J65+K65+L65+M65+N65+O65+IF(P65="",0,P65*サマリー!$B$9)+IF(Q65="",0,IF(Q65=200,サマリー!$B$10,IF(Q65=100,サマリー!$B$11,0)))+IF(R65="",0,R65*サマリー!$B$12)</f>
        <v>0</v>
      </c>
      <c r="D65" s="26">
        <f>S65+T65+U65+V65+W65+IF(X65="",0,X65*サマリー!$B$9)+IF(Y65="",0,IF(Y65=200,サマリー!$B$10,IF(Y65=100,サマリー!$B$11,0)))+IF(Z65="",0,Z65*サマリー!$B$12)</f>
        <v>43479</v>
      </c>
      <c r="E65" s="26">
        <f t="shared" si="2"/>
        <v>43479</v>
      </c>
      <c r="I65" s="29"/>
      <c r="J65" s="29"/>
      <c r="K65" s="29"/>
      <c r="L65" s="29"/>
      <c r="M65" s="29"/>
      <c r="N65" s="29"/>
      <c r="O65" s="29"/>
      <c r="P65" s="30"/>
      <c r="Q65" s="30"/>
      <c r="R65" s="30"/>
      <c r="S65" s="31">
        <v>36238</v>
      </c>
      <c r="T65" s="31"/>
      <c r="U65" s="31"/>
      <c r="V65" s="31"/>
      <c r="W65" s="31"/>
      <c r="X65" s="32"/>
      <c r="Y65" s="32">
        <v>200</v>
      </c>
      <c r="Z65" s="32"/>
    </row>
    <row r="66" spans="1:26">
      <c r="A66" s="28"/>
      <c r="B66" s="17">
        <f t="shared" si="3"/>
        <v>46228</v>
      </c>
      <c r="C66" s="26">
        <f>I66+J66+K66+L66+M66+N66+O66+IF(P66="",0,P66*サマリー!$B$9)+IF(Q66="",0,IF(Q66=200,サマリー!$B$10,IF(Q66=100,サマリー!$B$11,0)))+IF(R66="",0,R66*サマリー!$B$12)</f>
        <v>16310</v>
      </c>
      <c r="D66" s="26">
        <f>S66+T66+U66+V66+W66+IF(X66="",0,X66*サマリー!$B$9)+IF(Y66="",0,IF(Y66=200,サマリー!$B$10,IF(Y66=100,サマリー!$B$11,0)))+IF(Z66="",0,Z66*サマリー!$B$12)</f>
        <v>6400</v>
      </c>
      <c r="E66" s="26">
        <f t="shared" si="2"/>
        <v>22710</v>
      </c>
      <c r="I66" s="29"/>
      <c r="J66" s="29">
        <v>16310</v>
      </c>
      <c r="K66" s="29"/>
      <c r="L66" s="29"/>
      <c r="M66" s="29"/>
      <c r="N66" s="29"/>
      <c r="O66" s="29"/>
      <c r="P66" s="30"/>
      <c r="Q66" s="30"/>
      <c r="R66" s="30"/>
      <c r="S66" s="31"/>
      <c r="T66" s="31">
        <v>6400</v>
      </c>
      <c r="U66" s="31"/>
      <c r="V66" s="31"/>
      <c r="W66" s="31"/>
      <c r="X66" s="32"/>
      <c r="Y66" s="32"/>
      <c r="Z66" s="32"/>
    </row>
    <row r="67" spans="1:26">
      <c r="A67" s="28"/>
      <c r="B67" s="17">
        <f t="shared" si="3"/>
        <v>46228</v>
      </c>
      <c r="C67" s="26">
        <f>I67+J67+K67+L67+M67+N67+O67+IF(P67="",0,P67*サマリー!$B$9)+IF(Q67="",0,IF(Q67=200,サマリー!$B$10,IF(Q67=100,サマリー!$B$11,0)))+IF(R67="",0,R67*サマリー!$B$12)</f>
        <v>5510</v>
      </c>
      <c r="D67" s="26">
        <f>S67+T67+U67+V67+W67+IF(X67="",0,X67*サマリー!$B$9)+IF(Y67="",0,IF(Y67=200,サマリー!$B$10,IF(Y67=100,サマリー!$B$11,0)))+IF(Z67="",0,Z67*サマリー!$B$12)</f>
        <v>0</v>
      </c>
      <c r="E67" s="26">
        <f t="shared" si="2"/>
        <v>5510</v>
      </c>
      <c r="I67" s="29"/>
      <c r="J67" s="29">
        <v>5510</v>
      </c>
      <c r="K67" s="29"/>
      <c r="L67" s="29"/>
      <c r="M67" s="29"/>
      <c r="N67" s="29"/>
      <c r="O67" s="29"/>
      <c r="P67" s="30"/>
      <c r="Q67" s="30"/>
      <c r="R67" s="30"/>
      <c r="S67" s="31"/>
      <c r="T67" s="31"/>
      <c r="U67" s="31"/>
      <c r="V67" s="31"/>
      <c r="W67" s="31"/>
      <c r="X67" s="32"/>
      <c r="Y67" s="32"/>
      <c r="Z67" s="32"/>
    </row>
    <row r="68" spans="1:26">
      <c r="A68" s="28"/>
      <c r="B68" s="17">
        <f t="shared" si="3"/>
        <v>46228</v>
      </c>
      <c r="C68" s="26">
        <f>I68+J68+K68+L68+M68+N68+O68+IF(P68="",0,P68*サマリー!$B$9)+IF(Q68="",0,IF(Q68=200,サマリー!$B$10,IF(Q68=100,サマリー!$B$11,0)))+IF(R68="",0,R68*サマリー!$B$12)</f>
        <v>48931</v>
      </c>
      <c r="D68" s="26">
        <f>S68+T68+U68+V68+W68+IF(X68="",0,X68*サマリー!$B$9)+IF(Y68="",0,IF(Y68=200,サマリー!$B$10,IF(Y68=100,サマリー!$B$11,0)))+IF(Z68="",0,Z68*サマリー!$B$12)</f>
        <v>0</v>
      </c>
      <c r="E68" s="26">
        <f t="shared" si="2"/>
        <v>48931</v>
      </c>
      <c r="I68" s="29"/>
      <c r="J68" s="29">
        <v>21100</v>
      </c>
      <c r="K68" s="29">
        <v>27831</v>
      </c>
      <c r="L68" s="29"/>
      <c r="M68" s="29"/>
      <c r="N68" s="29"/>
      <c r="O68" s="29"/>
      <c r="P68" s="30"/>
      <c r="Q68" s="30"/>
      <c r="R68" s="30"/>
      <c r="S68" s="31"/>
      <c r="T68" s="31"/>
      <c r="U68" s="31"/>
      <c r="V68" s="31"/>
      <c r="W68" s="31"/>
      <c r="X68" s="32"/>
      <c r="Y68" s="32"/>
      <c r="Z68" s="32"/>
    </row>
    <row r="69" spans="1:26">
      <c r="A69" s="28">
        <v>26</v>
      </c>
      <c r="B69" s="17">
        <f t="shared" si="3"/>
        <v>46229</v>
      </c>
      <c r="C69" s="26">
        <f>I69+J69+K69+L69+M69+N69+O69+IF(P69="",0,P69*サマリー!$B$9)+IF(Q69="",0,IF(Q69=200,サマリー!$B$10,IF(Q69=100,サマリー!$B$11,0)))+IF(R69="",0,R69*サマリー!$B$12)</f>
        <v>24438</v>
      </c>
      <c r="D69" s="26">
        <f>S69+T69+U69+V69+W69+IF(X69="",0,X69*サマリー!$B$9)+IF(Y69="",0,IF(Y69=200,サマリー!$B$10,IF(Y69=100,サマリー!$B$11,0)))+IF(Z69="",0,Z69*サマリー!$B$12)</f>
        <v>5500</v>
      </c>
      <c r="E69" s="26">
        <f t="shared" si="2"/>
        <v>29938</v>
      </c>
      <c r="I69" s="29"/>
      <c r="J69" s="29">
        <v>24438</v>
      </c>
      <c r="K69" s="29"/>
      <c r="L69" s="29"/>
      <c r="M69" s="29"/>
      <c r="N69" s="29"/>
      <c r="O69" s="29"/>
      <c r="P69" s="30"/>
      <c r="Q69" s="30"/>
      <c r="R69" s="30"/>
      <c r="S69" s="31"/>
      <c r="T69" s="31">
        <v>5500</v>
      </c>
      <c r="U69" s="31"/>
      <c r="V69" s="31"/>
      <c r="W69" s="31"/>
      <c r="X69" s="32"/>
      <c r="Y69" s="32"/>
      <c r="Z69" s="32"/>
    </row>
    <row r="70" spans="1:26">
      <c r="A70" s="28"/>
      <c r="B70" s="17">
        <f t="shared" si="3"/>
        <v>46229</v>
      </c>
      <c r="C70" s="26">
        <f>I70+J70+K70+L70+M70+N70+O70+IF(P70="",0,P70*サマリー!$B$9)+IF(Q70="",0,IF(Q70=200,サマリー!$B$10,IF(Q70=100,サマリー!$B$11,0)))+IF(R70="",0,R70*サマリー!$B$12)</f>
        <v>36231</v>
      </c>
      <c r="D70" s="26">
        <f>S70+T70+U70+V70+W70+IF(X70="",0,X70*サマリー!$B$9)+IF(Y70="",0,IF(Y70=200,サマリー!$B$10,IF(Y70=100,サマリー!$B$11,0)))+IF(Z70="",0,Z70*サマリー!$B$12)</f>
        <v>44897</v>
      </c>
      <c r="E70" s="26">
        <f t="shared" ref="E70:E101" si="4">C70+D70</f>
        <v>81128</v>
      </c>
      <c r="I70" s="29"/>
      <c r="J70" s="29">
        <v>12380</v>
      </c>
      <c r="K70" s="29">
        <v>23851</v>
      </c>
      <c r="L70" s="29"/>
      <c r="M70" s="29"/>
      <c r="N70" s="29"/>
      <c r="O70" s="29"/>
      <c r="P70" s="30"/>
      <c r="Q70" s="30"/>
      <c r="R70" s="30"/>
      <c r="S70" s="31">
        <v>32550</v>
      </c>
      <c r="T70" s="31"/>
      <c r="U70" s="31">
        <v>12347</v>
      </c>
      <c r="V70" s="31"/>
      <c r="W70" s="31"/>
      <c r="X70" s="32"/>
      <c r="Y70" s="32"/>
      <c r="Z70" s="32"/>
    </row>
    <row r="71" spans="1:26">
      <c r="A71" s="28"/>
      <c r="B71" s="17">
        <f t="shared" ref="B71:B102" si="5">IF(A71="",B70,IF(A71&lt;DAY(B70),DATE(YEAR(B70),MONTH(B70)+1,A71),DATE(YEAR(B70),MONTH(B70),A71)))</f>
        <v>46229</v>
      </c>
      <c r="C71" s="26">
        <f>I71+J71+K71+L71+M71+N71+O71+IF(P71="",0,P71*サマリー!$B$9)+IF(Q71="",0,IF(Q71=200,サマリー!$B$10,IF(Q71=100,サマリー!$B$11,0)))+IF(R71="",0,R71*サマリー!$B$12)</f>
        <v>13000</v>
      </c>
      <c r="D71" s="26">
        <f>S71+T71+U71+V71+W71+IF(X71="",0,X71*サマリー!$B$9)+IF(Y71="",0,IF(Y71=200,サマリー!$B$10,IF(Y71=100,サマリー!$B$11,0)))+IF(Z71="",0,Z71*サマリー!$B$12)</f>
        <v>0</v>
      </c>
      <c r="E71" s="26">
        <f t="shared" si="4"/>
        <v>13000</v>
      </c>
      <c r="I71" s="29"/>
      <c r="J71" s="29"/>
      <c r="K71" s="29"/>
      <c r="L71" s="29">
        <v>13000</v>
      </c>
      <c r="M71" s="29"/>
      <c r="N71" s="29"/>
      <c r="O71" s="29"/>
      <c r="P71" s="30"/>
      <c r="Q71" s="30"/>
      <c r="R71" s="30"/>
      <c r="S71" s="31"/>
      <c r="T71" s="31"/>
      <c r="U71" s="31"/>
      <c r="V71" s="31"/>
      <c r="W71" s="31"/>
      <c r="X71" s="32"/>
      <c r="Y71" s="32"/>
      <c r="Z71" s="32"/>
    </row>
    <row r="72" spans="1:26">
      <c r="A72" s="28"/>
      <c r="B72" s="17">
        <f t="shared" si="5"/>
        <v>46229</v>
      </c>
      <c r="C72" s="26">
        <f>I72+J72+K72+L72+M72+N72+O72+IF(P72="",0,P72*サマリー!$B$9)+IF(Q72="",0,IF(Q72=200,サマリー!$B$10,IF(Q72=100,サマリー!$B$11,0)))+IF(R72="",0,R72*サマリー!$B$12)</f>
        <v>35000</v>
      </c>
      <c r="D72" s="26">
        <f>S72+T72+U72+V72+W72+IF(X72="",0,X72*サマリー!$B$9)+IF(Y72="",0,IF(Y72=200,サマリー!$B$10,IF(Y72=100,サマリー!$B$11,0)))+IF(Z72="",0,Z72*サマリー!$B$12)</f>
        <v>0</v>
      </c>
      <c r="E72" s="26">
        <f t="shared" si="4"/>
        <v>35000</v>
      </c>
      <c r="I72" s="29"/>
      <c r="J72" s="29"/>
      <c r="K72" s="29"/>
      <c r="L72" s="29"/>
      <c r="M72" s="29">
        <v>35000</v>
      </c>
      <c r="N72" s="29"/>
      <c r="O72" s="29"/>
      <c r="P72" s="30"/>
      <c r="Q72" s="30"/>
      <c r="R72" s="30"/>
      <c r="S72" s="31"/>
      <c r="T72" s="31"/>
      <c r="U72" s="31"/>
      <c r="V72" s="31"/>
      <c r="W72" s="31"/>
      <c r="X72" s="32"/>
      <c r="Y72" s="32"/>
      <c r="Z72" s="32"/>
    </row>
    <row r="73" spans="1:26">
      <c r="A73" s="28">
        <v>27</v>
      </c>
      <c r="B73" s="17">
        <f t="shared" si="5"/>
        <v>46230</v>
      </c>
      <c r="C73" s="26">
        <f>I73+J73+K73+L73+M73+N73+O73+IF(P73="",0,P73*サマリー!$B$9)+IF(Q73="",0,IF(Q73=200,サマリー!$B$10,IF(Q73=100,サマリー!$B$11,0)))+IF(R73="",0,R73*サマリー!$B$12)</f>
        <v>0</v>
      </c>
      <c r="D73" s="26">
        <f>S73+T73+U73+V73+W73+IF(X73="",0,X73*サマリー!$B$9)+IF(Y73="",0,IF(Y73=200,サマリー!$B$10,IF(Y73=100,サマリー!$B$11,0)))+IF(Z73="",0,Z73*サマリー!$B$12)</f>
        <v>555</v>
      </c>
      <c r="E73" s="26">
        <f t="shared" si="4"/>
        <v>555</v>
      </c>
      <c r="I73" s="29"/>
      <c r="J73" s="29"/>
      <c r="K73" s="29"/>
      <c r="L73" s="29"/>
      <c r="M73" s="29"/>
      <c r="N73" s="29"/>
      <c r="O73" s="29"/>
      <c r="P73" s="30"/>
      <c r="Q73" s="30"/>
      <c r="R73" s="30"/>
      <c r="S73" s="31"/>
      <c r="T73" s="31">
        <v>555</v>
      </c>
      <c r="U73" s="31"/>
      <c r="V73" s="31"/>
      <c r="W73" s="31"/>
      <c r="X73" s="32"/>
      <c r="Y73" s="32"/>
      <c r="Z73" s="32"/>
    </row>
    <row r="74" spans="1:26">
      <c r="A74" s="28"/>
      <c r="B74" s="17">
        <f t="shared" si="5"/>
        <v>46230</v>
      </c>
      <c r="C74" s="26">
        <f>I74+J74+K74+L74+M74+N74+O74+IF(P74="",0,P74*サマリー!$B$9)+IF(Q74="",0,IF(Q74=200,サマリー!$B$10,IF(Q74=100,サマリー!$B$11,0)))+IF(R74="",0,R74*サマリー!$B$12)</f>
        <v>0</v>
      </c>
      <c r="D74" s="26">
        <f>S74+T74+U74+V74+W74+IF(X74="",0,X74*サマリー!$B$9)+IF(Y74="",0,IF(Y74=200,サマリー!$B$10,IF(Y74=100,サマリー!$B$11,0)))+IF(Z74="",0,Z74*サマリー!$B$12)</f>
        <v>24519</v>
      </c>
      <c r="E74" s="26">
        <f t="shared" si="4"/>
        <v>24519</v>
      </c>
      <c r="I74" s="29"/>
      <c r="J74" s="29"/>
      <c r="K74" s="29"/>
      <c r="L74" s="29"/>
      <c r="M74" s="29"/>
      <c r="N74" s="29"/>
      <c r="O74" s="29"/>
      <c r="P74" s="30"/>
      <c r="Q74" s="30"/>
      <c r="R74" s="30"/>
      <c r="S74" s="31">
        <v>24519</v>
      </c>
      <c r="T74" s="31"/>
      <c r="U74" s="31"/>
      <c r="V74" s="31"/>
      <c r="W74" s="31"/>
      <c r="X74" s="32"/>
      <c r="Y74" s="32"/>
      <c r="Z74" s="32"/>
    </row>
    <row r="75" spans="1:26">
      <c r="A75" s="28">
        <v>28</v>
      </c>
      <c r="B75" s="17">
        <f t="shared" si="5"/>
        <v>46231</v>
      </c>
      <c r="C75" s="26">
        <f>I75+J75+K75+L75+M75+N75+O75+IF(P75="",0,P75*サマリー!$B$9)+IF(Q75="",0,IF(Q75=200,サマリー!$B$10,IF(Q75=100,サマリー!$B$11,0)))+IF(R75="",0,R75*サマリー!$B$12)</f>
        <v>555</v>
      </c>
      <c r="D75" s="26">
        <f>S75+T75+U75+V75+W75+IF(X75="",0,X75*サマリー!$B$9)+IF(Y75="",0,IF(Y75=200,サマリー!$B$10,IF(Y75=100,サマリー!$B$11,0)))+IF(Z75="",0,Z75*サマリー!$B$12)</f>
        <v>0</v>
      </c>
      <c r="E75" s="26">
        <f t="shared" si="4"/>
        <v>555</v>
      </c>
      <c r="I75" s="29"/>
      <c r="J75" s="29">
        <v>555</v>
      </c>
      <c r="K75" s="29"/>
      <c r="L75" s="29"/>
      <c r="M75" s="29"/>
      <c r="N75" s="29"/>
      <c r="O75" s="29"/>
      <c r="P75" s="30"/>
      <c r="Q75" s="30"/>
      <c r="R75" s="30"/>
      <c r="S75" s="31"/>
      <c r="T75" s="31"/>
      <c r="U75" s="31"/>
      <c r="V75" s="31"/>
      <c r="W75" s="31"/>
      <c r="X75" s="32"/>
      <c r="Y75" s="32"/>
      <c r="Z75" s="32"/>
    </row>
    <row r="76" spans="1:26">
      <c r="A76" s="28"/>
      <c r="B76" s="17">
        <f t="shared" si="5"/>
        <v>46231</v>
      </c>
      <c r="C76" s="26">
        <f>I76+J76+K76+L76+M76+N76+O76+IF(P76="",0,P76*サマリー!$B$9)+IF(Q76="",0,IF(Q76=200,サマリー!$B$10,IF(Q76=100,サマリー!$B$11,0)))+IF(R76="",0,R76*サマリー!$B$12)</f>
        <v>55198</v>
      </c>
      <c r="D76" s="26">
        <f>S76+T76+U76+V76+W76+IF(X76="",0,X76*サマリー!$B$9)+IF(Y76="",0,IF(Y76=200,サマリー!$B$10,IF(Y76=100,サマリー!$B$11,0)))+IF(Z76="",0,Z76*サマリー!$B$12)</f>
        <v>0</v>
      </c>
      <c r="E76" s="26">
        <f t="shared" si="4"/>
        <v>55198</v>
      </c>
      <c r="I76" s="29">
        <v>47957</v>
      </c>
      <c r="J76" s="29"/>
      <c r="K76" s="29"/>
      <c r="L76" s="29"/>
      <c r="M76" s="29"/>
      <c r="N76" s="29"/>
      <c r="O76" s="29"/>
      <c r="P76" s="30"/>
      <c r="Q76" s="30">
        <v>200</v>
      </c>
      <c r="R76" s="30"/>
      <c r="S76" s="31"/>
      <c r="T76" s="31"/>
      <c r="U76" s="31"/>
      <c r="V76" s="31"/>
      <c r="W76" s="31"/>
      <c r="X76" s="32"/>
      <c r="Y76" s="32"/>
      <c r="Z76" s="32"/>
    </row>
    <row r="77" spans="1:26">
      <c r="A77" s="28">
        <v>29</v>
      </c>
      <c r="B77" s="17">
        <f t="shared" si="5"/>
        <v>46232</v>
      </c>
      <c r="C77" s="26">
        <f>I77+J77+K77+L77+M77+N77+O77+IF(P77="",0,P77*サマリー!$B$9)+IF(Q77="",0,IF(Q77=200,サマリー!$B$10,IF(Q77=100,サマリー!$B$11,0)))+IF(R77="",0,R77*サマリー!$B$12)</f>
        <v>25000</v>
      </c>
      <c r="D77" s="26">
        <f>S77+T77+U77+V77+W77+IF(X77="",0,X77*サマリー!$B$9)+IF(Y77="",0,IF(Y77=200,サマリー!$B$10,IF(Y77=100,サマリー!$B$11,0)))+IF(Z77="",0,Z77*サマリー!$B$12)</f>
        <v>25000</v>
      </c>
      <c r="E77" s="26">
        <f t="shared" si="4"/>
        <v>50000</v>
      </c>
      <c r="I77" s="29"/>
      <c r="J77" s="29"/>
      <c r="K77" s="29"/>
      <c r="L77" s="29"/>
      <c r="M77" s="29"/>
      <c r="N77" s="29"/>
      <c r="O77" s="29"/>
      <c r="P77" s="30">
        <v>1</v>
      </c>
      <c r="Q77" s="30"/>
      <c r="R77" s="30"/>
      <c r="S77" s="31"/>
      <c r="T77" s="31"/>
      <c r="U77" s="31"/>
      <c r="V77" s="31"/>
      <c r="W77" s="31"/>
      <c r="X77" s="32">
        <v>1</v>
      </c>
      <c r="Y77" s="32"/>
      <c r="Z77" s="32"/>
    </row>
    <row r="78" spans="1:26">
      <c r="A78" s="28"/>
      <c r="B78" s="17">
        <f t="shared" si="5"/>
        <v>46232</v>
      </c>
      <c r="C78" s="26">
        <f>I78+J78+K78+L78+M78+N78+O78+IF(P78="",0,P78*サマリー!$B$9)+IF(Q78="",0,IF(Q78=200,サマリー!$B$10,IF(Q78=100,サマリー!$B$11,0)))+IF(R78="",0,R78*サマリー!$B$12)</f>
        <v>1655</v>
      </c>
      <c r="D78" s="26">
        <f>S78+T78+U78+V78+W78+IF(X78="",0,X78*サマリー!$B$9)+IF(Y78="",0,IF(Y78=200,サマリー!$B$10,IF(Y78=100,サマリー!$B$11,0)))+IF(Z78="",0,Z78*サマリー!$B$12)</f>
        <v>38946</v>
      </c>
      <c r="E78" s="26">
        <f t="shared" si="4"/>
        <v>40601</v>
      </c>
      <c r="I78" s="29"/>
      <c r="J78" s="29">
        <v>1655</v>
      </c>
      <c r="K78" s="29"/>
      <c r="L78" s="29"/>
      <c r="M78" s="29"/>
      <c r="N78" s="29"/>
      <c r="O78" s="29"/>
      <c r="P78" s="30"/>
      <c r="Q78" s="30"/>
      <c r="R78" s="30"/>
      <c r="S78" s="31"/>
      <c r="T78" s="31">
        <v>38946</v>
      </c>
      <c r="U78" s="31"/>
      <c r="V78" s="31"/>
      <c r="W78" s="31"/>
      <c r="X78" s="32"/>
      <c r="Y78" s="32"/>
      <c r="Z78" s="32"/>
    </row>
    <row r="79" spans="1:26">
      <c r="A79" s="28">
        <v>30</v>
      </c>
      <c r="B79" s="17">
        <f t="shared" si="5"/>
        <v>46233</v>
      </c>
      <c r="C79" s="26">
        <f>I79+J79+K79+L79+M79+N79+O79+IF(P79="",0,P79*サマリー!$B$9)+IF(Q79="",0,IF(Q79=200,サマリー!$B$10,IF(Q79=100,サマリー!$B$11,0)))+IF(R79="",0,R79*サマリー!$B$12)</f>
        <v>25000</v>
      </c>
      <c r="D79" s="26">
        <f>S79+T79+U79+V79+W79+IF(X79="",0,X79*サマリー!$B$9)+IF(Y79="",0,IF(Y79=200,サマリー!$B$10,IF(Y79=100,サマリー!$B$11,0)))+IF(Z79="",0,Z79*サマリー!$B$12)</f>
        <v>0</v>
      </c>
      <c r="E79" s="26">
        <f t="shared" si="4"/>
        <v>25000</v>
      </c>
      <c r="I79" s="29"/>
      <c r="J79" s="29"/>
      <c r="K79" s="29"/>
      <c r="L79" s="29"/>
      <c r="M79" s="29"/>
      <c r="N79" s="29"/>
      <c r="O79" s="29"/>
      <c r="P79" s="30">
        <v>1</v>
      </c>
      <c r="Q79" s="30"/>
      <c r="R79" s="30"/>
      <c r="S79" s="31"/>
      <c r="T79" s="31"/>
      <c r="U79" s="31"/>
      <c r="V79" s="31"/>
      <c r="W79" s="31"/>
      <c r="X79" s="32"/>
      <c r="Y79" s="32"/>
      <c r="Z79" s="32"/>
    </row>
    <row r="80" spans="1:26">
      <c r="A80" s="28"/>
      <c r="B80" s="17">
        <f t="shared" si="5"/>
        <v>46233</v>
      </c>
      <c r="C80" s="26">
        <f>I80+J80+K80+L80+M80+N80+O80+IF(P80="",0,P80*サマリー!$B$9)+IF(Q80="",0,IF(Q80=200,サマリー!$B$10,IF(Q80=100,サマリー!$B$11,0)))+IF(R80="",0,R80*サマリー!$B$12)</f>
        <v>42317</v>
      </c>
      <c r="D80" s="26">
        <f>S80+T80+U80+V80+W80+IF(X80="",0,X80*サマリー!$B$9)+IF(Y80="",0,IF(Y80=200,サマリー!$B$10,IF(Y80=100,サマリー!$B$11,0)))+IF(Z80="",0,Z80*サマリー!$B$12)</f>
        <v>0</v>
      </c>
      <c r="E80" s="26">
        <f t="shared" si="4"/>
        <v>42317</v>
      </c>
      <c r="I80" s="29"/>
      <c r="J80" s="29"/>
      <c r="K80" s="29"/>
      <c r="L80" s="29"/>
      <c r="M80" s="29">
        <v>35076</v>
      </c>
      <c r="N80" s="29"/>
      <c r="O80" s="29"/>
      <c r="P80" s="30"/>
      <c r="Q80" s="30">
        <v>200</v>
      </c>
      <c r="R80" s="30"/>
      <c r="S80" s="31"/>
      <c r="T80" s="31"/>
      <c r="U80" s="31"/>
      <c r="V80" s="31"/>
      <c r="W80" s="31"/>
      <c r="X80" s="32"/>
      <c r="Y80" s="32"/>
      <c r="Z80" s="32"/>
    </row>
    <row r="81" spans="1:26">
      <c r="A81" s="28">
        <v>31</v>
      </c>
      <c r="B81" s="17">
        <f t="shared" si="5"/>
        <v>46234</v>
      </c>
      <c r="C81" s="26">
        <f>I81+J81+K81+L81+M81+N81+O81+IF(P81="",0,P81*サマリー!$B$9)+IF(Q81="",0,IF(Q81=200,サマリー!$B$10,IF(Q81=100,サマリー!$B$11,0)))+IF(R81="",0,R81*サマリー!$B$12)</f>
        <v>31150</v>
      </c>
      <c r="D81" s="26">
        <f>S81+T81+U81+V81+W81+IF(X81="",0,X81*サマリー!$B$9)+IF(Y81="",0,IF(Y81=200,サマリー!$B$10,IF(Y81=100,サマリー!$B$11,0)))+IF(Z81="",0,Z81*サマリー!$B$12)</f>
        <v>11900</v>
      </c>
      <c r="E81" s="26">
        <f t="shared" si="4"/>
        <v>43050</v>
      </c>
      <c r="I81" s="29"/>
      <c r="J81" s="29"/>
      <c r="K81" s="29"/>
      <c r="L81" s="29"/>
      <c r="M81" s="29"/>
      <c r="N81" s="29">
        <v>31150</v>
      </c>
      <c r="O81" s="29"/>
      <c r="P81" s="30"/>
      <c r="Q81" s="30"/>
      <c r="R81" s="30"/>
      <c r="S81" s="31"/>
      <c r="T81" s="31"/>
      <c r="U81" s="31"/>
      <c r="V81" s="31">
        <v>11900</v>
      </c>
      <c r="W81" s="31"/>
      <c r="X81" s="32"/>
      <c r="Y81" s="32"/>
      <c r="Z81" s="32"/>
    </row>
    <row r="82" spans="1:26">
      <c r="A82" s="28"/>
      <c r="B82" s="17">
        <f t="shared" si="5"/>
        <v>46234</v>
      </c>
      <c r="C82" s="26">
        <f>I82+J82+K82+L82+M82+N82+O82+IF(P82="",0,P82*サマリー!$B$9)+IF(Q82="",0,IF(Q82=200,サマリー!$B$10,IF(Q82=100,サマリー!$B$11,0)))+IF(R82="",0,R82*サマリー!$B$12)</f>
        <v>33355</v>
      </c>
      <c r="D82" s="26">
        <f>S82+T82+U82+V82+W82+IF(X82="",0,X82*サマリー!$B$9)+IF(Y82="",0,IF(Y82=200,サマリー!$B$10,IF(Y82=100,サマリー!$B$11,0)))+IF(Z82="",0,Z82*サマリー!$B$12)</f>
        <v>7500</v>
      </c>
      <c r="E82" s="26">
        <f t="shared" si="4"/>
        <v>40855</v>
      </c>
      <c r="I82" s="29"/>
      <c r="J82" s="29"/>
      <c r="K82" s="29"/>
      <c r="L82" s="29">
        <v>33355</v>
      </c>
      <c r="M82" s="29"/>
      <c r="N82" s="29"/>
      <c r="O82" s="29"/>
      <c r="P82" s="30"/>
      <c r="Q82" s="30"/>
      <c r="R82" s="30"/>
      <c r="S82" s="31"/>
      <c r="T82" s="31"/>
      <c r="U82" s="31"/>
      <c r="V82" s="31">
        <v>7500</v>
      </c>
      <c r="W82" s="31"/>
      <c r="X82" s="32"/>
      <c r="Y82" s="32"/>
      <c r="Z82" s="32"/>
    </row>
    <row r="83" spans="1:26">
      <c r="A83" s="28">
        <v>1</v>
      </c>
      <c r="B83" s="17">
        <f t="shared" si="5"/>
        <v>46235</v>
      </c>
      <c r="C83" s="26">
        <f>I83+J83+K83+L83+M83+N83+O83+IF(P83="",0,P83*サマリー!$B$9)+IF(Q83="",0,IF(Q83=200,サマリー!$B$10,IF(Q83=100,サマリー!$B$11,0)))+IF(R83="",0,R83*サマリー!$B$12)</f>
        <v>18920</v>
      </c>
      <c r="D83" s="26">
        <f>S83+T83+U83+V83+W83+IF(X83="",0,X83*サマリー!$B$9)+IF(Y83="",0,IF(Y83=200,サマリー!$B$10,IF(Y83=100,サマリー!$B$11,0)))+IF(Z83="",0,Z83*サマリー!$B$12)</f>
        <v>0</v>
      </c>
      <c r="E83" s="26">
        <f t="shared" si="4"/>
        <v>18920</v>
      </c>
      <c r="I83" s="29">
        <v>18920</v>
      </c>
      <c r="J83" s="29"/>
      <c r="K83" s="29"/>
      <c r="L83" s="29"/>
      <c r="M83" s="29"/>
      <c r="N83" s="29"/>
      <c r="O83" s="29"/>
      <c r="P83" s="30"/>
      <c r="Q83" s="30"/>
      <c r="R83" s="30"/>
      <c r="S83" s="31"/>
      <c r="T83" s="31"/>
      <c r="U83" s="31"/>
      <c r="V83" s="31"/>
      <c r="W83" s="31"/>
      <c r="X83" s="32"/>
      <c r="Y83" s="32"/>
      <c r="Z83" s="32"/>
    </row>
    <row r="84" spans="1:26">
      <c r="A84" s="28"/>
      <c r="B84" s="17">
        <f t="shared" si="5"/>
        <v>46235</v>
      </c>
      <c r="C84" s="26">
        <f>I84+J84+K84+L84+M84+N84+O84+IF(P84="",0,P84*サマリー!$B$9)+IF(Q84="",0,IF(Q84=200,サマリー!$B$10,IF(Q84=100,サマリー!$B$11,0)))+IF(R84="",0,R84*サマリー!$B$12)</f>
        <v>89679</v>
      </c>
      <c r="D84" s="26">
        <f>S84+T84+U84+V84+W84+IF(X84="",0,X84*サマリー!$B$9)+IF(Y84="",0,IF(Y84=200,サマリー!$B$10,IF(Y84=100,サマリー!$B$11,0)))+IF(Z84="",0,Z84*サマリー!$B$12)</f>
        <v>0</v>
      </c>
      <c r="E84" s="26">
        <f t="shared" si="4"/>
        <v>89679</v>
      </c>
      <c r="I84" s="29">
        <v>82438</v>
      </c>
      <c r="J84" s="29"/>
      <c r="K84" s="29"/>
      <c r="L84" s="29"/>
      <c r="M84" s="29"/>
      <c r="N84" s="29"/>
      <c r="O84" s="29"/>
      <c r="P84" s="30"/>
      <c r="Q84" s="30">
        <v>200</v>
      </c>
      <c r="R84" s="30"/>
      <c r="S84" s="31"/>
      <c r="T84" s="31"/>
      <c r="U84" s="31"/>
      <c r="V84" s="31"/>
      <c r="W84" s="31"/>
      <c r="X84" s="32"/>
      <c r="Y84" s="32"/>
      <c r="Z84" s="32"/>
    </row>
    <row r="85" spans="1:26">
      <c r="A85" s="28"/>
      <c r="B85" s="17">
        <f t="shared" si="5"/>
        <v>46235</v>
      </c>
      <c r="C85" s="26">
        <f>I85+J85+K85+L85+M85+N85+O85+IF(P85="",0,P85*サマリー!$B$9)+IF(Q85="",0,IF(Q85=200,サマリー!$B$10,IF(Q85=100,サマリー!$B$11,0)))+IF(R85="",0,R85*サマリー!$B$12)</f>
        <v>9900</v>
      </c>
      <c r="D85" s="26">
        <f>S85+T85+U85+V85+W85+IF(X85="",0,X85*サマリー!$B$9)+IF(Y85="",0,IF(Y85=200,サマリー!$B$10,IF(Y85=100,サマリー!$B$11,0)))+IF(Z85="",0,Z85*サマリー!$B$12)</f>
        <v>0</v>
      </c>
      <c r="E85" s="26">
        <f t="shared" si="4"/>
        <v>9900</v>
      </c>
      <c r="I85" s="29"/>
      <c r="J85" s="29"/>
      <c r="K85" s="29"/>
      <c r="L85" s="29"/>
      <c r="M85" s="29"/>
      <c r="N85" s="29">
        <v>9900</v>
      </c>
      <c r="O85" s="29"/>
      <c r="P85" s="30"/>
      <c r="Q85" s="30"/>
      <c r="R85" s="30"/>
      <c r="S85" s="31"/>
      <c r="T85" s="31"/>
      <c r="U85" s="31"/>
      <c r="V85" s="31"/>
      <c r="W85" s="31"/>
      <c r="X85" s="32"/>
      <c r="Y85" s="32"/>
      <c r="Z85" s="32"/>
    </row>
    <row r="86" spans="1:26">
      <c r="A86" s="28">
        <v>2</v>
      </c>
      <c r="B86" s="17">
        <f t="shared" si="5"/>
        <v>46236</v>
      </c>
      <c r="C86" s="26">
        <f>I86+J86+K86+L86+M86+N86+O86+IF(P86="",0,P86*サマリー!$B$9)+IF(Q86="",0,IF(Q86=200,サマリー!$B$10,IF(Q86=100,サマリー!$B$11,0)))+IF(R86="",0,R86*サマリー!$B$12)</f>
        <v>49479</v>
      </c>
      <c r="D86" s="26">
        <f>S86+T86+U86+V86+W86+IF(X86="",0,X86*サマリー!$B$9)+IF(Y86="",0,IF(Y86=200,サマリー!$B$10,IF(Y86=100,サマリー!$B$11,0)))+IF(Z86="",0,Z86*サマリー!$B$12)</f>
        <v>19560</v>
      </c>
      <c r="E86" s="26">
        <f t="shared" si="4"/>
        <v>69039</v>
      </c>
      <c r="I86" s="29">
        <v>42238</v>
      </c>
      <c r="J86" s="29"/>
      <c r="K86" s="29"/>
      <c r="L86" s="29"/>
      <c r="M86" s="29"/>
      <c r="N86" s="29"/>
      <c r="O86" s="29"/>
      <c r="P86" s="30"/>
      <c r="Q86" s="30">
        <v>200</v>
      </c>
      <c r="R86" s="30"/>
      <c r="S86" s="31">
        <v>12319</v>
      </c>
      <c r="T86" s="31"/>
      <c r="U86" s="31"/>
      <c r="V86" s="31"/>
      <c r="W86" s="31"/>
      <c r="X86" s="32"/>
      <c r="Y86" s="32">
        <v>200</v>
      </c>
      <c r="Z86" s="32"/>
    </row>
    <row r="87" spans="1:26">
      <c r="A87" s="28"/>
      <c r="B87" s="17">
        <f t="shared" si="5"/>
        <v>46236</v>
      </c>
      <c r="C87" s="26">
        <f>I87+J87+K87+L87+M87+N87+O87+IF(P87="",0,P87*サマリー!$B$9)+IF(Q87="",0,IF(Q87=200,サマリー!$B$10,IF(Q87=100,サマリー!$B$11,0)))+IF(R87="",0,R87*サマリー!$B$12)</f>
        <v>0</v>
      </c>
      <c r="D87" s="26">
        <f>S87+T87+U87+V87+W87+IF(X87="",0,X87*サマリー!$B$9)+IF(Y87="",0,IF(Y87=200,サマリー!$B$10,IF(Y87=100,サマリー!$B$11,0)))+IF(Z87="",0,Z87*サマリー!$B$12)</f>
        <v>44979</v>
      </c>
      <c r="E87" s="26">
        <f t="shared" si="4"/>
        <v>44979</v>
      </c>
      <c r="I87" s="29"/>
      <c r="J87" s="29"/>
      <c r="K87" s="29"/>
      <c r="L87" s="29"/>
      <c r="M87" s="29"/>
      <c r="N87" s="29"/>
      <c r="O87" s="29"/>
      <c r="P87" s="30"/>
      <c r="Q87" s="30"/>
      <c r="R87" s="30"/>
      <c r="S87" s="31">
        <v>28038</v>
      </c>
      <c r="T87" s="31">
        <v>9700</v>
      </c>
      <c r="U87" s="31"/>
      <c r="V87" s="31"/>
      <c r="W87" s="31"/>
      <c r="X87" s="32"/>
      <c r="Y87" s="32">
        <v>200</v>
      </c>
      <c r="Z87" s="32"/>
    </row>
    <row r="88" spans="1:26">
      <c r="A88" s="28"/>
      <c r="B88" s="17">
        <f t="shared" si="5"/>
        <v>46236</v>
      </c>
      <c r="C88" s="26">
        <f>I88+J88+K88+L88+M88+N88+O88+IF(P88="",0,P88*サマリー!$B$9)+IF(Q88="",0,IF(Q88=200,サマリー!$B$10,IF(Q88=100,サマリー!$B$11,0)))+IF(R88="",0,R88*サマリー!$B$12)</f>
        <v>0</v>
      </c>
      <c r="D88" s="26">
        <f>S88+T88+U88+V88+W88+IF(X88="",0,X88*サマリー!$B$9)+IF(Y88="",0,IF(Y88=200,サマリー!$B$10,IF(Y88=100,サマリー!$B$11,0)))+IF(Z88="",0,Z88*サマリー!$B$12)</f>
        <v>3407</v>
      </c>
      <c r="E88" s="26">
        <f t="shared" si="4"/>
        <v>3407</v>
      </c>
      <c r="I88" s="29"/>
      <c r="J88" s="29"/>
      <c r="K88" s="29"/>
      <c r="L88" s="29"/>
      <c r="M88" s="29"/>
      <c r="N88" s="29"/>
      <c r="O88" s="29"/>
      <c r="P88" s="30"/>
      <c r="Q88" s="30"/>
      <c r="R88" s="30"/>
      <c r="S88" s="31"/>
      <c r="T88" s="31">
        <v>2470</v>
      </c>
      <c r="U88" s="31">
        <v>937</v>
      </c>
      <c r="V88" s="31"/>
      <c r="W88" s="31"/>
      <c r="X88" s="32"/>
      <c r="Y88" s="32"/>
      <c r="Z88" s="32"/>
    </row>
    <row r="89" spans="1:26">
      <c r="A89" s="28">
        <v>3</v>
      </c>
      <c r="B89" s="17">
        <f t="shared" si="5"/>
        <v>46237</v>
      </c>
      <c r="C89" s="26">
        <f>I89+J89+K89+L89+M89+N89+O89+IF(P89="",0,P89*サマリー!$B$9)+IF(Q89="",0,IF(Q89=200,サマリー!$B$10,IF(Q89=100,サマリー!$B$11,0)))+IF(R89="",0,R89*サマリー!$B$12)</f>
        <v>0</v>
      </c>
      <c r="D89" s="26">
        <f>S89+T89+U89+V89+W89+IF(X89="",0,X89*サマリー!$B$9)+IF(Y89="",0,IF(Y89=200,サマリー!$B$10,IF(Y89=100,サマリー!$B$11,0)))+IF(Z89="",0,Z89*サマリー!$B$12)</f>
        <v>61241</v>
      </c>
      <c r="E89" s="26">
        <f t="shared" si="4"/>
        <v>61241</v>
      </c>
      <c r="I89" s="29"/>
      <c r="J89" s="29"/>
      <c r="K89" s="29"/>
      <c r="L89" s="29"/>
      <c r="M89" s="29"/>
      <c r="N89" s="29"/>
      <c r="O89" s="29"/>
      <c r="P89" s="30"/>
      <c r="Q89" s="30"/>
      <c r="R89" s="30"/>
      <c r="S89" s="31">
        <v>22650</v>
      </c>
      <c r="T89" s="31"/>
      <c r="U89" s="31">
        <v>8591</v>
      </c>
      <c r="V89" s="31"/>
      <c r="W89" s="31"/>
      <c r="X89" s="32"/>
      <c r="Y89" s="32"/>
      <c r="Z89" s="32">
        <v>1</v>
      </c>
    </row>
    <row r="90" spans="1:26">
      <c r="A90" s="28"/>
      <c r="B90" s="17">
        <f t="shared" si="5"/>
        <v>46237</v>
      </c>
      <c r="C90" s="26">
        <f>I90+J90+K90+L90+M90+N90+O90+IF(P90="",0,P90*サマリー!$B$9)+IF(Q90="",0,IF(Q90=200,サマリー!$B$10,IF(Q90=100,サマリー!$B$11,0)))+IF(R90="",0,R90*サマリー!$B$12)</f>
        <v>0</v>
      </c>
      <c r="D90" s="26">
        <f>S90+T90+U90+V90+W90+IF(X90="",0,X90*サマリー!$B$9)+IF(Y90="",0,IF(Y90=200,サマリー!$B$10,IF(Y90=100,サマリー!$B$11,0)))+IF(Z90="",0,Z90*サマリー!$B$12)</f>
        <v>555</v>
      </c>
      <c r="E90" s="26">
        <f t="shared" si="4"/>
        <v>555</v>
      </c>
      <c r="I90" s="29"/>
      <c r="J90" s="29"/>
      <c r="K90" s="29"/>
      <c r="L90" s="29"/>
      <c r="M90" s="29"/>
      <c r="N90" s="29"/>
      <c r="O90" s="29"/>
      <c r="P90" s="30"/>
      <c r="Q90" s="30"/>
      <c r="R90" s="30"/>
      <c r="S90" s="31">
        <v>555</v>
      </c>
      <c r="T90" s="31"/>
      <c r="U90" s="31"/>
      <c r="V90" s="31"/>
      <c r="W90" s="31"/>
      <c r="X90" s="32"/>
      <c r="Y90" s="32"/>
      <c r="Z90" s="32"/>
    </row>
    <row r="91" spans="1:26">
      <c r="A91" s="28"/>
      <c r="B91" s="17">
        <f t="shared" si="5"/>
        <v>46237</v>
      </c>
      <c r="C91" s="26">
        <f>I91+J91+K91+L91+M91+N91+O91+IF(P91="",0,P91*サマリー!$B$9)+IF(Q91="",0,IF(Q91=200,サマリー!$B$10,IF(Q91=100,サマリー!$B$11,0)))+IF(R91="",0,R91*サマリー!$B$12)</f>
        <v>0</v>
      </c>
      <c r="D91" s="26">
        <f>S91+T91+U91+V91+W91+IF(X91="",0,X91*サマリー!$B$9)+IF(Y91="",0,IF(Y91=200,サマリー!$B$10,IF(Y91=100,サマリー!$B$11,0)))+IF(Z91="",0,Z91*サマリー!$B$12)</f>
        <v>38798</v>
      </c>
      <c r="E91" s="26">
        <f t="shared" si="4"/>
        <v>38798</v>
      </c>
      <c r="I91" s="29"/>
      <c r="J91" s="29"/>
      <c r="K91" s="29"/>
      <c r="L91" s="29"/>
      <c r="M91" s="29"/>
      <c r="N91" s="29"/>
      <c r="O91" s="29"/>
      <c r="P91" s="30"/>
      <c r="Q91" s="30"/>
      <c r="R91" s="30"/>
      <c r="S91" s="31">
        <v>31557</v>
      </c>
      <c r="T91" s="31"/>
      <c r="U91" s="31"/>
      <c r="V91" s="31"/>
      <c r="W91" s="31"/>
      <c r="X91" s="32"/>
      <c r="Y91" s="32">
        <v>200</v>
      </c>
      <c r="Z91" s="32"/>
    </row>
    <row r="92" spans="1:26">
      <c r="A92" s="28">
        <v>4</v>
      </c>
      <c r="B92" s="17">
        <f t="shared" si="5"/>
        <v>46238</v>
      </c>
      <c r="C92" s="26">
        <f>I92+J92+K92+L92+M92+N92+O92+IF(P92="",0,P92*サマリー!$B$9)+IF(Q92="",0,IF(Q92=200,サマリー!$B$10,IF(Q92=100,サマリー!$B$11,0)))+IF(R92="",0,R92*サマリー!$B$12)</f>
        <v>0</v>
      </c>
      <c r="D92" s="26">
        <f>S92+T92+U92+V92+W92+IF(X92="",0,X92*サマリー!$B$9)+IF(Y92="",0,IF(Y92=200,サマリー!$B$10,IF(Y92=100,サマリー!$B$11,0)))+IF(Z92="",0,Z92*サマリー!$B$12)</f>
        <v>18800</v>
      </c>
      <c r="E92" s="26">
        <f t="shared" si="4"/>
        <v>18800</v>
      </c>
      <c r="I92" s="29"/>
      <c r="J92" s="29"/>
      <c r="K92" s="29"/>
      <c r="L92" s="29"/>
      <c r="M92" s="29"/>
      <c r="N92" s="29"/>
      <c r="O92" s="29"/>
      <c r="P92" s="30"/>
      <c r="Q92" s="30"/>
      <c r="R92" s="30"/>
      <c r="S92" s="31">
        <v>18800</v>
      </c>
      <c r="T92" s="31"/>
      <c r="U92" s="31"/>
      <c r="V92" s="31"/>
      <c r="W92" s="31"/>
      <c r="X92" s="32"/>
      <c r="Y92" s="32"/>
      <c r="Z92" s="32"/>
    </row>
    <row r="93" spans="1:26">
      <c r="A93" s="28"/>
      <c r="B93" s="17">
        <f t="shared" si="5"/>
        <v>46238</v>
      </c>
      <c r="C93" s="26">
        <f>I93+J93+K93+L93+M93+N93+O93+IF(P93="",0,P93*サマリー!$B$9)+IF(Q93="",0,IF(Q93=200,サマリー!$B$10,IF(Q93=100,サマリー!$B$11,0)))+IF(R93="",0,R93*サマリー!$B$12)</f>
        <v>0</v>
      </c>
      <c r="D93" s="26">
        <f>S93+T93+U93+V93+W93+IF(X93="",0,X93*サマリー!$B$9)+IF(Y93="",0,IF(Y93=200,サマリー!$B$10,IF(Y93=100,サマリー!$B$11,0)))+IF(Z93="",0,Z93*サマリー!$B$12)</f>
        <v>31760</v>
      </c>
      <c r="E93" s="26">
        <f t="shared" si="4"/>
        <v>31760</v>
      </c>
      <c r="I93" s="29"/>
      <c r="J93" s="29"/>
      <c r="K93" s="29"/>
      <c r="L93" s="29"/>
      <c r="M93" s="29"/>
      <c r="N93" s="29"/>
      <c r="O93" s="29"/>
      <c r="P93" s="30"/>
      <c r="Q93" s="30"/>
      <c r="R93" s="30"/>
      <c r="S93" s="31">
        <v>24519</v>
      </c>
      <c r="T93" s="31"/>
      <c r="U93" s="31"/>
      <c r="V93" s="31"/>
      <c r="W93" s="31"/>
      <c r="X93" s="32"/>
      <c r="Y93" s="32">
        <v>200</v>
      </c>
      <c r="Z93" s="32"/>
    </row>
    <row r="94" spans="1:26">
      <c r="A94" s="28"/>
      <c r="B94" s="17">
        <f t="shared" si="5"/>
        <v>46238</v>
      </c>
      <c r="C94" s="26">
        <f>I94+J94+K94+L94+M94+N94+O94+IF(P94="",0,P94*サマリー!$B$9)+IF(Q94="",0,IF(Q94=200,サマリー!$B$10,IF(Q94=100,サマリー!$B$11,0)))+IF(R94="",0,R94*サマリー!$B$12)</f>
        <v>0</v>
      </c>
      <c r="D94" s="26">
        <f>S94+T94+U94+V94+W94+IF(X94="",0,X94*サマリー!$B$9)+IF(Y94="",0,IF(Y94=200,サマリー!$B$10,IF(Y94=100,サマリー!$B$11,0)))+IF(Z94="",0,Z94*サマリー!$B$12)</f>
        <v>31760</v>
      </c>
      <c r="E94" s="26">
        <f t="shared" si="4"/>
        <v>31760</v>
      </c>
      <c r="I94" s="29"/>
      <c r="J94" s="29"/>
      <c r="K94" s="29"/>
      <c r="L94" s="29"/>
      <c r="M94" s="29"/>
      <c r="N94" s="29"/>
      <c r="O94" s="29"/>
      <c r="P94" s="30"/>
      <c r="Q94" s="30"/>
      <c r="R94" s="30"/>
      <c r="S94" s="31">
        <v>24519</v>
      </c>
      <c r="T94" s="31"/>
      <c r="U94" s="31"/>
      <c r="V94" s="31"/>
      <c r="W94" s="31"/>
      <c r="X94" s="32"/>
      <c r="Y94" s="32">
        <v>200</v>
      </c>
      <c r="Z94" s="32"/>
    </row>
    <row r="95" spans="1:26">
      <c r="A95" s="28">
        <v>5</v>
      </c>
      <c r="B95" s="17">
        <f t="shared" si="5"/>
        <v>46239</v>
      </c>
      <c r="C95" s="26">
        <f>I95+J95+K95+L95+M95+N95+O95+IF(P95="",0,P95*サマリー!$B$9)+IF(Q95="",0,IF(Q95=200,サマリー!$B$10,IF(Q95=100,サマリー!$B$11,0)))+IF(R95="",0,R95*サマリー!$B$12)</f>
        <v>92097</v>
      </c>
      <c r="D95" s="26">
        <f>S95+T95+U95+V95+W95+IF(X95="",0,X95*サマリー!$B$9)+IF(Y95="",0,IF(Y95=200,サマリー!$B$10,IF(Y95=100,サマリー!$B$11,0)))+IF(Z95="",0,Z95*サマリー!$B$12)</f>
        <v>18800</v>
      </c>
      <c r="E95" s="26">
        <f t="shared" si="4"/>
        <v>110897</v>
      </c>
      <c r="I95" s="29"/>
      <c r="J95" s="29">
        <v>45020</v>
      </c>
      <c r="K95" s="29">
        <v>17077</v>
      </c>
      <c r="L95" s="29"/>
      <c r="M95" s="29"/>
      <c r="N95" s="29"/>
      <c r="O95" s="29"/>
      <c r="P95" s="30"/>
      <c r="Q95" s="30"/>
      <c r="R95" s="30">
        <v>1</v>
      </c>
      <c r="S95" s="31"/>
      <c r="T95" s="31"/>
      <c r="U95" s="31"/>
      <c r="V95" s="31">
        <v>18800</v>
      </c>
      <c r="W95" s="31"/>
      <c r="X95" s="32"/>
      <c r="Y95" s="32"/>
      <c r="Z95" s="32"/>
    </row>
    <row r="96" spans="1:26">
      <c r="A96" s="28">
        <v>6</v>
      </c>
      <c r="B96" s="17">
        <f t="shared" si="5"/>
        <v>46240</v>
      </c>
      <c r="C96" s="26">
        <f>I96+J96+K96+L96+M96+N96+O96+IF(P96="",0,P96*サマリー!$B$9)+IF(Q96="",0,IF(Q96=200,サマリー!$B$10,IF(Q96=100,サマリー!$B$11,0)))+IF(R96="",0,R96*サマリー!$B$12)</f>
        <v>25000</v>
      </c>
      <c r="D96" s="26">
        <f>S96+T96+U96+V96+W96+IF(X96="",0,X96*サマリー!$B$9)+IF(Y96="",0,IF(Y96=200,サマリー!$B$10,IF(Y96=100,サマリー!$B$11,0)))+IF(Z96="",0,Z96*サマリー!$B$12)</f>
        <v>25000</v>
      </c>
      <c r="E96" s="26">
        <f t="shared" si="4"/>
        <v>50000</v>
      </c>
      <c r="I96" s="29"/>
      <c r="J96" s="29"/>
      <c r="K96" s="29"/>
      <c r="L96" s="29"/>
      <c r="M96" s="29"/>
      <c r="N96" s="29"/>
      <c r="O96" s="29"/>
      <c r="P96" s="30">
        <v>1</v>
      </c>
      <c r="Q96" s="30"/>
      <c r="R96" s="30"/>
      <c r="S96" s="31"/>
      <c r="T96" s="31"/>
      <c r="U96" s="31"/>
      <c r="V96" s="31"/>
      <c r="W96" s="31"/>
      <c r="X96" s="32">
        <v>1</v>
      </c>
      <c r="Y96" s="32"/>
      <c r="Z96" s="32"/>
    </row>
    <row r="97" spans="1:26">
      <c r="A97" s="28"/>
      <c r="B97" s="17">
        <f t="shared" si="5"/>
        <v>46240</v>
      </c>
      <c r="C97" s="26">
        <f>I97+J97+K97+L97+M97+N97+O97+IF(P97="",0,P97*サマリー!$B$9)+IF(Q97="",0,IF(Q97=200,サマリー!$B$10,IF(Q97=100,サマリー!$B$11,0)))+IF(R97="",0,R97*サマリー!$B$12)</f>
        <v>0</v>
      </c>
      <c r="D97" s="26">
        <f>S97+T97+U97+V97+W97+IF(X97="",0,X97*サマリー!$B$9)+IF(Y97="",0,IF(Y97=200,サマリー!$B$10,IF(Y97=100,サマリー!$B$11,0)))+IF(Z97="",0,Z97*サマリー!$B$12)</f>
        <v>24519</v>
      </c>
      <c r="E97" s="26">
        <f t="shared" si="4"/>
        <v>24519</v>
      </c>
      <c r="I97" s="29"/>
      <c r="J97" s="29"/>
      <c r="K97" s="29"/>
      <c r="L97" s="29"/>
      <c r="M97" s="29"/>
      <c r="N97" s="29"/>
      <c r="O97" s="29"/>
      <c r="P97" s="30"/>
      <c r="Q97" s="30"/>
      <c r="R97" s="30"/>
      <c r="S97" s="31">
        <v>24519</v>
      </c>
      <c r="T97" s="31"/>
      <c r="U97" s="31"/>
      <c r="V97" s="31"/>
      <c r="W97" s="31"/>
      <c r="X97" s="32"/>
      <c r="Y97" s="32"/>
      <c r="Z97" s="32"/>
    </row>
    <row r="98" spans="1:26">
      <c r="A98" s="28"/>
      <c r="B98" s="17">
        <f t="shared" si="5"/>
        <v>46240</v>
      </c>
      <c r="C98" s="26">
        <f>I98+J98+K98+L98+M98+N98+O98+IF(P98="",0,P98*サマリー!$B$9)+IF(Q98="",0,IF(Q98=200,サマリー!$B$10,IF(Q98=100,サマリー!$B$11,0)))+IF(R98="",0,R98*サマリー!$B$12)</f>
        <v>3519</v>
      </c>
      <c r="D98" s="26">
        <f>S98+T98+U98+V98+W98+IF(X98="",0,X98*サマリー!$B$9)+IF(Y98="",0,IF(Y98=200,サマリー!$B$10,IF(Y98=100,サマリー!$B$11,0)))+IF(Z98="",0,Z98*サマリー!$B$12)</f>
        <v>29560</v>
      </c>
      <c r="E98" s="26">
        <f t="shared" si="4"/>
        <v>33079</v>
      </c>
      <c r="I98" s="29"/>
      <c r="J98" s="29">
        <v>3519</v>
      </c>
      <c r="K98" s="29"/>
      <c r="L98" s="29"/>
      <c r="M98" s="29"/>
      <c r="N98" s="29"/>
      <c r="O98" s="29"/>
      <c r="P98" s="30"/>
      <c r="Q98" s="30"/>
      <c r="R98" s="30"/>
      <c r="S98" s="31">
        <v>22319</v>
      </c>
      <c r="T98" s="31"/>
      <c r="U98" s="31"/>
      <c r="V98" s="31"/>
      <c r="W98" s="31"/>
      <c r="X98" s="32"/>
      <c r="Y98" s="32">
        <v>200</v>
      </c>
      <c r="Z98" s="32"/>
    </row>
    <row r="99" spans="1:26">
      <c r="A99" s="28">
        <v>7</v>
      </c>
      <c r="B99" s="17">
        <f t="shared" si="5"/>
        <v>46241</v>
      </c>
      <c r="C99" s="26">
        <f>I99+J99+K99+L99+M99+N99+O99+IF(P99="",0,P99*サマリー!$B$9)+IF(Q99="",0,IF(Q99=200,サマリー!$B$10,IF(Q99=100,サマリー!$B$11,0)))+IF(R99="",0,R99*サマリー!$B$12)</f>
        <v>5855</v>
      </c>
      <c r="D99" s="26">
        <f>S99+T99+U99+V99+W99+IF(X99="",0,X99*サマリー!$B$9)+IF(Y99="",0,IF(Y99=200,サマリー!$B$10,IF(Y99=100,サマリー!$B$11,0)))+IF(Z99="",0,Z99*サマリー!$B$12)</f>
        <v>0</v>
      </c>
      <c r="E99" s="26">
        <f t="shared" si="4"/>
        <v>5855</v>
      </c>
      <c r="I99" s="29"/>
      <c r="J99" s="29">
        <v>5855</v>
      </c>
      <c r="K99" s="29"/>
      <c r="L99" s="29"/>
      <c r="M99" s="29"/>
      <c r="N99" s="29"/>
      <c r="O99" s="29"/>
      <c r="P99" s="30"/>
      <c r="Q99" s="30"/>
      <c r="R99" s="30"/>
      <c r="S99" s="31"/>
      <c r="T99" s="31"/>
      <c r="U99" s="31"/>
      <c r="V99" s="31"/>
      <c r="W99" s="31"/>
      <c r="X99" s="32"/>
      <c r="Y99" s="32"/>
      <c r="Z99" s="32"/>
    </row>
    <row r="100" spans="1:26">
      <c r="A100" s="28"/>
      <c r="B100" s="17">
        <f t="shared" si="5"/>
        <v>46241</v>
      </c>
      <c r="C100" s="26">
        <f>I100+J100+K100+L100+M100+N100+O100+IF(P100="",0,P100*サマリー!$B$9)+IF(Q100="",0,IF(Q100=200,サマリー!$B$10,IF(Q100=100,サマリー!$B$11,0)))+IF(R100="",0,R100*サマリー!$B$12)</f>
        <v>12650</v>
      </c>
      <c r="D100" s="26">
        <f>S100+T100+U100+V100+W100+IF(X100="",0,X100*サマリー!$B$9)+IF(Y100="",0,IF(Y100=200,サマリー!$B$10,IF(Y100=100,サマリー!$B$11,0)))+IF(Z100="",0,Z100*サマリー!$B$12)</f>
        <v>3655</v>
      </c>
      <c r="E100" s="26">
        <f t="shared" si="4"/>
        <v>16305</v>
      </c>
      <c r="I100" s="29"/>
      <c r="J100" s="29"/>
      <c r="K100" s="29"/>
      <c r="L100" s="29"/>
      <c r="M100" s="29">
        <v>12650</v>
      </c>
      <c r="N100" s="29"/>
      <c r="O100" s="29"/>
      <c r="P100" s="30"/>
      <c r="Q100" s="30"/>
      <c r="R100" s="30"/>
      <c r="S100" s="31"/>
      <c r="T100" s="31"/>
      <c r="U100" s="31"/>
      <c r="V100" s="31">
        <v>3655</v>
      </c>
      <c r="W100" s="31"/>
      <c r="X100" s="32"/>
      <c r="Y100" s="32"/>
      <c r="Z100" s="32"/>
    </row>
    <row r="101" spans="1:26">
      <c r="A101" s="28"/>
      <c r="B101" s="17">
        <f t="shared" si="5"/>
        <v>46241</v>
      </c>
      <c r="C101" s="26">
        <f>I101+J101+K101+L101+M101+N101+O101+IF(P101="",0,P101*サマリー!$B$9)+IF(Q101="",0,IF(Q101=200,サマリー!$B$10,IF(Q101=100,サマリー!$B$11,0)))+IF(R101="",0,R101*サマリー!$B$12)</f>
        <v>7241</v>
      </c>
      <c r="D101" s="26">
        <f>S101+T101+U101+V101+W101+IF(X101="",0,X101*サマリー!$B$9)+IF(Y101="",0,IF(Y101=200,サマリー!$B$10,IF(Y101=100,サマリー!$B$11,0)))+IF(Z101="",0,Z101*サマリー!$B$12)</f>
        <v>0</v>
      </c>
      <c r="E101" s="26">
        <f t="shared" si="4"/>
        <v>7241</v>
      </c>
      <c r="I101" s="29"/>
      <c r="J101" s="29"/>
      <c r="K101" s="29"/>
      <c r="L101" s="29"/>
      <c r="M101" s="29"/>
      <c r="N101" s="29"/>
      <c r="O101" s="29"/>
      <c r="P101" s="30"/>
      <c r="Q101" s="30">
        <v>200</v>
      </c>
      <c r="R101" s="30"/>
      <c r="S101" s="31"/>
      <c r="T101" s="31"/>
      <c r="U101" s="31"/>
      <c r="V101" s="31"/>
      <c r="W101" s="31"/>
      <c r="X101" s="32"/>
      <c r="Y101" s="32"/>
      <c r="Z101" s="32"/>
    </row>
    <row r="102" spans="1:26">
      <c r="A102" s="28">
        <v>8</v>
      </c>
      <c r="B102" s="17">
        <f t="shared" si="5"/>
        <v>46242</v>
      </c>
      <c r="C102" s="26">
        <f>I102+J102+K102+L102+M102+N102+O102+IF(P102="",0,P102*サマリー!$B$9)+IF(Q102="",0,IF(Q102=200,サマリー!$B$10,IF(Q102=100,サマリー!$B$11,0)))+IF(R102="",0,R102*サマリー!$B$12)</f>
        <v>0</v>
      </c>
      <c r="D102" s="26">
        <f>S102+T102+U102+V102+W102+IF(X102="",0,X102*サマリー!$B$9)+IF(Y102="",0,IF(Y102=200,サマリー!$B$10,IF(Y102=100,サマリー!$B$11,0)))+IF(Z102="",0,Z102*サマリー!$B$12)</f>
        <v>31760</v>
      </c>
      <c r="E102" s="26">
        <f t="shared" ref="E102:E133" si="6">C102+D102</f>
        <v>31760</v>
      </c>
      <c r="I102" s="29"/>
      <c r="J102" s="29"/>
      <c r="K102" s="29"/>
      <c r="L102" s="29"/>
      <c r="M102" s="29"/>
      <c r="N102" s="29"/>
      <c r="O102" s="29"/>
      <c r="P102" s="30"/>
      <c r="Q102" s="30"/>
      <c r="R102" s="30"/>
      <c r="S102" s="31">
        <v>24519</v>
      </c>
      <c r="T102" s="31"/>
      <c r="U102" s="31"/>
      <c r="V102" s="31"/>
      <c r="W102" s="31"/>
      <c r="X102" s="32"/>
      <c r="Y102" s="32">
        <v>200</v>
      </c>
      <c r="Z102" s="32"/>
    </row>
    <row r="103" spans="1:26">
      <c r="A103" s="28"/>
      <c r="B103" s="17">
        <f t="shared" ref="B103:B134" si="7">IF(A103="",B102,IF(A103&lt;DAY(B102),DATE(YEAR(B102),MONTH(B102)+1,A103),DATE(YEAR(B102),MONTH(B102),A103)))</f>
        <v>46242</v>
      </c>
      <c r="C103" s="26">
        <f>I103+J103+K103+L103+M103+N103+O103+IF(P103="",0,P103*サマリー!$B$9)+IF(Q103="",0,IF(Q103=200,サマリー!$B$10,IF(Q103=100,サマリー!$B$11,0)))+IF(R103="",0,R103*サマリー!$B$12)</f>
        <v>1655</v>
      </c>
      <c r="D103" s="26">
        <f>S103+T103+U103+V103+W103+IF(X103="",0,X103*サマリー!$B$9)+IF(Y103="",0,IF(Y103=200,サマリー!$B$10,IF(Y103=100,サマリー!$B$11,0)))+IF(Z103="",0,Z103*サマリー!$B$12)</f>
        <v>0</v>
      </c>
      <c r="E103" s="26">
        <f t="shared" si="6"/>
        <v>1655</v>
      </c>
      <c r="I103" s="29"/>
      <c r="J103" s="29">
        <v>1655</v>
      </c>
      <c r="K103" s="29"/>
      <c r="L103" s="29"/>
      <c r="M103" s="29"/>
      <c r="N103" s="29"/>
      <c r="O103" s="29"/>
      <c r="P103" s="30"/>
      <c r="Q103" s="30"/>
      <c r="R103" s="30"/>
      <c r="S103" s="31"/>
      <c r="T103" s="31"/>
      <c r="U103" s="31"/>
      <c r="V103" s="31"/>
      <c r="W103" s="31"/>
      <c r="X103" s="32"/>
      <c r="Y103" s="32"/>
      <c r="Z103" s="32"/>
    </row>
    <row r="104" spans="1:26">
      <c r="A104" s="28"/>
      <c r="B104" s="17">
        <f t="shared" si="7"/>
        <v>46242</v>
      </c>
      <c r="C104" s="26">
        <f>I104+J104+K104+L104+M104+N104+O104+IF(P104="",0,P104*サマリー!$B$9)+IF(Q104="",0,IF(Q104=200,サマリー!$B$10,IF(Q104=100,サマリー!$B$11,0)))+IF(R104="",0,R104*サマリー!$B$12)</f>
        <v>555</v>
      </c>
      <c r="D104" s="26">
        <f>S104+T104+U104+V104+W104+IF(X104="",0,X104*サマリー!$B$9)+IF(Y104="",0,IF(Y104=200,サマリー!$B$10,IF(Y104=100,サマリー!$B$11,0)))+IF(Z104="",0,Z104*サマリー!$B$12)</f>
        <v>0</v>
      </c>
      <c r="E104" s="26">
        <f t="shared" si="6"/>
        <v>555</v>
      </c>
      <c r="I104" s="29"/>
      <c r="J104" s="29">
        <v>555</v>
      </c>
      <c r="K104" s="29"/>
      <c r="L104" s="29"/>
      <c r="M104" s="29"/>
      <c r="N104" s="29"/>
      <c r="O104" s="29"/>
      <c r="P104" s="30"/>
      <c r="Q104" s="30"/>
      <c r="R104" s="30"/>
      <c r="S104" s="31"/>
      <c r="T104" s="31"/>
      <c r="U104" s="31"/>
      <c r="V104" s="31"/>
      <c r="W104" s="31"/>
      <c r="X104" s="32"/>
      <c r="Y104" s="32"/>
      <c r="Z104" s="32"/>
    </row>
    <row r="105" spans="1:26">
      <c r="A105" s="28">
        <v>9</v>
      </c>
      <c r="B105" s="17">
        <f t="shared" si="7"/>
        <v>46243</v>
      </c>
      <c r="C105" s="26">
        <f>I105+J105+K105+L105+M105+N105+O105+IF(P105="",0,P105*サマリー!$B$9)+IF(Q105="",0,IF(Q105=200,サマリー!$B$10,IF(Q105=100,サマリー!$B$11,0)))+IF(R105="",0,R105*サマリー!$B$12)</f>
        <v>4838</v>
      </c>
      <c r="D105" s="26">
        <f>S105+T105+U105+V105+W105+IF(X105="",0,X105*サマリー!$B$9)+IF(Y105="",0,IF(Y105=200,サマリー!$B$10,IF(Y105=100,サマリー!$B$11,0)))+IF(Z105="",0,Z105*サマリー!$B$12)</f>
        <v>0</v>
      </c>
      <c r="E105" s="26">
        <f t="shared" si="6"/>
        <v>4838</v>
      </c>
      <c r="I105" s="29"/>
      <c r="J105" s="29">
        <v>4838</v>
      </c>
      <c r="K105" s="29"/>
      <c r="L105" s="29"/>
      <c r="M105" s="29"/>
      <c r="N105" s="29"/>
      <c r="O105" s="29"/>
      <c r="P105" s="30"/>
      <c r="Q105" s="30"/>
      <c r="R105" s="30"/>
      <c r="S105" s="31"/>
      <c r="T105" s="31"/>
      <c r="U105" s="31"/>
      <c r="V105" s="31"/>
      <c r="W105" s="31"/>
      <c r="X105" s="32"/>
      <c r="Y105" s="32"/>
      <c r="Z105" s="32"/>
    </row>
    <row r="106" spans="1:26">
      <c r="A106" s="28"/>
      <c r="B106" s="17">
        <f t="shared" si="7"/>
        <v>46243</v>
      </c>
      <c r="C106" s="26">
        <f>I106+J106+K106+L106+M106+N106+O106+IF(P106="",0,P106*サマリー!$B$9)+IF(Q106="",0,IF(Q106=200,サマリー!$B$10,IF(Q106=100,サマリー!$B$11,0)))+IF(R106="",0,R106*サマリー!$B$12)</f>
        <v>7241</v>
      </c>
      <c r="D106" s="26">
        <f>S106+T106+U106+V106+W106+IF(X106="",0,X106*サマリー!$B$9)+IF(Y106="",0,IF(Y106=200,サマリー!$B$10,IF(Y106=100,サマリー!$B$11,0)))+IF(Z106="",0,Z106*サマリー!$B$12)</f>
        <v>0</v>
      </c>
      <c r="E106" s="26">
        <f t="shared" si="6"/>
        <v>7241</v>
      </c>
      <c r="I106" s="29"/>
      <c r="J106" s="29"/>
      <c r="K106" s="29"/>
      <c r="L106" s="29"/>
      <c r="M106" s="29"/>
      <c r="N106" s="29"/>
      <c r="O106" s="29"/>
      <c r="P106" s="30"/>
      <c r="Q106" s="30">
        <v>200</v>
      </c>
      <c r="R106" s="30"/>
      <c r="S106" s="31"/>
      <c r="T106" s="31"/>
      <c r="U106" s="31"/>
      <c r="V106" s="31"/>
      <c r="W106" s="31"/>
      <c r="X106" s="32"/>
      <c r="Y106" s="32"/>
      <c r="Z106" s="32"/>
    </row>
    <row r="107" spans="1:26">
      <c r="A107" s="28"/>
      <c r="B107" s="17">
        <f t="shared" si="7"/>
        <v>46243</v>
      </c>
      <c r="C107" s="26">
        <f>I107+J107+K107+L107+M107+N107+O107+IF(P107="",0,P107*サマリー!$B$9)+IF(Q107="",0,IF(Q107=200,サマリー!$B$10,IF(Q107=100,サマリー!$B$11,0)))+IF(R107="",0,R107*サマリー!$B$12)</f>
        <v>50079</v>
      </c>
      <c r="D107" s="26">
        <f>S107+T107+U107+V107+W107+IF(X107="",0,X107*サマリー!$B$9)+IF(Y107="",0,IF(Y107=200,サマリー!$B$10,IF(Y107=100,サマリー!$B$11,0)))+IF(Z107="",0,Z107*サマリー!$B$12)</f>
        <v>0</v>
      </c>
      <c r="E107" s="26">
        <f t="shared" si="6"/>
        <v>50079</v>
      </c>
      <c r="I107" s="29">
        <v>42838</v>
      </c>
      <c r="J107" s="29"/>
      <c r="K107" s="29"/>
      <c r="L107" s="29"/>
      <c r="M107" s="29"/>
      <c r="N107" s="29"/>
      <c r="O107" s="29"/>
      <c r="P107" s="30"/>
      <c r="Q107" s="30">
        <v>200</v>
      </c>
      <c r="R107" s="30"/>
      <c r="S107" s="31"/>
      <c r="T107" s="31"/>
      <c r="U107" s="31"/>
      <c r="V107" s="31"/>
      <c r="W107" s="31"/>
      <c r="X107" s="32"/>
      <c r="Y107" s="32"/>
      <c r="Z107" s="32"/>
    </row>
    <row r="108" spans="1:26">
      <c r="A108" s="28"/>
      <c r="B108" s="17">
        <f t="shared" si="7"/>
        <v>46243</v>
      </c>
      <c r="C108" s="26">
        <f>I108+J108+K108+L108+M108+N108+O108+IF(P108="",0,P108*サマリー!$B$9)+IF(Q108="",0,IF(Q108=200,サマリー!$B$10,IF(Q108=100,サマリー!$B$11,0)))+IF(R108="",0,R108*サマリー!$B$12)</f>
        <v>14500</v>
      </c>
      <c r="D108" s="26">
        <f>S108+T108+U108+V108+W108+IF(X108="",0,X108*サマリー!$B$9)+IF(Y108="",0,IF(Y108=200,サマリー!$B$10,IF(Y108=100,サマリー!$B$11,0)))+IF(Z108="",0,Z108*サマリー!$B$12)</f>
        <v>0</v>
      </c>
      <c r="E108" s="26">
        <f t="shared" si="6"/>
        <v>14500</v>
      </c>
      <c r="I108" s="29"/>
      <c r="J108" s="29">
        <v>14500</v>
      </c>
      <c r="K108" s="29"/>
      <c r="L108" s="29"/>
      <c r="M108" s="29"/>
      <c r="N108" s="29"/>
      <c r="O108" s="29"/>
      <c r="P108" s="30"/>
      <c r="Q108" s="30"/>
      <c r="R108" s="30"/>
      <c r="S108" s="31"/>
      <c r="T108" s="31"/>
      <c r="U108" s="31"/>
      <c r="V108" s="31"/>
      <c r="W108" s="31"/>
      <c r="X108" s="32"/>
      <c r="Y108" s="32"/>
      <c r="Z108" s="32"/>
    </row>
    <row r="109" spans="1:26">
      <c r="A109" s="28">
        <v>10</v>
      </c>
      <c r="B109" s="17">
        <f t="shared" si="7"/>
        <v>46244</v>
      </c>
      <c r="C109" s="26">
        <f>I109+J109+K109+L109+M109+N109+O109+IF(P109="",0,P109*サマリー!$B$9)+IF(Q109="",0,IF(Q109=200,サマリー!$B$10,IF(Q109=100,サマリー!$B$11,0)))+IF(R109="",0,R109*サマリー!$B$12)</f>
        <v>0</v>
      </c>
      <c r="D109" s="26">
        <f>S109+T109+U109+V109+W109+IF(X109="",0,X109*サマリー!$B$9)+IF(Y109="",0,IF(Y109=200,サマリー!$B$10,IF(Y109=100,サマリー!$B$11,0)))+IF(Z109="",0,Z109*サマリー!$B$12)</f>
        <v>40679</v>
      </c>
      <c r="E109" s="26">
        <f t="shared" si="6"/>
        <v>40679</v>
      </c>
      <c r="I109" s="29"/>
      <c r="J109" s="29"/>
      <c r="K109" s="29"/>
      <c r="L109" s="29"/>
      <c r="M109" s="29"/>
      <c r="N109" s="29"/>
      <c r="O109" s="29"/>
      <c r="P109" s="30"/>
      <c r="Q109" s="30"/>
      <c r="R109" s="30"/>
      <c r="S109" s="31">
        <v>33438</v>
      </c>
      <c r="T109" s="31"/>
      <c r="U109" s="31"/>
      <c r="V109" s="31"/>
      <c r="W109" s="31"/>
      <c r="X109" s="32"/>
      <c r="Y109" s="32">
        <v>200</v>
      </c>
      <c r="Z109" s="32"/>
    </row>
    <row r="110" spans="1:26">
      <c r="A110" s="28"/>
      <c r="B110" s="17">
        <f t="shared" si="7"/>
        <v>46244</v>
      </c>
      <c r="C110" s="26">
        <f>I110+J110+K110+L110+M110+N110+O110+IF(P110="",0,P110*サマリー!$B$9)+IF(Q110="",0,IF(Q110=200,サマリー!$B$10,IF(Q110=100,サマリー!$B$11,0)))+IF(R110="",0,R110*サマリー!$B$12)</f>
        <v>0</v>
      </c>
      <c r="D110" s="26">
        <f>S110+T110+U110+V110+W110+IF(X110="",0,X110*サマリー!$B$9)+IF(Y110="",0,IF(Y110=200,サマリー!$B$10,IF(Y110=100,サマリー!$B$11,0)))+IF(Z110="",0,Z110*サマリー!$B$12)</f>
        <v>7700</v>
      </c>
      <c r="E110" s="26">
        <f t="shared" si="6"/>
        <v>7700</v>
      </c>
      <c r="I110" s="29"/>
      <c r="J110" s="29"/>
      <c r="K110" s="29"/>
      <c r="L110" s="29"/>
      <c r="M110" s="29"/>
      <c r="N110" s="29"/>
      <c r="O110" s="29"/>
      <c r="P110" s="30"/>
      <c r="Q110" s="30"/>
      <c r="R110" s="30"/>
      <c r="S110" s="31"/>
      <c r="T110" s="31">
        <v>7700</v>
      </c>
      <c r="U110" s="31"/>
      <c r="V110" s="31"/>
      <c r="W110" s="31"/>
      <c r="X110" s="32"/>
      <c r="Y110" s="32"/>
      <c r="Z110" s="32"/>
    </row>
    <row r="111" spans="1:26">
      <c r="A111" s="28">
        <v>11</v>
      </c>
      <c r="B111" s="17">
        <f t="shared" si="7"/>
        <v>46245</v>
      </c>
      <c r="C111" s="26">
        <f>I111+J111+K111+L111+M111+N111+O111+IF(P111="",0,P111*サマリー!$B$9)+IF(Q111="",0,IF(Q111=200,サマリー!$B$10,IF(Q111=100,サマリー!$B$11,0)))+IF(R111="",0,R111*サマリー!$B$12)</f>
        <v>6400</v>
      </c>
      <c r="D111" s="26">
        <f>S111+T111+U111+V111+W111+IF(X111="",0,X111*サマリー!$B$9)+IF(Y111="",0,IF(Y111=200,サマリー!$B$10,IF(Y111=100,サマリー!$B$11,0)))+IF(Z111="",0,Z111*サマリー!$B$12)</f>
        <v>0</v>
      </c>
      <c r="E111" s="26">
        <f t="shared" si="6"/>
        <v>6400</v>
      </c>
      <c r="I111" s="29"/>
      <c r="J111" s="29">
        <v>6400</v>
      </c>
      <c r="K111" s="29"/>
      <c r="L111" s="29"/>
      <c r="M111" s="29"/>
      <c r="N111" s="29"/>
      <c r="O111" s="29"/>
      <c r="P111" s="30"/>
      <c r="Q111" s="30"/>
      <c r="R111" s="30"/>
      <c r="S111" s="31"/>
      <c r="T111" s="31"/>
      <c r="U111" s="31"/>
      <c r="V111" s="31"/>
      <c r="W111" s="31"/>
      <c r="X111" s="32"/>
      <c r="Y111" s="32"/>
      <c r="Z111" s="32"/>
    </row>
    <row r="112" spans="1:26">
      <c r="A112" s="28"/>
      <c r="B112" s="17">
        <f t="shared" si="7"/>
        <v>46245</v>
      </c>
      <c r="C112" s="26">
        <f>I112+J112+K112+L112+M112+N112+O112+IF(P112="",0,P112*サマリー!$B$9)+IF(Q112="",0,IF(Q112=200,サマリー!$B$10,IF(Q112=100,サマリー!$B$11,0)))+IF(R112="",0,R112*サマリー!$B$12)</f>
        <v>35550</v>
      </c>
      <c r="D112" s="26">
        <f>S112+T112+U112+V112+W112+IF(X112="",0,X112*サマリー!$B$9)+IF(Y112="",0,IF(Y112=200,サマリー!$B$10,IF(Y112=100,サマリー!$B$11,0)))+IF(Z112="",0,Z112*サマリー!$B$12)</f>
        <v>0</v>
      </c>
      <c r="E112" s="26">
        <f t="shared" si="6"/>
        <v>35550</v>
      </c>
      <c r="I112" s="29"/>
      <c r="J112" s="29">
        <v>35550</v>
      </c>
      <c r="K112" s="29"/>
      <c r="L112" s="29"/>
      <c r="M112" s="29"/>
      <c r="N112" s="29"/>
      <c r="O112" s="29"/>
      <c r="P112" s="30"/>
      <c r="Q112" s="30"/>
      <c r="R112" s="30"/>
      <c r="S112" s="31"/>
      <c r="T112" s="31"/>
      <c r="U112" s="31"/>
      <c r="V112" s="31"/>
      <c r="W112" s="31"/>
      <c r="X112" s="32"/>
      <c r="Y112" s="32"/>
      <c r="Z112" s="32"/>
    </row>
    <row r="113" spans="1:26">
      <c r="A113" s="28">
        <v>12</v>
      </c>
      <c r="B113" s="17">
        <f t="shared" si="7"/>
        <v>46246</v>
      </c>
      <c r="C113" s="26">
        <f>I113+J113+K113+L113+M113+N113+O113+IF(P113="",0,P113*サマリー!$B$9)+IF(Q113="",0,IF(Q113=200,サマリー!$B$10,IF(Q113=100,サマリー!$B$11,0)))+IF(R113="",0,R113*サマリー!$B$12)</f>
        <v>35279</v>
      </c>
      <c r="D113" s="26">
        <f>S113+T113+U113+V113+W113+IF(X113="",0,X113*サマリー!$B$9)+IF(Y113="",0,IF(Y113=200,サマリー!$B$10,IF(Y113=100,サマリー!$B$11,0)))+IF(Z113="",0,Z113*サマリー!$B$12)</f>
        <v>0</v>
      </c>
      <c r="E113" s="26">
        <f t="shared" si="6"/>
        <v>35279</v>
      </c>
      <c r="I113" s="29">
        <v>28038</v>
      </c>
      <c r="J113" s="29"/>
      <c r="K113" s="29"/>
      <c r="L113" s="29"/>
      <c r="M113" s="29"/>
      <c r="N113" s="29"/>
      <c r="O113" s="29"/>
      <c r="P113" s="30"/>
      <c r="Q113" s="30">
        <v>200</v>
      </c>
      <c r="R113" s="30"/>
      <c r="S113" s="31"/>
      <c r="T113" s="31"/>
      <c r="U113" s="31"/>
      <c r="V113" s="31"/>
      <c r="W113" s="31"/>
      <c r="X113" s="32"/>
      <c r="Y113" s="32"/>
      <c r="Z113" s="32"/>
    </row>
    <row r="114" spans="1:26">
      <c r="A114" s="28"/>
      <c r="B114" s="17">
        <f t="shared" si="7"/>
        <v>46246</v>
      </c>
      <c r="C114" s="26">
        <f>I114+J114+K114+L114+M114+N114+O114+IF(P114="",0,P114*サマリー!$B$9)+IF(Q114="",0,IF(Q114=200,サマリー!$B$10,IF(Q114=100,サマリー!$B$11,0)))+IF(R114="",0,R114*サマリー!$B$12)</f>
        <v>2873</v>
      </c>
      <c r="D114" s="26">
        <f>S114+T114+U114+V114+W114+IF(X114="",0,X114*サマリー!$B$9)+IF(Y114="",0,IF(Y114=200,サマリー!$B$10,IF(Y114=100,サマリー!$B$11,0)))+IF(Z114="",0,Z114*サマリー!$B$12)</f>
        <v>0</v>
      </c>
      <c r="E114" s="26">
        <f t="shared" si="6"/>
        <v>2873</v>
      </c>
      <c r="I114" s="29"/>
      <c r="J114" s="29">
        <v>2873</v>
      </c>
      <c r="K114" s="29"/>
      <c r="L114" s="29"/>
      <c r="M114" s="29"/>
      <c r="N114" s="29"/>
      <c r="O114" s="29"/>
      <c r="P114" s="30"/>
      <c r="Q114" s="30"/>
      <c r="R114" s="30"/>
      <c r="S114" s="31"/>
      <c r="T114" s="31"/>
      <c r="U114" s="31"/>
      <c r="V114" s="31"/>
      <c r="W114" s="31"/>
      <c r="X114" s="32"/>
      <c r="Y114" s="32"/>
      <c r="Z114" s="32"/>
    </row>
    <row r="115" spans="1:26">
      <c r="A115" s="28"/>
      <c r="B115" s="17">
        <f t="shared" si="7"/>
        <v>46246</v>
      </c>
      <c r="C115" s="26">
        <f>I115+J115+K115+L115+M115+N115+O115+IF(P115="",0,P115*サマリー!$B$9)+IF(Q115="",0,IF(Q115=200,サマリー!$B$10,IF(Q115=100,サマリー!$B$11,0)))+IF(R115="",0,R115*サマリー!$B$12)</f>
        <v>60796</v>
      </c>
      <c r="D115" s="26">
        <f>S115+T115+U115+V115+W115+IF(X115="",0,X115*サマリー!$B$9)+IF(Y115="",0,IF(Y115=200,サマリー!$B$10,IF(Y115=100,サマリー!$B$11,0)))+IF(Z115="",0,Z115*サマリー!$B$12)</f>
        <v>0</v>
      </c>
      <c r="E115" s="26">
        <f t="shared" si="6"/>
        <v>60796</v>
      </c>
      <c r="I115" s="29">
        <v>53555</v>
      </c>
      <c r="J115" s="29"/>
      <c r="K115" s="29"/>
      <c r="L115" s="29"/>
      <c r="M115" s="29"/>
      <c r="N115" s="29"/>
      <c r="O115" s="29"/>
      <c r="P115" s="30"/>
      <c r="Q115" s="30">
        <v>200</v>
      </c>
      <c r="R115" s="30"/>
      <c r="S115" s="31"/>
      <c r="T115" s="31"/>
      <c r="U115" s="31"/>
      <c r="V115" s="31"/>
      <c r="W115" s="31"/>
      <c r="X115" s="32"/>
      <c r="Y115" s="32"/>
      <c r="Z115" s="32"/>
    </row>
    <row r="116" spans="1:26">
      <c r="A116" s="28">
        <v>13</v>
      </c>
      <c r="B116" s="17">
        <f t="shared" si="7"/>
        <v>46247</v>
      </c>
      <c r="C116" s="26">
        <f>I116+J116+K116+L116+M116+N116+O116+IF(P116="",0,P116*サマリー!$B$9)+IF(Q116="",0,IF(Q116=200,サマリー!$B$10,IF(Q116=100,サマリー!$B$11,0)))+IF(R116="",0,R116*サマリー!$B$12)</f>
        <v>14500</v>
      </c>
      <c r="D116" s="26">
        <f>S116+T116+U116+V116+W116+IF(X116="",0,X116*サマリー!$B$9)+IF(Y116="",0,IF(Y116=200,サマリー!$B$10,IF(Y116=100,サマリー!$B$11,0)))+IF(Z116="",0,Z116*サマリー!$B$12)</f>
        <v>6400</v>
      </c>
      <c r="E116" s="26">
        <f t="shared" si="6"/>
        <v>20900</v>
      </c>
      <c r="I116" s="29"/>
      <c r="J116" s="29">
        <v>14500</v>
      </c>
      <c r="K116" s="29"/>
      <c r="L116" s="29"/>
      <c r="M116" s="29"/>
      <c r="N116" s="29"/>
      <c r="O116" s="29"/>
      <c r="P116" s="30"/>
      <c r="Q116" s="30"/>
      <c r="R116" s="30"/>
      <c r="S116" s="31"/>
      <c r="T116" s="31">
        <v>6400</v>
      </c>
      <c r="U116" s="31"/>
      <c r="V116" s="31"/>
      <c r="W116" s="31"/>
      <c r="X116" s="32"/>
      <c r="Y116" s="32"/>
      <c r="Z116" s="32"/>
    </row>
    <row r="117" spans="1:26">
      <c r="A117" s="28">
        <v>14</v>
      </c>
      <c r="B117" s="17">
        <f t="shared" si="7"/>
        <v>46248</v>
      </c>
      <c r="C117" s="26">
        <f>I117+J117+K117+L117+M117+N117+O117+IF(P117="",0,P117*サマリー!$B$9)+IF(Q117="",0,IF(Q117=200,サマリー!$B$10,IF(Q117=100,サマリー!$B$11,0)))+IF(R117="",0,R117*サマリー!$B$12)</f>
        <v>35550</v>
      </c>
      <c r="D117" s="26">
        <f>S117+T117+U117+V117+W117+IF(X117="",0,X117*サマリー!$B$9)+IF(Y117="",0,IF(Y117=200,サマリー!$B$10,IF(Y117=100,サマリー!$B$11,0)))+IF(Z117="",0,Z117*サマリー!$B$12)</f>
        <v>47395</v>
      </c>
      <c r="E117" s="26">
        <f t="shared" si="6"/>
        <v>82945</v>
      </c>
      <c r="I117" s="29"/>
      <c r="J117" s="29"/>
      <c r="K117" s="29"/>
      <c r="L117" s="29"/>
      <c r="M117" s="29"/>
      <c r="N117" s="29">
        <v>35550</v>
      </c>
      <c r="O117" s="29"/>
      <c r="P117" s="30"/>
      <c r="Q117" s="30"/>
      <c r="R117" s="30"/>
      <c r="S117" s="31">
        <v>47395</v>
      </c>
      <c r="T117" s="31"/>
      <c r="U117" s="31"/>
      <c r="V117" s="31"/>
      <c r="W117" s="31"/>
      <c r="X117" s="32"/>
      <c r="Y117" s="32"/>
      <c r="Z117" s="32"/>
    </row>
    <row r="118" spans="1:26">
      <c r="A118" s="28"/>
      <c r="B118" s="17">
        <f t="shared" si="7"/>
        <v>46248</v>
      </c>
      <c r="C118" s="26">
        <f>I118+J118+K118+L118+M118+N118+O118+IF(P118="",0,P118*サマリー!$B$9)+IF(Q118="",0,IF(Q118=200,サマリー!$B$10,IF(Q118=100,サマリー!$B$11,0)))+IF(R118="",0,R118*サマリー!$B$12)</f>
        <v>35646</v>
      </c>
      <c r="D118" s="26">
        <f>S118+T118+U118+V118+W118+IF(X118="",0,X118*サマリー!$B$9)+IF(Y118="",0,IF(Y118=200,サマリー!$B$10,IF(Y118=100,サマリー!$B$11,0)))+IF(Z118="",0,Z118*サマリー!$B$12)</f>
        <v>27855</v>
      </c>
      <c r="E118" s="26">
        <f t="shared" si="6"/>
        <v>63501</v>
      </c>
      <c r="I118" s="29"/>
      <c r="J118" s="29">
        <v>28405</v>
      </c>
      <c r="K118" s="29"/>
      <c r="L118" s="29"/>
      <c r="M118" s="29"/>
      <c r="N118" s="29"/>
      <c r="O118" s="29"/>
      <c r="P118" s="30"/>
      <c r="Q118" s="30">
        <v>200</v>
      </c>
      <c r="R118" s="30"/>
      <c r="S118" s="31"/>
      <c r="T118" s="31"/>
      <c r="U118" s="31"/>
      <c r="V118" s="31">
        <v>27855</v>
      </c>
      <c r="W118" s="31"/>
      <c r="X118" s="32"/>
      <c r="Y118" s="32"/>
      <c r="Z118" s="32"/>
    </row>
    <row r="119" spans="1:26">
      <c r="A119" s="28"/>
      <c r="B119" s="17">
        <f t="shared" si="7"/>
        <v>46248</v>
      </c>
      <c r="C119" s="26">
        <f>I119+J119+K119+L119+M119+N119+O119+IF(P119="",0,P119*サマリー!$B$9)+IF(Q119="",0,IF(Q119=200,サマリー!$B$10,IF(Q119=100,サマリー!$B$11,0)))+IF(R119="",0,R119*サマリー!$B$12)</f>
        <v>10431</v>
      </c>
      <c r="D119" s="26">
        <f>S119+T119+U119+V119+W119+IF(X119="",0,X119*サマリー!$B$9)+IF(Y119="",0,IF(Y119=200,サマリー!$B$10,IF(Y119=100,サマリー!$B$11,0)))+IF(Z119="",0,Z119*サマリー!$B$12)</f>
        <v>47395</v>
      </c>
      <c r="E119" s="26">
        <f t="shared" si="6"/>
        <v>57826</v>
      </c>
      <c r="I119" s="29"/>
      <c r="J119" s="29"/>
      <c r="K119" s="29">
        <v>10431</v>
      </c>
      <c r="L119" s="29"/>
      <c r="M119" s="29"/>
      <c r="N119" s="29"/>
      <c r="O119" s="29"/>
      <c r="P119" s="30"/>
      <c r="Q119" s="30"/>
      <c r="R119" s="30"/>
      <c r="S119" s="31"/>
      <c r="T119" s="31"/>
      <c r="U119" s="31"/>
      <c r="V119" s="31">
        <v>47395</v>
      </c>
      <c r="W119" s="31"/>
      <c r="X119" s="32"/>
      <c r="Y119" s="32"/>
      <c r="Z119" s="32"/>
    </row>
    <row r="120" spans="1:26">
      <c r="A120" s="28"/>
      <c r="B120" s="17">
        <f t="shared" si="7"/>
        <v>46248</v>
      </c>
      <c r="C120" s="26">
        <f>I120+J120+K120+L120+M120+N120+O120+IF(P120="",0,P120*サマリー!$B$9)+IF(Q120="",0,IF(Q120=200,サマリー!$B$10,IF(Q120=100,サマリー!$B$11,0)))+IF(R120="",0,R120*サマリー!$B$12)</f>
        <v>2200</v>
      </c>
      <c r="D120" s="26">
        <f>S120+T120+U120+V120+W120+IF(X120="",0,X120*サマリー!$B$9)+IF(Y120="",0,IF(Y120=200,サマリー!$B$10,IF(Y120=100,サマリー!$B$11,0)))+IF(Z120="",0,Z120*サマリー!$B$12)</f>
        <v>0</v>
      </c>
      <c r="E120" s="26">
        <f t="shared" si="6"/>
        <v>2200</v>
      </c>
      <c r="I120" s="29"/>
      <c r="J120" s="29">
        <v>2200</v>
      </c>
      <c r="K120" s="29"/>
      <c r="L120" s="29"/>
      <c r="M120" s="29"/>
      <c r="N120" s="29"/>
      <c r="O120" s="29"/>
      <c r="P120" s="30"/>
      <c r="Q120" s="30"/>
      <c r="R120" s="30"/>
      <c r="S120" s="31"/>
      <c r="T120" s="31"/>
      <c r="U120" s="31"/>
      <c r="V120" s="31"/>
      <c r="W120" s="31"/>
      <c r="X120" s="32"/>
      <c r="Y120" s="32"/>
      <c r="Z120" s="32"/>
    </row>
    <row r="121" spans="1:26">
      <c r="A121" s="28"/>
      <c r="B121" s="17">
        <f t="shared" si="7"/>
        <v>46248</v>
      </c>
      <c r="C121" s="26">
        <f>I121+J121+K121+L121+M121+N121+O121+IF(P121="",0,P121*サマリー!$B$9)+IF(Q121="",0,IF(Q121=200,サマリー!$B$10,IF(Q121=100,サマリー!$B$11,0)))+IF(R121="",0,R121*サマリー!$B$12)</f>
        <v>21250</v>
      </c>
      <c r="D121" s="26">
        <f>S121+T121+U121+V121+W121+IF(X121="",0,X121*サマリー!$B$9)+IF(Y121="",0,IF(Y121=200,サマリー!$B$10,IF(Y121=100,サマリー!$B$11,0)))+IF(Z121="",0,Z121*サマリー!$B$12)</f>
        <v>0</v>
      </c>
      <c r="E121" s="26">
        <f t="shared" si="6"/>
        <v>21250</v>
      </c>
      <c r="I121" s="29"/>
      <c r="J121" s="29">
        <v>21250</v>
      </c>
      <c r="K121" s="29"/>
      <c r="L121" s="29"/>
      <c r="M121" s="29"/>
      <c r="N121" s="29"/>
      <c r="O121" s="29"/>
      <c r="P121" s="30"/>
      <c r="Q121" s="30"/>
      <c r="R121" s="30"/>
      <c r="S121" s="31"/>
      <c r="T121" s="31"/>
      <c r="U121" s="31"/>
      <c r="V121" s="31"/>
      <c r="W121" s="31"/>
      <c r="X121" s="32"/>
      <c r="Y121" s="32"/>
      <c r="Z121" s="32"/>
    </row>
    <row r="122" spans="1:26">
      <c r="A122" s="28">
        <v>15</v>
      </c>
      <c r="B122" s="17">
        <f t="shared" si="7"/>
        <v>46249</v>
      </c>
      <c r="C122" s="26">
        <f>I122+J122+K122+L122+M122+N122+O122+IF(P122="",0,P122*サマリー!$B$9)+IF(Q122="",0,IF(Q122=200,サマリー!$B$10,IF(Q122=100,サマリー!$B$11,0)))+IF(R122="",0,R122*サマリー!$B$12)</f>
        <v>12845</v>
      </c>
      <c r="D122" s="26">
        <f>S122+T122+U122+V122+W122+IF(X122="",0,X122*サマリー!$B$9)+IF(Y122="",0,IF(Y122=200,サマリー!$B$10,IF(Y122=100,サマリー!$B$11,0)))+IF(Z122="",0,Z122*サマリー!$B$12)</f>
        <v>0</v>
      </c>
      <c r="E122" s="26">
        <f t="shared" si="6"/>
        <v>12845</v>
      </c>
      <c r="I122" s="29"/>
      <c r="J122" s="29"/>
      <c r="K122" s="29">
        <v>12845</v>
      </c>
      <c r="L122" s="29"/>
      <c r="M122" s="29"/>
      <c r="N122" s="29"/>
      <c r="O122" s="29"/>
      <c r="P122" s="30"/>
      <c r="Q122" s="30"/>
      <c r="R122" s="30"/>
      <c r="S122" s="31"/>
      <c r="T122" s="31"/>
      <c r="U122" s="31"/>
      <c r="V122" s="31"/>
      <c r="W122" s="31"/>
      <c r="X122" s="32"/>
      <c r="Y122" s="32"/>
      <c r="Z122" s="32"/>
    </row>
    <row r="123" spans="1:26">
      <c r="A123" s="28">
        <v>16</v>
      </c>
      <c r="B123" s="17">
        <f t="shared" si="7"/>
        <v>46250</v>
      </c>
      <c r="C123" s="26">
        <f>I123+J123+K123+L123+M123+N123+O123+IF(P123="",0,P123*サマリー!$B$9)+IF(Q123="",0,IF(Q123=200,サマリー!$B$10,IF(Q123=100,サマリー!$B$11,0)))+IF(R123="",0,R123*サマリー!$B$12)</f>
        <v>0</v>
      </c>
      <c r="D123" s="26">
        <f>S123+T123+U123+V123+W123+IF(X123="",0,X123*サマリー!$B$9)+IF(Y123="",0,IF(Y123=200,サマリー!$B$10,IF(Y123=100,サマリー!$B$11,0)))+IF(Z123="",0,Z123*サマリー!$B$12)</f>
        <v>7274</v>
      </c>
      <c r="E123" s="26">
        <f t="shared" si="6"/>
        <v>7274</v>
      </c>
      <c r="I123" s="29"/>
      <c r="J123" s="29"/>
      <c r="K123" s="29"/>
      <c r="L123" s="29"/>
      <c r="M123" s="29"/>
      <c r="N123" s="29"/>
      <c r="O123" s="29"/>
      <c r="P123" s="30"/>
      <c r="Q123" s="30"/>
      <c r="R123" s="30"/>
      <c r="S123" s="31"/>
      <c r="T123" s="31">
        <v>7274</v>
      </c>
      <c r="U123" s="31"/>
      <c r="V123" s="31"/>
      <c r="W123" s="31"/>
      <c r="X123" s="32"/>
      <c r="Y123" s="32"/>
      <c r="Z123" s="32"/>
    </row>
    <row r="124" spans="1:26">
      <c r="A124" s="28"/>
      <c r="B124" s="17">
        <f t="shared" si="7"/>
        <v>46250</v>
      </c>
      <c r="C124" s="26">
        <f>I124+J124+K124+L124+M124+N124+O124+IF(P124="",0,P124*サマリー!$B$9)+IF(Q124="",0,IF(Q124=200,サマリー!$B$10,IF(Q124=100,サマリー!$B$11,0)))+IF(R124="",0,R124*サマリー!$B$12)</f>
        <v>0</v>
      </c>
      <c r="D124" s="26">
        <f>S124+T124+U124+V124+W124+IF(X124="",0,X124*サマリー!$B$9)+IF(Y124="",0,IF(Y124=200,サマリー!$B$10,IF(Y124=100,サマリー!$B$11,0)))+IF(Z124="",0,Z124*サマリー!$B$12)</f>
        <v>26041</v>
      </c>
      <c r="E124" s="26">
        <f t="shared" si="6"/>
        <v>26041</v>
      </c>
      <c r="I124" s="29"/>
      <c r="J124" s="29"/>
      <c r="K124" s="29"/>
      <c r="L124" s="29"/>
      <c r="M124" s="29"/>
      <c r="N124" s="29"/>
      <c r="O124" s="29"/>
      <c r="P124" s="30"/>
      <c r="Q124" s="30"/>
      <c r="R124" s="30"/>
      <c r="S124" s="31">
        <v>18800</v>
      </c>
      <c r="T124" s="31"/>
      <c r="U124" s="31"/>
      <c r="V124" s="31"/>
      <c r="W124" s="31"/>
      <c r="X124" s="32"/>
      <c r="Y124" s="32">
        <v>200</v>
      </c>
      <c r="Z124" s="32"/>
    </row>
    <row r="125" spans="1:26">
      <c r="A125" s="28"/>
      <c r="B125" s="17">
        <f t="shared" si="7"/>
        <v>46250</v>
      </c>
      <c r="C125" s="26">
        <f>I125+J125+K125+L125+M125+N125+O125+IF(P125="",0,P125*サマリー!$B$9)+IF(Q125="",0,IF(Q125=200,サマリー!$B$10,IF(Q125=100,サマリー!$B$11,0)))+IF(R125="",0,R125*サマリー!$B$12)</f>
        <v>0</v>
      </c>
      <c r="D125" s="26">
        <f>S125+T125+U125+V125+W125+IF(X125="",0,X125*サマリー!$B$9)+IF(Y125="",0,IF(Y125=200,サマリー!$B$10,IF(Y125=100,サマリー!$B$11,0)))+IF(Z125="",0,Z125*サマリー!$B$12)</f>
        <v>24519</v>
      </c>
      <c r="E125" s="26">
        <f t="shared" si="6"/>
        <v>24519</v>
      </c>
      <c r="I125" s="29"/>
      <c r="J125" s="29"/>
      <c r="K125" s="29"/>
      <c r="L125" s="29"/>
      <c r="M125" s="29"/>
      <c r="N125" s="29"/>
      <c r="O125" s="29"/>
      <c r="P125" s="30"/>
      <c r="Q125" s="30"/>
      <c r="R125" s="30"/>
      <c r="S125" s="31">
        <v>24519</v>
      </c>
      <c r="T125" s="31"/>
      <c r="U125" s="31"/>
      <c r="V125" s="31"/>
      <c r="W125" s="31"/>
      <c r="X125" s="32"/>
      <c r="Y125" s="32"/>
      <c r="Z125" s="32"/>
    </row>
    <row r="126" spans="1:26">
      <c r="A126" s="28"/>
      <c r="B126" s="17">
        <f t="shared" si="7"/>
        <v>46250</v>
      </c>
      <c r="C126" s="26">
        <f>I126+J126+K126+L126+M126+N126+O126+IF(P126="",0,P126*サマリー!$B$9)+IF(Q126="",0,IF(Q126=200,サマリー!$B$10,IF(Q126=100,サマリー!$B$11,0)))+IF(R126="",0,R126*サマリー!$B$12)</f>
        <v>0</v>
      </c>
      <c r="D126" s="26">
        <f>S126+T126+U126+V126+W126+IF(X126="",0,X126*サマリー!$B$9)+IF(Y126="",0,IF(Y126=200,サマリー!$B$10,IF(Y126=100,サマリー!$B$11,0)))+IF(Z126="",0,Z126*サマリー!$B$12)</f>
        <v>33596</v>
      </c>
      <c r="E126" s="26">
        <f t="shared" si="6"/>
        <v>33596</v>
      </c>
      <c r="I126" s="29"/>
      <c r="J126" s="29"/>
      <c r="K126" s="29"/>
      <c r="L126" s="29"/>
      <c r="M126" s="29"/>
      <c r="N126" s="29"/>
      <c r="O126" s="29"/>
      <c r="P126" s="30"/>
      <c r="Q126" s="30"/>
      <c r="R126" s="30"/>
      <c r="S126" s="31">
        <v>26355</v>
      </c>
      <c r="T126" s="31"/>
      <c r="U126" s="31"/>
      <c r="V126" s="31"/>
      <c r="W126" s="31"/>
      <c r="X126" s="32"/>
      <c r="Y126" s="32">
        <v>200</v>
      </c>
      <c r="Z126" s="32"/>
    </row>
    <row r="127" spans="1:26">
      <c r="A127" s="28">
        <v>17</v>
      </c>
      <c r="B127" s="17">
        <f t="shared" si="7"/>
        <v>46251</v>
      </c>
      <c r="C127" s="26">
        <f>I127+J127+K127+L127+M127+N127+O127+IF(P127="",0,P127*サマリー!$B$9)+IF(Q127="",0,IF(Q127=200,サマリー!$B$10,IF(Q127=100,サマリー!$B$11,0)))+IF(R127="",0,R127*サマリー!$B$12)</f>
        <v>0</v>
      </c>
      <c r="D127" s="26">
        <f>S127+T127+U127+V127+W127+IF(X127="",0,X127*サマリー!$B$9)+IF(Y127="",0,IF(Y127=200,サマリー!$B$10,IF(Y127=100,サマリー!$B$11,0)))+IF(Z127="",0,Z127*サマリー!$B$12)</f>
        <v>1110</v>
      </c>
      <c r="E127" s="26">
        <f t="shared" si="6"/>
        <v>1110</v>
      </c>
      <c r="I127" s="29"/>
      <c r="J127" s="29"/>
      <c r="K127" s="29"/>
      <c r="L127" s="29"/>
      <c r="M127" s="29"/>
      <c r="N127" s="29"/>
      <c r="O127" s="29"/>
      <c r="P127" s="30"/>
      <c r="Q127" s="30"/>
      <c r="R127" s="30"/>
      <c r="S127" s="31"/>
      <c r="T127" s="31">
        <v>1110</v>
      </c>
      <c r="U127" s="31"/>
      <c r="V127" s="31"/>
      <c r="W127" s="31"/>
      <c r="X127" s="32"/>
      <c r="Y127" s="32"/>
      <c r="Z127" s="32"/>
    </row>
    <row r="128" spans="1:26">
      <c r="A128" s="28"/>
      <c r="B128" s="17">
        <f t="shared" si="7"/>
        <v>46251</v>
      </c>
      <c r="C128" s="26">
        <f>I128+J128+K128+L128+M128+N128+O128+IF(P128="",0,P128*サマリー!$B$9)+IF(Q128="",0,IF(Q128=200,サマリー!$B$10,IF(Q128=100,サマリー!$B$11,0)))+IF(R128="",0,R128*サマリー!$B$12)</f>
        <v>0</v>
      </c>
      <c r="D128" s="26">
        <f>S128+T128+U128+V128+W128+IF(X128="",0,X128*サマリー!$B$9)+IF(Y128="",0,IF(Y128=200,サマリー!$B$10,IF(Y128=100,サマリー!$B$11,0)))+IF(Z128="",0,Z128*サマリー!$B$12)</f>
        <v>7274</v>
      </c>
      <c r="E128" s="26">
        <f t="shared" si="6"/>
        <v>7274</v>
      </c>
      <c r="I128" s="29"/>
      <c r="J128" s="29"/>
      <c r="K128" s="29"/>
      <c r="L128" s="29"/>
      <c r="M128" s="29"/>
      <c r="N128" s="29"/>
      <c r="O128" s="29"/>
      <c r="P128" s="30"/>
      <c r="Q128" s="30"/>
      <c r="R128" s="30"/>
      <c r="S128" s="31"/>
      <c r="T128" s="31">
        <v>7274</v>
      </c>
      <c r="U128" s="31"/>
      <c r="V128" s="31"/>
      <c r="W128" s="31"/>
      <c r="X128" s="32"/>
      <c r="Y128" s="32"/>
      <c r="Z128" s="32"/>
    </row>
    <row r="129" spans="1:26">
      <c r="A129" s="28"/>
      <c r="B129" s="17">
        <f t="shared" si="7"/>
        <v>46251</v>
      </c>
      <c r="C129" s="26">
        <f>I129+J129+K129+L129+M129+N129+O129+IF(P129="",0,P129*サマリー!$B$9)+IF(Q129="",0,IF(Q129=200,サマリー!$B$10,IF(Q129=100,サマリー!$B$11,0)))+IF(R129="",0,R129*サマリー!$B$12)</f>
        <v>0</v>
      </c>
      <c r="D129" s="26">
        <f>S129+T129+U129+V129+W129+IF(X129="",0,X129*サマリー!$B$9)+IF(Y129="",0,IF(Y129=200,サマリー!$B$10,IF(Y129=100,サマリー!$B$11,0)))+IF(Z129="",0,Z129*サマリー!$B$12)</f>
        <v>25838</v>
      </c>
      <c r="E129" s="26">
        <f t="shared" si="6"/>
        <v>25838</v>
      </c>
      <c r="I129" s="29"/>
      <c r="J129" s="29"/>
      <c r="K129" s="29"/>
      <c r="L129" s="29"/>
      <c r="M129" s="29"/>
      <c r="N129" s="29"/>
      <c r="O129" s="29"/>
      <c r="P129" s="30"/>
      <c r="Q129" s="30"/>
      <c r="R129" s="30"/>
      <c r="S129" s="31">
        <v>25838</v>
      </c>
      <c r="T129" s="31"/>
      <c r="U129" s="31"/>
      <c r="V129" s="31"/>
      <c r="W129" s="31"/>
      <c r="X129" s="32"/>
      <c r="Y129" s="32"/>
      <c r="Z129" s="32"/>
    </row>
    <row r="130" spans="1:26">
      <c r="A130" s="28"/>
      <c r="B130" s="17">
        <f t="shared" si="7"/>
        <v>46251</v>
      </c>
      <c r="C130" s="26">
        <f>I130+J130+K130+L130+M130+N130+O130+IF(P130="",0,P130*サマリー!$B$9)+IF(Q130="",0,IF(Q130=200,サマリー!$B$10,IF(Q130=100,サマリー!$B$11,0)))+IF(R130="",0,R130*サマリー!$B$12)</f>
        <v>0</v>
      </c>
      <c r="D130" s="26">
        <f>S130+T130+U130+V130+W130+IF(X130="",0,X130*サマリー!$B$9)+IF(Y130="",0,IF(Y130=200,サマリー!$B$10,IF(Y130=100,サマリー!$B$11,0)))+IF(Z130="",0,Z130*サマリー!$B$12)</f>
        <v>25838</v>
      </c>
      <c r="E130" s="26">
        <f t="shared" si="6"/>
        <v>25838</v>
      </c>
      <c r="I130" s="29"/>
      <c r="J130" s="29"/>
      <c r="K130" s="29"/>
      <c r="L130" s="29"/>
      <c r="M130" s="29"/>
      <c r="N130" s="29"/>
      <c r="O130" s="29"/>
      <c r="P130" s="30"/>
      <c r="Q130" s="30"/>
      <c r="R130" s="30"/>
      <c r="S130" s="31">
        <v>25838</v>
      </c>
      <c r="T130" s="31"/>
      <c r="U130" s="31"/>
      <c r="V130" s="31"/>
      <c r="W130" s="31"/>
      <c r="X130" s="32"/>
      <c r="Y130" s="32"/>
      <c r="Z130" s="32"/>
    </row>
    <row r="131" spans="1:26">
      <c r="A131" s="28"/>
      <c r="B131" s="17">
        <f t="shared" si="7"/>
        <v>46251</v>
      </c>
      <c r="C131" s="26">
        <f>I131+J131+K131+L131+M131+N131+O131+IF(P131="",0,P131*サマリー!$B$9)+IF(Q131="",0,IF(Q131=200,サマリー!$B$10,IF(Q131=100,サマリー!$B$11,0)))+IF(R131="",0,R131*サマリー!$B$12)</f>
        <v>0</v>
      </c>
      <c r="D131" s="26">
        <f>S131+T131+U131+V131+W131+IF(X131="",0,X131*サマリー!$B$9)+IF(Y131="",0,IF(Y131=200,サマリー!$B$10,IF(Y131=100,サマリー!$B$11,0)))+IF(Z131="",0,Z131*サマリー!$B$12)</f>
        <v>25838</v>
      </c>
      <c r="E131" s="26">
        <f t="shared" si="6"/>
        <v>25838</v>
      </c>
      <c r="I131" s="29"/>
      <c r="J131" s="29"/>
      <c r="K131" s="29"/>
      <c r="L131" s="29"/>
      <c r="M131" s="29"/>
      <c r="N131" s="29"/>
      <c r="O131" s="29"/>
      <c r="P131" s="30"/>
      <c r="Q131" s="30"/>
      <c r="R131" s="30"/>
      <c r="S131" s="31">
        <v>25838</v>
      </c>
      <c r="T131" s="31"/>
      <c r="U131" s="31"/>
      <c r="V131" s="31"/>
      <c r="W131" s="31"/>
      <c r="X131" s="32"/>
      <c r="Y131" s="32"/>
      <c r="Z131" s="32"/>
    </row>
    <row r="132" spans="1:26">
      <c r="A132" s="28">
        <v>18</v>
      </c>
      <c r="B132" s="17">
        <f t="shared" si="7"/>
        <v>46252</v>
      </c>
      <c r="C132" s="26">
        <f>I132+J132+K132+L132+M132+N132+O132+IF(P132="",0,P132*サマリー!$B$9)+IF(Q132="",0,IF(Q132=200,サマリー!$B$10,IF(Q132=100,サマリー!$B$11,0)))+IF(R132="",0,R132*サマリー!$B$12)</f>
        <v>1397</v>
      </c>
      <c r="D132" s="26">
        <f>S132+T132+U132+V132+W132+IF(X132="",0,X132*サマリー!$B$9)+IF(Y132="",0,IF(Y132=200,サマリー!$B$10,IF(Y132=100,サマリー!$B$11,0)))+IF(Z132="",0,Z132*サマリー!$B$12)</f>
        <v>58760</v>
      </c>
      <c r="E132" s="26">
        <f t="shared" si="6"/>
        <v>60157</v>
      </c>
      <c r="I132" s="29"/>
      <c r="J132" s="29"/>
      <c r="K132" s="29">
        <v>1397</v>
      </c>
      <c r="L132" s="29"/>
      <c r="M132" s="29"/>
      <c r="N132" s="29"/>
      <c r="O132" s="29"/>
      <c r="P132" s="30"/>
      <c r="Q132" s="30"/>
      <c r="R132" s="30"/>
      <c r="S132" s="31">
        <v>32719</v>
      </c>
      <c r="T132" s="31"/>
      <c r="U132" s="31"/>
      <c r="V132" s="31">
        <v>18800</v>
      </c>
      <c r="W132" s="31"/>
      <c r="X132" s="32"/>
      <c r="Y132" s="32">
        <v>200</v>
      </c>
      <c r="Z132" s="32"/>
    </row>
    <row r="133" spans="1:26">
      <c r="A133" s="28">
        <v>19</v>
      </c>
      <c r="B133" s="17">
        <f t="shared" si="7"/>
        <v>46253</v>
      </c>
      <c r="C133" s="26">
        <f>I133+J133+K133+L133+M133+N133+O133+IF(P133="",0,P133*サマリー!$B$9)+IF(Q133="",0,IF(Q133=200,サマリー!$B$10,IF(Q133=100,サマリー!$B$11,0)))+IF(R133="",0,R133*サマリー!$B$12)</f>
        <v>42755</v>
      </c>
      <c r="D133" s="26">
        <f>S133+T133+U133+V133+W133+IF(X133="",0,X133*サマリー!$B$9)+IF(Y133="",0,IF(Y133=200,サマリー!$B$10,IF(Y133=100,サマリー!$B$11,0)))+IF(Z133="",0,Z133*サマリー!$B$12)</f>
        <v>0</v>
      </c>
      <c r="E133" s="26">
        <f t="shared" si="6"/>
        <v>42755</v>
      </c>
      <c r="I133" s="29"/>
      <c r="J133" s="29"/>
      <c r="K133" s="29"/>
      <c r="L133" s="29"/>
      <c r="M133" s="29"/>
      <c r="N133" s="29">
        <v>42755</v>
      </c>
      <c r="O133" s="29"/>
      <c r="P133" s="30"/>
      <c r="Q133" s="30"/>
      <c r="R133" s="30"/>
      <c r="S133" s="31"/>
      <c r="T133" s="31"/>
      <c r="U133" s="31"/>
      <c r="V133" s="31"/>
      <c r="W133" s="31"/>
      <c r="X133" s="32"/>
      <c r="Y133" s="32"/>
      <c r="Z133" s="32"/>
    </row>
    <row r="134" spans="1:26">
      <c r="A134" s="28"/>
      <c r="B134" s="17">
        <f t="shared" si="7"/>
        <v>46253</v>
      </c>
      <c r="C134" s="26">
        <f>I134+J134+K134+L134+M134+N134+O134+IF(P134="",0,P134*サマリー!$B$9)+IF(Q134="",0,IF(Q134=200,サマリー!$B$10,IF(Q134=100,サマリー!$B$11,0)))+IF(R134="",0,R134*サマリー!$B$12)</f>
        <v>1397</v>
      </c>
      <c r="D134" s="26">
        <f>S134+T134+U134+V134+W134+IF(X134="",0,X134*サマリー!$B$9)+IF(Y134="",0,IF(Y134=200,サマリー!$B$10,IF(Y134=100,サマリー!$B$11,0)))+IF(Z134="",0,Z134*サマリー!$B$12)</f>
        <v>0</v>
      </c>
      <c r="E134" s="26">
        <f t="shared" ref="E134:E165" si="8">C134+D134</f>
        <v>1397</v>
      </c>
      <c r="I134" s="29"/>
      <c r="J134" s="29"/>
      <c r="K134" s="29">
        <v>1397</v>
      </c>
      <c r="L134" s="29"/>
      <c r="M134" s="29"/>
      <c r="N134" s="29"/>
      <c r="O134" s="29"/>
      <c r="P134" s="30"/>
      <c r="Q134" s="30"/>
      <c r="R134" s="30"/>
      <c r="S134" s="31"/>
      <c r="T134" s="31"/>
      <c r="U134" s="31"/>
      <c r="V134" s="31"/>
      <c r="W134" s="31"/>
      <c r="X134" s="32"/>
      <c r="Y134" s="32"/>
      <c r="Z134" s="32"/>
    </row>
    <row r="135" spans="1:26">
      <c r="A135" s="28">
        <v>20</v>
      </c>
      <c r="B135" s="17">
        <f t="shared" ref="B135:B166" si="9">IF(A135="",B134,IF(A135&lt;DAY(B134),DATE(YEAR(B134),MONTH(B134)+1,A135),DATE(YEAR(B134),MONTH(B134),A135)))</f>
        <v>46254</v>
      </c>
      <c r="C135" s="26">
        <f>I135+J135+K135+L135+M135+N135+O135+IF(P135="",0,P135*サマリー!$B$9)+IF(Q135="",0,IF(Q135=200,サマリー!$B$10,IF(Q135=100,サマリー!$B$11,0)))+IF(R135="",0,R135*サマリー!$B$12)</f>
        <v>555</v>
      </c>
      <c r="D135" s="26">
        <f>S135+T135+U135+V135+W135+IF(X135="",0,X135*サマリー!$B$9)+IF(Y135="",0,IF(Y135=200,サマリー!$B$10,IF(Y135=100,サマリー!$B$11,0)))+IF(Z135="",0,Z135*サマリー!$B$12)</f>
        <v>2637</v>
      </c>
      <c r="E135" s="26">
        <f t="shared" si="8"/>
        <v>3192</v>
      </c>
      <c r="I135" s="29">
        <v>555</v>
      </c>
      <c r="J135" s="29"/>
      <c r="K135" s="29"/>
      <c r="L135" s="29"/>
      <c r="M135" s="29"/>
      <c r="N135" s="29"/>
      <c r="O135" s="29"/>
      <c r="P135" s="30"/>
      <c r="Q135" s="30"/>
      <c r="R135" s="30"/>
      <c r="S135" s="31"/>
      <c r="T135" s="31">
        <v>2637</v>
      </c>
      <c r="U135" s="31"/>
      <c r="V135" s="31"/>
      <c r="W135" s="31"/>
      <c r="X135" s="32"/>
      <c r="Y135" s="32"/>
      <c r="Z135" s="32"/>
    </row>
    <row r="136" spans="1:26">
      <c r="A136" s="28"/>
      <c r="B136" s="17">
        <f t="shared" si="9"/>
        <v>46254</v>
      </c>
      <c r="C136" s="26">
        <f>I136+J136+K136+L136+M136+N136+O136+IF(P136="",0,P136*サマリー!$B$9)+IF(Q136="",0,IF(Q136=200,サマリー!$B$10,IF(Q136=100,サマリー!$B$11,0)))+IF(R136="",0,R136*サマリー!$B$12)</f>
        <v>17400</v>
      </c>
      <c r="D136" s="26">
        <f>S136+T136+U136+V136+W136+IF(X136="",0,X136*サマリー!$B$9)+IF(Y136="",0,IF(Y136=200,サマリー!$B$10,IF(Y136=100,サマリー!$B$11,0)))+IF(Z136="",0,Z136*サマリー!$B$12)</f>
        <v>14519</v>
      </c>
      <c r="E136" s="26">
        <f t="shared" si="8"/>
        <v>31919</v>
      </c>
      <c r="I136" s="29"/>
      <c r="J136" s="29"/>
      <c r="K136" s="29"/>
      <c r="L136" s="29">
        <v>17400</v>
      </c>
      <c r="M136" s="29"/>
      <c r="N136" s="29"/>
      <c r="O136" s="29"/>
      <c r="P136" s="30"/>
      <c r="Q136" s="30"/>
      <c r="R136" s="30"/>
      <c r="S136" s="31">
        <v>14519</v>
      </c>
      <c r="T136" s="31"/>
      <c r="U136" s="31"/>
      <c r="V136" s="31"/>
      <c r="W136" s="31"/>
      <c r="X136" s="32"/>
      <c r="Y136" s="32"/>
      <c r="Z136" s="32"/>
    </row>
    <row r="137" spans="1:26">
      <c r="A137" s="28"/>
      <c r="B137" s="17">
        <f t="shared" si="9"/>
        <v>46254</v>
      </c>
      <c r="C137" s="26">
        <f>I137+J137+K137+L137+M137+N137+O137+IF(P137="",0,P137*サマリー!$B$9)+IF(Q137="",0,IF(Q137=200,サマリー!$B$10,IF(Q137=100,サマリー!$B$11,0)))+IF(R137="",0,R137*サマリー!$B$12)</f>
        <v>0</v>
      </c>
      <c r="D137" s="26">
        <f>S137+T137+U137+V137+W137+IF(X137="",0,X137*サマリー!$B$9)+IF(Y137="",0,IF(Y137=200,サマリー!$B$10,IF(Y137=100,サマリー!$B$11,0)))+IF(Z137="",0,Z137*サマリー!$B$12)</f>
        <v>32621</v>
      </c>
      <c r="E137" s="26">
        <f t="shared" si="8"/>
        <v>32621</v>
      </c>
      <c r="I137" s="29"/>
      <c r="J137" s="29"/>
      <c r="K137" s="29"/>
      <c r="L137" s="29"/>
      <c r="M137" s="29"/>
      <c r="N137" s="29"/>
      <c r="O137" s="29"/>
      <c r="P137" s="30"/>
      <c r="Q137" s="30"/>
      <c r="R137" s="30"/>
      <c r="S137" s="31">
        <v>23650</v>
      </c>
      <c r="T137" s="31"/>
      <c r="U137" s="31">
        <v>8971</v>
      </c>
      <c r="V137" s="31"/>
      <c r="W137" s="31"/>
      <c r="X137" s="32"/>
      <c r="Y137" s="32"/>
      <c r="Z137" s="32"/>
    </row>
    <row r="138" spans="1:26">
      <c r="A138" s="28">
        <v>21</v>
      </c>
      <c r="B138" s="17">
        <f t="shared" si="9"/>
        <v>46255</v>
      </c>
      <c r="C138" s="26">
        <f>I138+J138+K138+L138+M138+N138+O138+IF(P138="",0,P138*サマリー!$B$9)+IF(Q138="",0,IF(Q138=200,サマリー!$B$10,IF(Q138=100,サマリー!$B$11,0)))+IF(R138="",0,R138*サマリー!$B$12)</f>
        <v>32359</v>
      </c>
      <c r="D138" s="26">
        <f>S138+T138+U138+V138+W138+IF(X138="",0,X138*サマリー!$B$9)+IF(Y138="",0,IF(Y138=200,サマリー!$B$10,IF(Y138=100,サマリー!$B$11,0)))+IF(Z138="",0,Z138*サマリー!$B$12)</f>
        <v>0</v>
      </c>
      <c r="E138" s="26">
        <f t="shared" si="8"/>
        <v>32359</v>
      </c>
      <c r="I138" s="29"/>
      <c r="J138" s="29"/>
      <c r="K138" s="29"/>
      <c r="L138" s="29"/>
      <c r="M138" s="29">
        <v>32359</v>
      </c>
      <c r="N138" s="29"/>
      <c r="O138" s="29"/>
      <c r="P138" s="30"/>
      <c r="Q138" s="30"/>
      <c r="R138" s="30"/>
      <c r="S138" s="31"/>
      <c r="T138" s="31"/>
      <c r="U138" s="31"/>
      <c r="V138" s="31"/>
      <c r="W138" s="31"/>
      <c r="X138" s="32"/>
      <c r="Y138" s="32"/>
      <c r="Z138" s="32"/>
    </row>
    <row r="139" spans="1:26">
      <c r="A139" s="28"/>
      <c r="B139" s="17">
        <f t="shared" si="9"/>
        <v>46255</v>
      </c>
      <c r="C139" s="26">
        <f>I139+J139+K139+L139+M139+N139+O139+IF(P139="",0,P139*サマリー!$B$9)+IF(Q139="",0,IF(Q139=200,サマリー!$B$10,IF(Q139=100,サマリー!$B$11,0)))+IF(R139="",0,R139*サマリー!$B$12)</f>
        <v>1755</v>
      </c>
      <c r="D139" s="26">
        <f>S139+T139+U139+V139+W139+IF(X139="",0,X139*サマリー!$B$9)+IF(Y139="",0,IF(Y139=200,サマリー!$B$10,IF(Y139=100,サマリー!$B$11,0)))+IF(Z139="",0,Z139*サマリー!$B$12)</f>
        <v>0</v>
      </c>
      <c r="E139" s="26">
        <f t="shared" si="8"/>
        <v>1755</v>
      </c>
      <c r="I139" s="29">
        <v>1755</v>
      </c>
      <c r="J139" s="29"/>
      <c r="K139" s="29"/>
      <c r="L139" s="29"/>
      <c r="M139" s="29"/>
      <c r="N139" s="29"/>
      <c r="O139" s="29"/>
      <c r="P139" s="30"/>
      <c r="Q139" s="30"/>
      <c r="R139" s="30"/>
      <c r="S139" s="31"/>
      <c r="T139" s="31"/>
      <c r="U139" s="31"/>
      <c r="V139" s="31"/>
      <c r="W139" s="31"/>
      <c r="X139" s="32"/>
      <c r="Y139" s="32"/>
      <c r="Z139" s="32"/>
    </row>
    <row r="140" spans="1:26">
      <c r="A140" s="28">
        <v>22</v>
      </c>
      <c r="B140" s="17">
        <f t="shared" si="9"/>
        <v>46256</v>
      </c>
      <c r="C140" s="26">
        <f>I140+J140+K140+L140+M140+N140+O140+IF(P140="",0,P140*サマリー!$B$9)+IF(Q140="",0,IF(Q140=200,サマリー!$B$10,IF(Q140=100,サマリー!$B$11,0)))+IF(R140="",0,R140*サマリー!$B$12)</f>
        <v>3310</v>
      </c>
      <c r="D140" s="26">
        <f>S140+T140+U140+V140+W140+IF(X140="",0,X140*サマリー!$B$9)+IF(Y140="",0,IF(Y140=200,サマリー!$B$10,IF(Y140=100,サマリー!$B$11,0)))+IF(Z140="",0,Z140*サマリー!$B$12)</f>
        <v>6400</v>
      </c>
      <c r="E140" s="26">
        <f t="shared" si="8"/>
        <v>9710</v>
      </c>
      <c r="I140" s="29"/>
      <c r="J140" s="29">
        <v>3310</v>
      </c>
      <c r="K140" s="29"/>
      <c r="L140" s="29"/>
      <c r="M140" s="29"/>
      <c r="N140" s="29"/>
      <c r="O140" s="29"/>
      <c r="P140" s="30"/>
      <c r="Q140" s="30"/>
      <c r="R140" s="30"/>
      <c r="S140" s="31"/>
      <c r="T140" s="31">
        <v>6400</v>
      </c>
      <c r="U140" s="31"/>
      <c r="V140" s="31"/>
      <c r="W140" s="31"/>
      <c r="X140" s="32"/>
      <c r="Y140" s="32"/>
      <c r="Z140" s="32"/>
    </row>
    <row r="141" spans="1:26">
      <c r="A141" s="28"/>
      <c r="B141" s="17">
        <f t="shared" si="9"/>
        <v>46256</v>
      </c>
      <c r="C141" s="26">
        <f>I141+J141+K141+L141+M141+N141+O141+IF(P141="",0,P141*サマリー!$B$9)+IF(Q141="",0,IF(Q141=200,サマリー!$B$10,IF(Q141=100,サマリー!$B$11,0)))+IF(R141="",0,R141*サマリー!$B$12)</f>
        <v>1755</v>
      </c>
      <c r="D141" s="26">
        <f>S141+T141+U141+V141+W141+IF(X141="",0,X141*サマリー!$B$9)+IF(Y141="",0,IF(Y141=200,サマリー!$B$10,IF(Y141=100,サマリー!$B$11,0)))+IF(Z141="",0,Z141*サマリー!$B$12)</f>
        <v>5310</v>
      </c>
      <c r="E141" s="26">
        <f t="shared" si="8"/>
        <v>7065</v>
      </c>
      <c r="I141" s="29"/>
      <c r="J141" s="29">
        <v>1755</v>
      </c>
      <c r="K141" s="29"/>
      <c r="L141" s="29"/>
      <c r="M141" s="29"/>
      <c r="N141" s="29"/>
      <c r="O141" s="29"/>
      <c r="P141" s="30"/>
      <c r="Q141" s="30"/>
      <c r="R141" s="30"/>
      <c r="S141" s="31"/>
      <c r="T141" s="31">
        <v>3850</v>
      </c>
      <c r="U141" s="31">
        <v>1460</v>
      </c>
      <c r="V141" s="31"/>
      <c r="W141" s="31"/>
      <c r="X141" s="32"/>
      <c r="Y141" s="32"/>
      <c r="Z141" s="32"/>
    </row>
    <row r="142" spans="1:26">
      <c r="A142" s="28">
        <v>23</v>
      </c>
      <c r="B142" s="17">
        <f t="shared" si="9"/>
        <v>46257</v>
      </c>
      <c r="C142" s="26">
        <f>I142+J142+K142+L142+M142+N142+O142+IF(P142="",0,P142*サマリー!$B$9)+IF(Q142="",0,IF(Q142=200,サマリー!$B$10,IF(Q142=100,サマリー!$B$11,0)))+IF(R142="",0,R142*サマリー!$B$12)</f>
        <v>23079</v>
      </c>
      <c r="D142" s="26">
        <f>S142+T142+U142+V142+W142+IF(X142="",0,X142*サマリー!$B$9)+IF(Y142="",0,IF(Y142=200,サマリー!$B$10,IF(Y142=100,サマリー!$B$11,0)))+IF(Z142="",0,Z142*サマリー!$B$12)</f>
        <v>0</v>
      </c>
      <c r="E142" s="26">
        <f t="shared" si="8"/>
        <v>23079</v>
      </c>
      <c r="I142" s="29">
        <v>15838</v>
      </c>
      <c r="J142" s="29"/>
      <c r="K142" s="29"/>
      <c r="L142" s="29"/>
      <c r="M142" s="29"/>
      <c r="N142" s="29"/>
      <c r="O142" s="29"/>
      <c r="P142" s="30"/>
      <c r="Q142" s="30">
        <v>200</v>
      </c>
      <c r="R142" s="30"/>
      <c r="S142" s="31"/>
      <c r="T142" s="31"/>
      <c r="U142" s="31"/>
      <c r="V142" s="31"/>
      <c r="W142" s="31"/>
      <c r="X142" s="32"/>
      <c r="Y142" s="32"/>
      <c r="Z142" s="32"/>
    </row>
    <row r="143" spans="1:26">
      <c r="A143" s="28"/>
      <c r="B143" s="17">
        <f t="shared" si="9"/>
        <v>46257</v>
      </c>
      <c r="C143" s="26">
        <f>I143+J143+K143+L143+M143+N143+O143+IF(P143="",0,P143*サマリー!$B$9)+IF(Q143="",0,IF(Q143=200,サマリー!$B$10,IF(Q143=100,サマリー!$B$11,0)))+IF(R143="",0,R143*サマリー!$B$12)</f>
        <v>2000</v>
      </c>
      <c r="D143" s="26">
        <f>S143+T143+U143+V143+W143+IF(X143="",0,X143*サマリー!$B$9)+IF(Y143="",0,IF(Y143=200,サマリー!$B$10,IF(Y143=100,サマリー!$B$11,0)))+IF(Z143="",0,Z143*サマリー!$B$12)</f>
        <v>0</v>
      </c>
      <c r="E143" s="26">
        <f t="shared" si="8"/>
        <v>2000</v>
      </c>
      <c r="I143" s="29"/>
      <c r="J143" s="29">
        <v>2000</v>
      </c>
      <c r="K143" s="29"/>
      <c r="L143" s="29"/>
      <c r="M143" s="29"/>
      <c r="N143" s="29"/>
      <c r="O143" s="29"/>
      <c r="P143" s="30"/>
      <c r="Q143" s="30"/>
      <c r="R143" s="30"/>
      <c r="S143" s="31"/>
      <c r="T143" s="31"/>
      <c r="U143" s="31"/>
      <c r="V143" s="31"/>
      <c r="W143" s="31"/>
      <c r="X143" s="32"/>
      <c r="Y143" s="32"/>
      <c r="Z143" s="32"/>
    </row>
    <row r="144" spans="1:26">
      <c r="A144" s="28"/>
      <c r="B144" s="17">
        <f t="shared" si="9"/>
        <v>46257</v>
      </c>
      <c r="C144" s="26">
        <f>I144+J144+K144+L144+M144+N144+O144+IF(P144="",0,P144*サマリー!$B$9)+IF(Q144="",0,IF(Q144=200,サマリー!$B$10,IF(Q144=100,サマリー!$B$11,0)))+IF(R144="",0,R144*サマリー!$B$12)</f>
        <v>18479</v>
      </c>
      <c r="D144" s="26">
        <f>S144+T144+U144+V144+W144+IF(X144="",0,X144*サマリー!$B$9)+IF(Y144="",0,IF(Y144=200,サマリー!$B$10,IF(Y144=100,サマリー!$B$11,0)))+IF(Z144="",0,Z144*サマリー!$B$12)</f>
        <v>0</v>
      </c>
      <c r="E144" s="26">
        <f t="shared" si="8"/>
        <v>18479</v>
      </c>
      <c r="I144" s="29"/>
      <c r="J144" s="29">
        <v>18479</v>
      </c>
      <c r="K144" s="29"/>
      <c r="L144" s="29"/>
      <c r="M144" s="29"/>
      <c r="N144" s="29"/>
      <c r="O144" s="29"/>
      <c r="P144" s="30"/>
      <c r="Q144" s="30"/>
      <c r="R144" s="30"/>
      <c r="S144" s="31"/>
      <c r="T144" s="31"/>
      <c r="U144" s="31"/>
      <c r="V144" s="31"/>
      <c r="W144" s="31"/>
      <c r="X144" s="32"/>
      <c r="Y144" s="32"/>
      <c r="Z144" s="32"/>
    </row>
    <row r="145" spans="1:26">
      <c r="A145" s="28"/>
      <c r="B145" s="17">
        <f t="shared" si="9"/>
        <v>46257</v>
      </c>
      <c r="C145" s="26">
        <f>I145+J145+K145+L145+M145+N145+O145+IF(P145="",0,P145*サマリー!$B$9)+IF(Q145="",0,IF(Q145=200,サマリー!$B$10,IF(Q145=100,サマリー!$B$11,0)))+IF(R145="",0,R145*サマリー!$B$12)</f>
        <v>34398</v>
      </c>
      <c r="D145" s="26">
        <f>S145+T145+U145+V145+W145+IF(X145="",0,X145*サマリー!$B$9)+IF(Y145="",0,IF(Y145=200,サマリー!$B$10,IF(Y145=100,サマリー!$B$11,0)))+IF(Z145="",0,Z145*サマリー!$B$12)</f>
        <v>0</v>
      </c>
      <c r="E145" s="26">
        <f t="shared" si="8"/>
        <v>34398</v>
      </c>
      <c r="I145" s="29">
        <v>27157</v>
      </c>
      <c r="J145" s="29"/>
      <c r="K145" s="29"/>
      <c r="L145" s="29"/>
      <c r="M145" s="29"/>
      <c r="N145" s="29"/>
      <c r="O145" s="29"/>
      <c r="P145" s="30"/>
      <c r="Q145" s="30">
        <v>200</v>
      </c>
      <c r="R145" s="30"/>
      <c r="S145" s="31"/>
      <c r="T145" s="31"/>
      <c r="U145" s="31"/>
      <c r="V145" s="31"/>
      <c r="W145" s="31"/>
      <c r="X145" s="32"/>
      <c r="Y145" s="32"/>
      <c r="Z145" s="32"/>
    </row>
    <row r="146" spans="1:26">
      <c r="A146" s="28">
        <v>24</v>
      </c>
      <c r="B146" s="17">
        <f t="shared" si="9"/>
        <v>46258</v>
      </c>
      <c r="C146" s="26">
        <f>I146+J146+K146+L146+M146+N146+O146+IF(P146="",0,P146*サマリー!$B$9)+IF(Q146="",0,IF(Q146=200,サマリー!$B$10,IF(Q146=100,サマリー!$B$11,0)))+IF(R146="",0,R146*サマリー!$B$12)</f>
        <v>0</v>
      </c>
      <c r="D146" s="26">
        <f>S146+T146+U146+V146+W146+IF(X146="",0,X146*サマリー!$B$9)+IF(Y146="",0,IF(Y146=200,サマリー!$B$10,IF(Y146=100,サマリー!$B$11,0)))+IF(Z146="",0,Z146*サマリー!$B$12)</f>
        <v>6400</v>
      </c>
      <c r="E146" s="26">
        <f t="shared" si="8"/>
        <v>6400</v>
      </c>
      <c r="I146" s="29"/>
      <c r="J146" s="29"/>
      <c r="K146" s="29"/>
      <c r="L146" s="29"/>
      <c r="M146" s="29"/>
      <c r="N146" s="29"/>
      <c r="O146" s="29"/>
      <c r="P146" s="30"/>
      <c r="Q146" s="30"/>
      <c r="R146" s="30"/>
      <c r="S146" s="31"/>
      <c r="T146" s="31">
        <v>6400</v>
      </c>
      <c r="U146" s="31"/>
      <c r="V146" s="31"/>
      <c r="W146" s="31"/>
      <c r="X146" s="32"/>
      <c r="Y146" s="32"/>
      <c r="Z146" s="32"/>
    </row>
    <row r="147" spans="1:26">
      <c r="A147" s="28">
        <v>25</v>
      </c>
      <c r="B147" s="17">
        <f t="shared" si="9"/>
        <v>46259</v>
      </c>
      <c r="C147" s="26">
        <f>I147+J147+K147+L147+M147+N147+O147+IF(P147="",0,P147*サマリー!$B$9)+IF(Q147="",0,IF(Q147=200,サマリー!$B$10,IF(Q147=100,サマリー!$B$11,0)))+IF(R147="",0,R147*サマリー!$B$12)</f>
        <v>7241</v>
      </c>
      <c r="D147" s="26">
        <f>S147+T147+U147+V147+W147+IF(X147="",0,X147*サマリー!$B$9)+IF(Y147="",0,IF(Y147=200,サマリー!$B$10,IF(Y147=100,サマリー!$B$11,0)))+IF(Z147="",0,Z147*サマリー!$B$12)</f>
        <v>0</v>
      </c>
      <c r="E147" s="26">
        <f t="shared" si="8"/>
        <v>7241</v>
      </c>
      <c r="I147" s="29"/>
      <c r="J147" s="29"/>
      <c r="K147" s="29"/>
      <c r="L147" s="29"/>
      <c r="M147" s="29"/>
      <c r="N147" s="29"/>
      <c r="O147" s="29"/>
      <c r="P147" s="30"/>
      <c r="Q147" s="30">
        <v>200</v>
      </c>
      <c r="R147" s="30"/>
      <c r="S147" s="31"/>
      <c r="T147" s="31"/>
      <c r="U147" s="31"/>
      <c r="V147" s="31"/>
      <c r="W147" s="31"/>
      <c r="X147" s="32"/>
      <c r="Y147" s="32"/>
      <c r="Z147" s="32"/>
    </row>
    <row r="148" spans="1:26">
      <c r="A148" s="28"/>
      <c r="B148" s="17">
        <f t="shared" si="9"/>
        <v>46259</v>
      </c>
      <c r="C148" s="26">
        <f>I148+J148+K148+L148+M148+N148+O148+IF(P148="",0,P148*サマリー!$B$9)+IF(Q148="",0,IF(Q148=200,サマリー!$B$10,IF(Q148=100,サマリー!$B$11,0)))+IF(R148="",0,R148*サマリー!$B$12)</f>
        <v>52600</v>
      </c>
      <c r="D148" s="26">
        <f>S148+T148+U148+V148+W148+IF(X148="",0,X148*サマリー!$B$9)+IF(Y148="",0,IF(Y148=200,サマリー!$B$10,IF(Y148=100,サマリー!$B$11,0)))+IF(Z148="",0,Z148*サマリー!$B$12)</f>
        <v>0</v>
      </c>
      <c r="E148" s="26">
        <f t="shared" si="8"/>
        <v>52600</v>
      </c>
      <c r="I148" s="29">
        <v>52600</v>
      </c>
      <c r="J148" s="29"/>
      <c r="K148" s="29"/>
      <c r="L148" s="29"/>
      <c r="M148" s="29"/>
      <c r="N148" s="29"/>
      <c r="O148" s="29"/>
      <c r="P148" s="30"/>
      <c r="Q148" s="30"/>
      <c r="R148" s="30"/>
      <c r="S148" s="31"/>
      <c r="T148" s="31"/>
      <c r="U148" s="31"/>
      <c r="V148" s="31"/>
      <c r="W148" s="31"/>
      <c r="X148" s="32"/>
      <c r="Y148" s="32"/>
      <c r="Z148" s="32"/>
    </row>
    <row r="149" spans="1:26">
      <c r="A149" s="28"/>
      <c r="B149" s="17">
        <f t="shared" si="9"/>
        <v>46259</v>
      </c>
      <c r="C149" s="26">
        <f>I149+J149+K149+L149+M149+N149+O149+IF(P149="",0,P149*サマリー!$B$9)+IF(Q149="",0,IF(Q149=200,サマリー!$B$10,IF(Q149=100,サマリー!$B$11,0)))+IF(R149="",0,R149*サマリー!$B$12)</f>
        <v>50000</v>
      </c>
      <c r="D149" s="26">
        <f>S149+T149+U149+V149+W149+IF(X149="",0,X149*サマリー!$B$9)+IF(Y149="",0,IF(Y149=200,サマリー!$B$10,IF(Y149=100,サマリー!$B$11,0)))+IF(Z149="",0,Z149*サマリー!$B$12)</f>
        <v>0</v>
      </c>
      <c r="E149" s="26">
        <f t="shared" si="8"/>
        <v>50000</v>
      </c>
      <c r="I149" s="29"/>
      <c r="J149" s="29"/>
      <c r="K149" s="29"/>
      <c r="L149" s="29"/>
      <c r="M149" s="29"/>
      <c r="N149" s="29"/>
      <c r="O149" s="29"/>
      <c r="P149" s="30">
        <v>2</v>
      </c>
      <c r="Q149" s="30"/>
      <c r="R149" s="30"/>
      <c r="S149" s="31"/>
      <c r="T149" s="31"/>
      <c r="U149" s="31"/>
      <c r="V149" s="31"/>
      <c r="W149" s="31"/>
      <c r="X149" s="32"/>
      <c r="Y149" s="32"/>
      <c r="Z149" s="32"/>
    </row>
    <row r="150" spans="1:26">
      <c r="A150" s="28">
        <v>26</v>
      </c>
      <c r="B150" s="17">
        <f t="shared" si="9"/>
        <v>46260</v>
      </c>
      <c r="C150" s="26">
        <f>I150+J150+K150+L150+M150+N150+O150+IF(P150="",0,P150*サマリー!$B$9)+IF(Q150="",0,IF(Q150=200,サマリー!$B$10,IF(Q150=100,サマリー!$B$11,0)))+IF(R150="",0,R150*サマリー!$B$12)</f>
        <v>34398</v>
      </c>
      <c r="D150" s="26">
        <f>S150+T150+U150+V150+W150+IF(X150="",0,X150*サマリー!$B$9)+IF(Y150="",0,IF(Y150=200,サマリー!$B$10,IF(Y150=100,サマリー!$B$11,0)))+IF(Z150="",0,Z150*サマリー!$B$12)</f>
        <v>22319</v>
      </c>
      <c r="E150" s="26">
        <f t="shared" si="8"/>
        <v>56717</v>
      </c>
      <c r="I150" s="29">
        <v>27157</v>
      </c>
      <c r="J150" s="29"/>
      <c r="K150" s="29"/>
      <c r="L150" s="29"/>
      <c r="M150" s="29"/>
      <c r="N150" s="29"/>
      <c r="O150" s="29"/>
      <c r="P150" s="30"/>
      <c r="Q150" s="30">
        <v>200</v>
      </c>
      <c r="R150" s="30"/>
      <c r="S150" s="31"/>
      <c r="T150" s="31"/>
      <c r="U150" s="31"/>
      <c r="V150" s="31">
        <v>22319</v>
      </c>
      <c r="W150" s="31"/>
      <c r="X150" s="32"/>
      <c r="Y150" s="32"/>
      <c r="Z150" s="32"/>
    </row>
    <row r="151" spans="1:26">
      <c r="A151" s="28"/>
      <c r="B151" s="17">
        <f t="shared" si="9"/>
        <v>46260</v>
      </c>
      <c r="C151" s="26">
        <f>I151+J151+K151+L151+M151+N151+O151+IF(P151="",0,P151*サマリー!$B$9)+IF(Q151="",0,IF(Q151=200,サマリー!$B$10,IF(Q151=100,サマリー!$B$11,0)))+IF(R151="",0,R151*サマリー!$B$12)</f>
        <v>12897</v>
      </c>
      <c r="D151" s="26">
        <f>S151+T151+U151+V151+W151+IF(X151="",0,X151*サマリー!$B$9)+IF(Y151="",0,IF(Y151=200,サマリー!$B$10,IF(Y151=100,サマリー!$B$11,0)))+IF(Z151="",0,Z151*サマリー!$B$12)</f>
        <v>0</v>
      </c>
      <c r="E151" s="26">
        <f t="shared" si="8"/>
        <v>12897</v>
      </c>
      <c r="I151" s="29"/>
      <c r="J151" s="29">
        <v>9350</v>
      </c>
      <c r="K151" s="29">
        <v>3547</v>
      </c>
      <c r="L151" s="29"/>
      <c r="M151" s="29"/>
      <c r="N151" s="29"/>
      <c r="O151" s="29"/>
      <c r="P151" s="30"/>
      <c r="Q151" s="30"/>
      <c r="R151" s="30"/>
      <c r="S151" s="31"/>
      <c r="T151" s="31"/>
      <c r="U151" s="31"/>
      <c r="V151" s="31"/>
      <c r="W151" s="31"/>
      <c r="X151" s="32"/>
      <c r="Y151" s="32"/>
      <c r="Z151" s="32"/>
    </row>
    <row r="152" spans="1:26">
      <c r="A152" s="28">
        <v>27</v>
      </c>
      <c r="B152" s="17">
        <f t="shared" si="9"/>
        <v>46261</v>
      </c>
      <c r="C152" s="26">
        <f>I152+J152+K152+L152+M152+N152+O152+IF(P152="",0,P152*サマリー!$B$9)+IF(Q152="",0,IF(Q152=200,サマリー!$B$10,IF(Q152=100,サマリー!$B$11,0)))+IF(R152="",0,R152*サマリー!$B$12)</f>
        <v>50000</v>
      </c>
      <c r="D152" s="26">
        <f>S152+T152+U152+V152+W152+IF(X152="",0,X152*サマリー!$B$9)+IF(Y152="",0,IF(Y152=200,サマリー!$B$10,IF(Y152=100,サマリー!$B$11,0)))+IF(Z152="",0,Z152*サマリー!$B$12)</f>
        <v>0</v>
      </c>
      <c r="E152" s="26">
        <f t="shared" si="8"/>
        <v>50000</v>
      </c>
      <c r="I152" s="29"/>
      <c r="J152" s="29"/>
      <c r="K152" s="29"/>
      <c r="L152" s="29"/>
      <c r="M152" s="29"/>
      <c r="N152" s="29"/>
      <c r="O152" s="29"/>
      <c r="P152" s="30">
        <v>2</v>
      </c>
      <c r="Q152" s="30"/>
      <c r="R152" s="30"/>
      <c r="S152" s="31"/>
      <c r="T152" s="31"/>
      <c r="U152" s="31"/>
      <c r="V152" s="31"/>
      <c r="W152" s="31"/>
      <c r="X152" s="32"/>
      <c r="Y152" s="32"/>
      <c r="Z152" s="32"/>
    </row>
    <row r="153" spans="1:26">
      <c r="A153" s="28">
        <v>28</v>
      </c>
      <c r="B153" s="17">
        <f t="shared" si="9"/>
        <v>46262</v>
      </c>
      <c r="C153" s="26">
        <f>I153+J153+K153+L153+M153+N153+O153+IF(P153="",0,P153*サマリー!$B$9)+IF(Q153="",0,IF(Q153=200,サマリー!$B$10,IF(Q153=100,サマリー!$B$11,0)))+IF(R153="",0,R153*サマリー!$B$12)</f>
        <v>1755</v>
      </c>
      <c r="D153" s="26">
        <f>S153+T153+U153+V153+W153+IF(X153="",0,X153*サマリー!$B$9)+IF(Y153="",0,IF(Y153=200,サマリー!$B$10,IF(Y153=100,サマリー!$B$11,0)))+IF(Z153="",0,Z153*サマリー!$B$12)</f>
        <v>14655</v>
      </c>
      <c r="E153" s="26">
        <f t="shared" si="8"/>
        <v>16410</v>
      </c>
      <c r="I153" s="29"/>
      <c r="J153" s="29">
        <v>1755</v>
      </c>
      <c r="K153" s="29"/>
      <c r="L153" s="29"/>
      <c r="M153" s="29"/>
      <c r="N153" s="29"/>
      <c r="O153" s="29"/>
      <c r="P153" s="30"/>
      <c r="Q153" s="30"/>
      <c r="R153" s="30"/>
      <c r="S153" s="31"/>
      <c r="T153" s="31">
        <v>14655</v>
      </c>
      <c r="U153" s="31"/>
      <c r="V153" s="31"/>
      <c r="W153" s="31"/>
      <c r="X153" s="32"/>
      <c r="Y153" s="32"/>
      <c r="Z153" s="32"/>
    </row>
    <row r="154" spans="1:26">
      <c r="A154" s="28"/>
      <c r="B154" s="17">
        <f t="shared" si="9"/>
        <v>46262</v>
      </c>
      <c r="C154" s="26">
        <f>I154+J154+K154+L154+M154+N154+O154+IF(P154="",0,P154*サマリー!$B$9)+IF(Q154="",0,IF(Q154=200,サマリー!$B$10,IF(Q154=100,サマリー!$B$11,0)))+IF(R154="",0,R154*サマリー!$B$12)</f>
        <v>22910</v>
      </c>
      <c r="D154" s="26">
        <f>S154+T154+U154+V154+W154+IF(X154="",0,X154*サマリー!$B$9)+IF(Y154="",0,IF(Y154=200,サマリー!$B$10,IF(Y154=100,サマリー!$B$11,0)))+IF(Z154="",0,Z154*サマリー!$B$12)</f>
        <v>5082</v>
      </c>
      <c r="E154" s="26">
        <f t="shared" si="8"/>
        <v>27992</v>
      </c>
      <c r="I154" s="29"/>
      <c r="J154" s="29">
        <v>22910</v>
      </c>
      <c r="K154" s="29"/>
      <c r="L154" s="29"/>
      <c r="M154" s="29"/>
      <c r="N154" s="29"/>
      <c r="O154" s="29"/>
      <c r="P154" s="30"/>
      <c r="Q154" s="30"/>
      <c r="R154" s="30"/>
      <c r="S154" s="31"/>
      <c r="T154" s="31">
        <v>5082</v>
      </c>
      <c r="U154" s="31"/>
      <c r="V154" s="31"/>
      <c r="W154" s="31"/>
      <c r="X154" s="32"/>
      <c r="Y154" s="32"/>
      <c r="Z154" s="32"/>
    </row>
    <row r="155" spans="1:26">
      <c r="A155" s="28"/>
      <c r="B155" s="17">
        <f t="shared" si="9"/>
        <v>46262</v>
      </c>
      <c r="C155" s="26">
        <f>I155+J155+K155+L155+M155+N155+O155+IF(P155="",0,P155*サマリー!$B$9)+IF(Q155="",0,IF(Q155=200,サマリー!$B$10,IF(Q155=100,サマリー!$B$11,0)))+IF(R155="",0,R155*サマリー!$B$12)</f>
        <v>0</v>
      </c>
      <c r="D155" s="26">
        <f>S155+T155+U155+V155+W155+IF(X155="",0,X155*サマリー!$B$9)+IF(Y155="",0,IF(Y155=200,サマリー!$B$10,IF(Y155=100,サマリー!$B$11,0)))+IF(Z155="",0,Z155*サマリー!$B$12)</f>
        <v>5519</v>
      </c>
      <c r="E155" s="26">
        <f t="shared" si="8"/>
        <v>5519</v>
      </c>
      <c r="I155" s="29"/>
      <c r="J155" s="29"/>
      <c r="K155" s="29"/>
      <c r="L155" s="29"/>
      <c r="M155" s="29"/>
      <c r="N155" s="29"/>
      <c r="O155" s="29"/>
      <c r="P155" s="30"/>
      <c r="Q155" s="30"/>
      <c r="R155" s="30"/>
      <c r="S155" s="31"/>
      <c r="T155" s="31"/>
      <c r="U155" s="31"/>
      <c r="V155" s="31">
        <v>5519</v>
      </c>
      <c r="W155" s="31"/>
      <c r="X155" s="32"/>
      <c r="Y155" s="32"/>
      <c r="Z155" s="32"/>
    </row>
    <row r="156" spans="1:26">
      <c r="A156" s="28">
        <v>29</v>
      </c>
      <c r="B156" s="17">
        <f t="shared" si="9"/>
        <v>46263</v>
      </c>
      <c r="C156" s="26">
        <f>I156+J156+K156+L156+M156+N156+O156+IF(P156="",0,P156*サマリー!$B$9)+IF(Q156="",0,IF(Q156=200,サマリー!$B$10,IF(Q156=100,サマリー!$B$11,0)))+IF(R156="",0,R156*サマリー!$B$12)</f>
        <v>1655</v>
      </c>
      <c r="D156" s="26">
        <f>S156+T156+U156+V156+W156+IF(X156="",0,X156*サマリー!$B$9)+IF(Y156="",0,IF(Y156=200,サマリー!$B$10,IF(Y156=100,サマリー!$B$11,0)))+IF(Z156="",0,Z156*サマリー!$B$12)</f>
        <v>0</v>
      </c>
      <c r="E156" s="26">
        <f t="shared" si="8"/>
        <v>1655</v>
      </c>
      <c r="I156" s="29"/>
      <c r="J156" s="29">
        <v>1655</v>
      </c>
      <c r="K156" s="29"/>
      <c r="L156" s="29"/>
      <c r="M156" s="29"/>
      <c r="N156" s="29"/>
      <c r="O156" s="29"/>
      <c r="P156" s="30"/>
      <c r="Q156" s="30"/>
      <c r="R156" s="30"/>
      <c r="S156" s="31"/>
      <c r="T156" s="31"/>
      <c r="U156" s="31"/>
      <c r="V156" s="31"/>
      <c r="W156" s="31"/>
      <c r="X156" s="32"/>
      <c r="Y156" s="32"/>
      <c r="Z156" s="32"/>
    </row>
    <row r="157" spans="1:26">
      <c r="A157" s="28"/>
      <c r="B157" s="17">
        <f t="shared" si="9"/>
        <v>46263</v>
      </c>
      <c r="C157" s="26">
        <f>I157+J157+K157+L157+M157+N157+O157+IF(P157="",0,P157*サマリー!$B$9)+IF(Q157="",0,IF(Q157=200,サマリー!$B$10,IF(Q157=100,サマリー!$B$11,0)))+IF(R157="",0,R157*サマリー!$B$12)</f>
        <v>11900</v>
      </c>
      <c r="D157" s="26">
        <f>S157+T157+U157+V157+W157+IF(X157="",0,X157*サマリー!$B$9)+IF(Y157="",0,IF(Y157=200,サマリー!$B$10,IF(Y157=100,サマリー!$B$11,0)))+IF(Z157="",0,Z157*サマリー!$B$12)</f>
        <v>0</v>
      </c>
      <c r="E157" s="26">
        <f t="shared" si="8"/>
        <v>11900</v>
      </c>
      <c r="I157" s="29"/>
      <c r="J157" s="29">
        <v>11900</v>
      </c>
      <c r="K157" s="29"/>
      <c r="L157" s="29"/>
      <c r="M157" s="29"/>
      <c r="N157" s="29"/>
      <c r="O157" s="29"/>
      <c r="P157" s="30"/>
      <c r="Q157" s="30"/>
      <c r="R157" s="30"/>
      <c r="S157" s="31"/>
      <c r="T157" s="31"/>
      <c r="U157" s="31"/>
      <c r="V157" s="31"/>
      <c r="W157" s="31"/>
      <c r="X157" s="32"/>
      <c r="Y157" s="32"/>
      <c r="Z157" s="32"/>
    </row>
    <row r="158" spans="1:26">
      <c r="A158" s="28">
        <v>30</v>
      </c>
      <c r="B158" s="17">
        <f t="shared" si="9"/>
        <v>46264</v>
      </c>
      <c r="C158" s="26">
        <f>I158+J158+K158+L158+M158+N158+O158+IF(P158="",0,P158*サマリー!$B$9)+IF(Q158="",0,IF(Q158=200,サマリー!$B$10,IF(Q158=100,サマリー!$B$11,0)))+IF(R158="",0,R158*サマリー!$B$12)</f>
        <v>2210</v>
      </c>
      <c r="D158" s="26">
        <f>S158+T158+U158+V158+W158+IF(X158="",0,X158*サマリー!$B$9)+IF(Y158="",0,IF(Y158=200,サマリー!$B$10,IF(Y158=100,サマリー!$B$11,0)))+IF(Z158="",0,Z158*サマリー!$B$12)</f>
        <v>6400</v>
      </c>
      <c r="E158" s="26">
        <f t="shared" si="8"/>
        <v>8610</v>
      </c>
      <c r="I158" s="29"/>
      <c r="J158" s="29">
        <v>2210</v>
      </c>
      <c r="K158" s="29"/>
      <c r="L158" s="29"/>
      <c r="M158" s="29"/>
      <c r="N158" s="29"/>
      <c r="O158" s="29"/>
      <c r="P158" s="30"/>
      <c r="Q158" s="30"/>
      <c r="R158" s="30"/>
      <c r="S158" s="31"/>
      <c r="T158" s="31">
        <v>6400</v>
      </c>
      <c r="U158" s="31"/>
      <c r="V158" s="31"/>
      <c r="W158" s="31"/>
      <c r="X158" s="32"/>
      <c r="Y158" s="32"/>
      <c r="Z158" s="32"/>
    </row>
    <row r="159" spans="1:26">
      <c r="A159" s="28"/>
      <c r="B159" s="17">
        <f t="shared" si="9"/>
        <v>46264</v>
      </c>
      <c r="C159" s="26">
        <f>I159+J159+K159+L159+M159+N159+O159+IF(P159="",0,P159*サマリー!$B$9)+IF(Q159="",0,IF(Q159=200,サマリー!$B$10,IF(Q159=100,サマリー!$B$11,0)))+IF(R159="",0,R159*サマリー!$B$12)</f>
        <v>0</v>
      </c>
      <c r="D159" s="26">
        <f>S159+T159+U159+V159+W159+IF(X159="",0,X159*サマリー!$B$9)+IF(Y159="",0,IF(Y159=200,サマリー!$B$10,IF(Y159=100,サマリー!$B$11,0)))+IF(Z159="",0,Z159*サマリー!$B$12)</f>
        <v>4755</v>
      </c>
      <c r="E159" s="26">
        <f t="shared" si="8"/>
        <v>4755</v>
      </c>
      <c r="I159" s="29"/>
      <c r="J159" s="29"/>
      <c r="K159" s="29"/>
      <c r="L159" s="29"/>
      <c r="M159" s="29"/>
      <c r="N159" s="29"/>
      <c r="O159" s="29"/>
      <c r="P159" s="30"/>
      <c r="Q159" s="30"/>
      <c r="R159" s="30"/>
      <c r="S159" s="31"/>
      <c r="T159" s="31">
        <v>4755</v>
      </c>
      <c r="U159" s="31"/>
      <c r="V159" s="31"/>
      <c r="W159" s="31"/>
      <c r="X159" s="32"/>
      <c r="Y159" s="32"/>
      <c r="Z159" s="32"/>
    </row>
    <row r="160" spans="1:26">
      <c r="A160" s="28">
        <v>31</v>
      </c>
      <c r="B160" s="17">
        <f t="shared" si="9"/>
        <v>46265</v>
      </c>
      <c r="C160" s="26">
        <f>I160+J160+K160+L160+M160+N160+O160+IF(P160="",0,P160*サマリー!$B$9)+IF(Q160="",0,IF(Q160=200,サマリー!$B$10,IF(Q160=100,サマリー!$B$11,0)))+IF(R160="",0,R160*サマリー!$B$12)</f>
        <v>8255</v>
      </c>
      <c r="D160" s="26">
        <f>S160+T160+U160+V160+W160+IF(X160="",0,X160*サマリー!$B$9)+IF(Y160="",0,IF(Y160=200,サマリー!$B$10,IF(Y160=100,サマリー!$B$11,0)))+IF(Z160="",0,Z160*サマリー!$B$12)</f>
        <v>27300</v>
      </c>
      <c r="E160" s="26">
        <f t="shared" si="8"/>
        <v>35555</v>
      </c>
      <c r="I160" s="29"/>
      <c r="J160" s="29"/>
      <c r="K160" s="29"/>
      <c r="L160" s="29"/>
      <c r="M160" s="29"/>
      <c r="N160" s="29">
        <v>8255</v>
      </c>
      <c r="O160" s="29"/>
      <c r="P160" s="30"/>
      <c r="Q160" s="30"/>
      <c r="R160" s="30"/>
      <c r="S160" s="31"/>
      <c r="T160" s="31">
        <v>27300</v>
      </c>
      <c r="U160" s="31"/>
      <c r="V160" s="31"/>
      <c r="W160" s="31"/>
      <c r="X160" s="32"/>
      <c r="Y160" s="32"/>
      <c r="Z160" s="32"/>
    </row>
    <row r="161" spans="1:26">
      <c r="A161" s="28"/>
      <c r="B161" s="17">
        <f t="shared" si="9"/>
        <v>46265</v>
      </c>
      <c r="C161" s="26">
        <f>I161+J161+K161+L161+M161+N161+O161+IF(P161="",0,P161*サマリー!$B$9)+IF(Q161="",0,IF(Q161=200,サマリー!$B$10,IF(Q161=100,サマリー!$B$11,0)))+IF(R161="",0,R161*サマリー!$B$12)</f>
        <v>0</v>
      </c>
      <c r="D161" s="26">
        <f>S161+T161+U161+V161+W161+IF(X161="",0,X161*サマリー!$B$9)+IF(Y161="",0,IF(Y161=200,サマリー!$B$10,IF(Y161=100,サマリー!$B$11,0)))+IF(Z161="",0,Z161*サマリー!$B$12)</f>
        <v>5500</v>
      </c>
      <c r="E161" s="26">
        <f t="shared" si="8"/>
        <v>5500</v>
      </c>
      <c r="I161" s="29"/>
      <c r="J161" s="29"/>
      <c r="K161" s="29"/>
      <c r="L161" s="29"/>
      <c r="M161" s="29"/>
      <c r="N161" s="29"/>
      <c r="O161" s="29"/>
      <c r="P161" s="30"/>
      <c r="Q161" s="30"/>
      <c r="R161" s="30"/>
      <c r="S161" s="31"/>
      <c r="T161" s="31">
        <v>5500</v>
      </c>
      <c r="U161" s="31"/>
      <c r="V161" s="31"/>
      <c r="W161" s="31"/>
      <c r="X161" s="32"/>
      <c r="Y161" s="32"/>
      <c r="Z161" s="32"/>
    </row>
    <row r="162" spans="1:26">
      <c r="A162" s="28">
        <v>1</v>
      </c>
      <c r="B162" s="17">
        <f t="shared" si="9"/>
        <v>46266</v>
      </c>
      <c r="C162" s="26">
        <f>I162+J162+K162+L162+M162+N162+O162+IF(P162="",0,P162*サマリー!$B$9)+IF(Q162="",0,IF(Q162=200,サマリー!$B$10,IF(Q162=100,サマリー!$B$11,0)))+IF(R162="",0,R162*サマリー!$B$12)</f>
        <v>79400</v>
      </c>
      <c r="D162" s="26">
        <f>S162+T162+U162+V162+W162+IF(X162="",0,X162*サマリー!$B$9)+IF(Y162="",0,IF(Y162=200,サマリー!$B$10,IF(Y162=100,サマリー!$B$11,0)))+IF(Z162="",0,Z162*サマリー!$B$12)</f>
        <v>3755</v>
      </c>
      <c r="E162" s="26">
        <f t="shared" si="8"/>
        <v>83155</v>
      </c>
      <c r="I162" s="29"/>
      <c r="J162" s="29"/>
      <c r="K162" s="29"/>
      <c r="L162" s="29"/>
      <c r="M162" s="29"/>
      <c r="N162" s="29">
        <v>4400</v>
      </c>
      <c r="O162" s="29"/>
      <c r="P162" s="30">
        <v>3</v>
      </c>
      <c r="Q162" s="30"/>
      <c r="R162" s="30"/>
      <c r="S162" s="31"/>
      <c r="T162" s="31">
        <v>3755</v>
      </c>
      <c r="U162" s="31"/>
      <c r="V162" s="31"/>
      <c r="W162" s="31"/>
      <c r="X162" s="32"/>
      <c r="Y162" s="32"/>
      <c r="Z162" s="32"/>
    </row>
    <row r="163" spans="1:26">
      <c r="A163" s="28"/>
      <c r="B163" s="17">
        <f t="shared" si="9"/>
        <v>46266</v>
      </c>
      <c r="C163" s="26">
        <f>I163+J163+K163+L163+M163+N163+O163+IF(P163="",0,P163*サマリー!$B$9)+IF(Q163="",0,IF(Q163=200,サマリー!$B$10,IF(Q163=100,サマリー!$B$11,0)))+IF(R163="",0,R163*サマリー!$B$12)</f>
        <v>0</v>
      </c>
      <c r="D163" s="26">
        <f>S163+T163+U163+V163+W163+IF(X163="",0,X163*サマリー!$B$9)+IF(Y163="",0,IF(Y163=200,サマリー!$B$10,IF(Y163=100,サマリー!$B$11,0)))+IF(Z163="",0,Z163*サマリー!$B$12)</f>
        <v>49635</v>
      </c>
      <c r="E163" s="26">
        <f t="shared" si="8"/>
        <v>49635</v>
      </c>
      <c r="I163" s="29"/>
      <c r="J163" s="29"/>
      <c r="K163" s="29"/>
      <c r="L163" s="29"/>
      <c r="M163" s="29"/>
      <c r="N163" s="29"/>
      <c r="O163" s="29"/>
      <c r="P163" s="30"/>
      <c r="Q163" s="30"/>
      <c r="R163" s="30"/>
      <c r="S163" s="31">
        <v>42394</v>
      </c>
      <c r="T163" s="31"/>
      <c r="U163" s="31"/>
      <c r="V163" s="31"/>
      <c r="W163" s="31"/>
      <c r="X163" s="32"/>
      <c r="Y163" s="32">
        <v>200</v>
      </c>
      <c r="Z163" s="32"/>
    </row>
    <row r="164" spans="1:26">
      <c r="A164" s="28"/>
      <c r="B164" s="17">
        <f t="shared" si="9"/>
        <v>46266</v>
      </c>
      <c r="C164" s="26">
        <f>I164+J164+K164+L164+M164+N164+O164+IF(P164="",0,P164*サマリー!$B$9)+IF(Q164="",0,IF(Q164=200,サマリー!$B$10,IF(Q164=100,サマリー!$B$11,0)))+IF(R164="",0,R164*サマリー!$B$12)</f>
        <v>0</v>
      </c>
      <c r="D164" s="26">
        <f>S164+T164+U164+V164+W164+IF(X164="",0,X164*サマリー!$B$9)+IF(Y164="",0,IF(Y164=200,サマリー!$B$10,IF(Y164=100,サマリー!$B$11,0)))+IF(Z164="",0,Z164*サマリー!$B$12)</f>
        <v>2200</v>
      </c>
      <c r="E164" s="26">
        <f t="shared" si="8"/>
        <v>2200</v>
      </c>
      <c r="I164" s="29"/>
      <c r="J164" s="29"/>
      <c r="K164" s="29"/>
      <c r="L164" s="29"/>
      <c r="M164" s="29"/>
      <c r="N164" s="29"/>
      <c r="O164" s="29"/>
      <c r="P164" s="30"/>
      <c r="Q164" s="30"/>
      <c r="R164" s="30"/>
      <c r="S164" s="31"/>
      <c r="T164" s="31">
        <v>2200</v>
      </c>
      <c r="U164" s="31"/>
      <c r="V164" s="31"/>
      <c r="W164" s="31"/>
      <c r="X164" s="32"/>
      <c r="Y164" s="32"/>
      <c r="Z164" s="32"/>
    </row>
    <row r="165" spans="1:26">
      <c r="A165" s="28">
        <v>2</v>
      </c>
      <c r="B165" s="17">
        <f t="shared" si="9"/>
        <v>46267</v>
      </c>
      <c r="C165" s="26">
        <f>I165+J165+K165+L165+M165+N165+O165+IF(P165="",0,P165*サマリー!$B$9)+IF(Q165="",0,IF(Q165=200,サマリー!$B$10,IF(Q165=100,サマリー!$B$11,0)))+IF(R165="",0,R165*サマリー!$B$12)</f>
        <v>4955</v>
      </c>
      <c r="D165" s="26">
        <f>S165+T165+U165+V165+W165+IF(X165="",0,X165*サマリー!$B$9)+IF(Y165="",0,IF(Y165=200,サマリー!$B$10,IF(Y165=100,サマリー!$B$11,0)))+IF(Z165="",0,Z165*サマリー!$B$12)</f>
        <v>0</v>
      </c>
      <c r="E165" s="26">
        <f t="shared" si="8"/>
        <v>4955</v>
      </c>
      <c r="I165" s="29"/>
      <c r="J165" s="29">
        <v>4955</v>
      </c>
      <c r="K165" s="29"/>
      <c r="L165" s="29"/>
      <c r="M165" s="29"/>
      <c r="N165" s="29"/>
      <c r="O165" s="29"/>
      <c r="P165" s="30"/>
      <c r="Q165" s="30"/>
      <c r="R165" s="30"/>
      <c r="S165" s="31"/>
      <c r="T165" s="31"/>
      <c r="U165" s="31"/>
      <c r="V165" s="31"/>
      <c r="W165" s="31"/>
      <c r="X165" s="32"/>
      <c r="Y165" s="32"/>
      <c r="Z165" s="32"/>
    </row>
    <row r="166" spans="1:26">
      <c r="A166" s="28"/>
      <c r="B166" s="17">
        <f t="shared" si="9"/>
        <v>46267</v>
      </c>
      <c r="C166" s="26">
        <f>I166+J166+K166+L166+M166+N166+O166+IF(P166="",0,P166*サマリー!$B$9)+IF(Q166="",0,IF(Q166=200,サマリー!$B$10,IF(Q166=100,サマリー!$B$11,0)))+IF(R166="",0,R166*サマリー!$B$12)</f>
        <v>1755</v>
      </c>
      <c r="D166" s="26">
        <f>S166+T166+U166+V166+W166+IF(X166="",0,X166*サマリー!$B$9)+IF(Y166="",0,IF(Y166=200,サマリー!$B$10,IF(Y166=100,サマリー!$B$11,0)))+IF(Z166="",0,Z166*サマリー!$B$12)</f>
        <v>0</v>
      </c>
      <c r="E166" s="26">
        <f t="shared" ref="E166:E197" si="10">C166+D166</f>
        <v>1755</v>
      </c>
      <c r="I166" s="29"/>
      <c r="J166" s="29">
        <v>1755</v>
      </c>
      <c r="K166" s="29"/>
      <c r="L166" s="29"/>
      <c r="M166" s="29"/>
      <c r="N166" s="29"/>
      <c r="O166" s="29"/>
      <c r="P166" s="30"/>
      <c r="Q166" s="30"/>
      <c r="R166" s="30"/>
      <c r="S166" s="31"/>
      <c r="T166" s="31"/>
      <c r="U166" s="31"/>
      <c r="V166" s="31"/>
      <c r="W166" s="31"/>
      <c r="X166" s="32"/>
      <c r="Y166" s="32"/>
      <c r="Z166" s="32"/>
    </row>
    <row r="167" spans="1:26">
      <c r="A167" s="28"/>
      <c r="B167" s="17">
        <f t="shared" ref="B167:B198" si="11">IF(A167="",B166,IF(A167&lt;DAY(B166),DATE(YEAR(B166),MONTH(B166)+1,A167),DATE(YEAR(B166),MONTH(B166),A167)))</f>
        <v>46267</v>
      </c>
      <c r="C167" s="26">
        <f>I167+J167+K167+L167+M167+N167+O167+IF(P167="",0,P167*サマリー!$B$9)+IF(Q167="",0,IF(Q167=200,サマリー!$B$10,IF(Q167=100,サマリー!$B$11,0)))+IF(R167="",0,R167*サマリー!$B$12)</f>
        <v>18279</v>
      </c>
      <c r="D167" s="26">
        <f>S167+T167+U167+V167+W167+IF(X167="",0,X167*サマリー!$B$9)+IF(Y167="",0,IF(Y167=200,サマリー!$B$10,IF(Y167=100,サマリー!$B$11,0)))+IF(Z167="",0,Z167*サマリー!$B$12)</f>
        <v>0</v>
      </c>
      <c r="E167" s="26">
        <f t="shared" si="10"/>
        <v>18279</v>
      </c>
      <c r="I167" s="29"/>
      <c r="J167" s="29">
        <v>18279</v>
      </c>
      <c r="K167" s="29"/>
      <c r="L167" s="29"/>
      <c r="M167" s="29"/>
      <c r="N167" s="29"/>
      <c r="O167" s="29"/>
      <c r="P167" s="30"/>
      <c r="Q167" s="30"/>
      <c r="R167" s="30"/>
      <c r="S167" s="31"/>
      <c r="T167" s="31"/>
      <c r="U167" s="31"/>
      <c r="V167" s="31"/>
      <c r="W167" s="31"/>
      <c r="X167" s="32"/>
      <c r="Y167" s="32"/>
      <c r="Z167" s="32"/>
    </row>
    <row r="168" spans="1:26">
      <c r="A168" s="28">
        <v>3</v>
      </c>
      <c r="B168" s="17">
        <f t="shared" si="11"/>
        <v>46268</v>
      </c>
      <c r="C168" s="26">
        <f>I168+J168+K168+L168+M168+N168+O168+IF(P168="",0,P168*サマリー!$B$9)+IF(Q168="",0,IF(Q168=200,サマリー!$B$10,IF(Q168=100,サマリー!$B$11,0)))+IF(R168="",0,R168*サマリー!$B$12)</f>
        <v>51655</v>
      </c>
      <c r="D168" s="26">
        <f>S168+T168+U168+V168+W168+IF(X168="",0,X168*サマリー!$B$9)+IF(Y168="",0,IF(Y168=200,サマリー!$B$10,IF(Y168=100,サマリー!$B$11,0)))+IF(Z168="",0,Z168*サマリー!$B$12)</f>
        <v>1755</v>
      </c>
      <c r="E168" s="26">
        <f t="shared" si="10"/>
        <v>53410</v>
      </c>
      <c r="I168" s="29"/>
      <c r="J168" s="29">
        <v>1655</v>
      </c>
      <c r="K168" s="29"/>
      <c r="L168" s="29"/>
      <c r="M168" s="29"/>
      <c r="N168" s="29"/>
      <c r="O168" s="29"/>
      <c r="P168" s="30">
        <v>2</v>
      </c>
      <c r="Q168" s="30"/>
      <c r="R168" s="30"/>
      <c r="S168" s="31"/>
      <c r="T168" s="31">
        <v>1755</v>
      </c>
      <c r="U168" s="31"/>
      <c r="V168" s="31"/>
      <c r="W168" s="31"/>
      <c r="X168" s="32"/>
      <c r="Y168" s="32"/>
      <c r="Z168" s="32"/>
    </row>
    <row r="169" spans="1:26">
      <c r="A169" s="28">
        <v>4</v>
      </c>
      <c r="B169" s="17">
        <f t="shared" si="11"/>
        <v>46269</v>
      </c>
      <c r="C169" s="26">
        <f>I169+J169+K169+L169+M169+N169+O169+IF(P169="",0,P169*サマリー!$B$9)+IF(Q169="",0,IF(Q169=200,サマリー!$B$10,IF(Q169=100,サマリー!$B$11,0)))+IF(R169="",0,R169*サマリー!$B$12)</f>
        <v>6400</v>
      </c>
      <c r="D169" s="26">
        <f>S169+T169+U169+V169+W169+IF(X169="",0,X169*サマリー!$B$9)+IF(Y169="",0,IF(Y169=200,サマリー!$B$10,IF(Y169=100,サマリー!$B$11,0)))+IF(Z169="",0,Z169*サマリー!$B$12)</f>
        <v>33595</v>
      </c>
      <c r="E169" s="26">
        <f t="shared" si="10"/>
        <v>39995</v>
      </c>
      <c r="I169" s="29"/>
      <c r="J169" s="29">
        <v>6400</v>
      </c>
      <c r="K169" s="29"/>
      <c r="L169" s="29"/>
      <c r="M169" s="29"/>
      <c r="N169" s="29"/>
      <c r="O169" s="29"/>
      <c r="P169" s="30"/>
      <c r="Q169" s="30"/>
      <c r="R169" s="30"/>
      <c r="S169" s="31"/>
      <c r="T169" s="31">
        <v>28840</v>
      </c>
      <c r="U169" s="31"/>
      <c r="V169" s="31">
        <v>4755</v>
      </c>
      <c r="W169" s="31"/>
      <c r="X169" s="32"/>
      <c r="Y169" s="32"/>
      <c r="Z169" s="32"/>
    </row>
    <row r="170" spans="1:26">
      <c r="A170" s="28"/>
      <c r="B170" s="17">
        <f t="shared" si="11"/>
        <v>46269</v>
      </c>
      <c r="C170" s="26">
        <f>I170+J170+K170+L170+M170+N170+O170+IF(P170="",0,P170*サマリー!$B$9)+IF(Q170="",0,IF(Q170=200,サマリー!$B$10,IF(Q170=100,サマリー!$B$11,0)))+IF(R170="",0,R170*サマリー!$B$12)</f>
        <v>0</v>
      </c>
      <c r="D170" s="26">
        <f>S170+T170+U170+V170+W170+IF(X170="",0,X170*サマリー!$B$9)+IF(Y170="",0,IF(Y170=200,サマリー!$B$10,IF(Y170=100,サマリー!$B$11,0)))+IF(Z170="",0,Z170*サマリー!$B$12)</f>
        <v>3319</v>
      </c>
      <c r="E170" s="26">
        <f t="shared" si="10"/>
        <v>3319</v>
      </c>
      <c r="I170" s="29"/>
      <c r="J170" s="29"/>
      <c r="K170" s="29"/>
      <c r="L170" s="29"/>
      <c r="M170" s="29"/>
      <c r="N170" s="29"/>
      <c r="O170" s="29"/>
      <c r="P170" s="30"/>
      <c r="Q170" s="30"/>
      <c r="R170" s="30"/>
      <c r="S170" s="31"/>
      <c r="T170" s="31"/>
      <c r="U170" s="31"/>
      <c r="V170" s="31">
        <v>3319</v>
      </c>
      <c r="W170" s="31"/>
      <c r="X170" s="32"/>
      <c r="Y170" s="32"/>
      <c r="Z170" s="32"/>
    </row>
    <row r="171" spans="1:26">
      <c r="A171" s="28">
        <v>5</v>
      </c>
      <c r="B171" s="17">
        <f t="shared" si="11"/>
        <v>46270</v>
      </c>
      <c r="C171" s="26">
        <f>I171+J171+K171+L171+M171+N171+O171+IF(P171="",0,P171*サマリー!$B$9)+IF(Q171="",0,IF(Q171=200,サマリー!$B$10,IF(Q171=100,サマリー!$B$11,0)))+IF(R171="",0,R171*サマリー!$B$12)</f>
        <v>16865</v>
      </c>
      <c r="D171" s="26">
        <f>S171+T171+U171+V171+W171+IF(X171="",0,X171*サマリー!$B$9)+IF(Y171="",0,IF(Y171=200,サマリー!$B$10,IF(Y171=100,サマリー!$B$11,0)))+IF(Z171="",0,Z171*サマリー!$B$12)</f>
        <v>555</v>
      </c>
      <c r="E171" s="26">
        <f t="shared" si="10"/>
        <v>17420</v>
      </c>
      <c r="I171" s="29"/>
      <c r="J171" s="29">
        <v>16865</v>
      </c>
      <c r="K171" s="29"/>
      <c r="L171" s="29"/>
      <c r="M171" s="29"/>
      <c r="N171" s="29"/>
      <c r="O171" s="29"/>
      <c r="P171" s="30"/>
      <c r="Q171" s="30"/>
      <c r="R171" s="30"/>
      <c r="S171" s="31"/>
      <c r="T171" s="31">
        <v>555</v>
      </c>
      <c r="U171" s="31"/>
      <c r="V171" s="31"/>
      <c r="W171" s="31"/>
      <c r="X171" s="32"/>
      <c r="Y171" s="32"/>
      <c r="Z171" s="32"/>
    </row>
    <row r="172" spans="1:26">
      <c r="A172" s="28">
        <v>6</v>
      </c>
      <c r="B172" s="17">
        <f t="shared" si="11"/>
        <v>46271</v>
      </c>
      <c r="C172" s="26">
        <f>I172+J172+K172+L172+M172+N172+O172+IF(P172="",0,P172*サマリー!$B$9)+IF(Q172="",0,IF(Q172=200,サマリー!$B$10,IF(Q172=100,サマリー!$B$11,0)))+IF(R172="",0,R172*サマリー!$B$12)</f>
        <v>0</v>
      </c>
      <c r="D172" s="26">
        <f>S172+T172+U172+V172+W172+IF(X172="",0,X172*サマリー!$B$9)+IF(Y172="",0,IF(Y172=200,サマリー!$B$10,IF(Y172=100,サマリー!$B$11,0)))+IF(Z172="",0,Z172*サマリー!$B$12)</f>
        <v>5082</v>
      </c>
      <c r="E172" s="26">
        <f t="shared" si="10"/>
        <v>5082</v>
      </c>
      <c r="I172" s="29"/>
      <c r="J172" s="29"/>
      <c r="K172" s="29"/>
      <c r="L172" s="29"/>
      <c r="M172" s="29"/>
      <c r="N172" s="29"/>
      <c r="O172" s="29"/>
      <c r="P172" s="30"/>
      <c r="Q172" s="30"/>
      <c r="R172" s="30"/>
      <c r="S172" s="31"/>
      <c r="T172" s="31">
        <v>5082</v>
      </c>
      <c r="U172" s="31"/>
      <c r="V172" s="31"/>
      <c r="W172" s="31"/>
      <c r="X172" s="32"/>
      <c r="Y172" s="32"/>
      <c r="Z172" s="32"/>
    </row>
    <row r="173" spans="1:26">
      <c r="A173" s="28"/>
      <c r="B173" s="17">
        <f t="shared" si="11"/>
        <v>46271</v>
      </c>
      <c r="C173" s="26">
        <f>I173+J173+K173+L173+M173+N173+O173+IF(P173="",0,P173*サマリー!$B$9)+IF(Q173="",0,IF(Q173=200,サマリー!$B$10,IF(Q173=100,サマリー!$B$11,0)))+IF(R173="",0,R173*サマリー!$B$12)</f>
        <v>0</v>
      </c>
      <c r="D173" s="26">
        <f>S173+T173+U173+V173+W173+IF(X173="",0,X173*サマリー!$B$9)+IF(Y173="",0,IF(Y173=200,サマリー!$B$10,IF(Y173=100,サマリー!$B$11,0)))+IF(Z173="",0,Z173*サマリー!$B$12)</f>
        <v>5519</v>
      </c>
      <c r="E173" s="26">
        <f t="shared" si="10"/>
        <v>5519</v>
      </c>
      <c r="I173" s="29"/>
      <c r="J173" s="29"/>
      <c r="K173" s="29"/>
      <c r="L173" s="29"/>
      <c r="M173" s="29"/>
      <c r="N173" s="29"/>
      <c r="O173" s="29"/>
      <c r="P173" s="30"/>
      <c r="Q173" s="30"/>
      <c r="R173" s="30"/>
      <c r="S173" s="31"/>
      <c r="T173" s="31">
        <v>5519</v>
      </c>
      <c r="U173" s="31"/>
      <c r="V173" s="31"/>
      <c r="W173" s="31"/>
      <c r="X173" s="32"/>
      <c r="Y173" s="32"/>
      <c r="Z173" s="32"/>
    </row>
    <row r="174" spans="1:26">
      <c r="A174" s="28"/>
      <c r="B174" s="17">
        <f t="shared" si="11"/>
        <v>46271</v>
      </c>
      <c r="C174" s="26">
        <f>I174+J174+K174+L174+M174+N174+O174+IF(P174="",0,P174*サマリー!$B$9)+IF(Q174="",0,IF(Q174=200,サマリー!$B$10,IF(Q174=100,サマリー!$B$11,0)))+IF(R174="",0,R174*サマリー!$B$12)</f>
        <v>0</v>
      </c>
      <c r="D174" s="26">
        <f>S174+T174+U174+V174+W174+IF(X174="",0,X174*サマリー!$B$9)+IF(Y174="",0,IF(Y174=200,サマリー!$B$10,IF(Y174=100,サマリー!$B$11,0)))+IF(Z174="",0,Z174*サマリー!$B$12)</f>
        <v>29200</v>
      </c>
      <c r="E174" s="26">
        <f t="shared" si="10"/>
        <v>29200</v>
      </c>
      <c r="I174" s="29"/>
      <c r="J174" s="29"/>
      <c r="K174" s="29"/>
      <c r="L174" s="29"/>
      <c r="M174" s="29"/>
      <c r="N174" s="29"/>
      <c r="O174" s="29"/>
      <c r="P174" s="30"/>
      <c r="Q174" s="30"/>
      <c r="R174" s="30"/>
      <c r="S174" s="31">
        <v>29200</v>
      </c>
      <c r="T174" s="31"/>
      <c r="U174" s="31"/>
      <c r="V174" s="31"/>
      <c r="W174" s="31"/>
      <c r="X174" s="32"/>
      <c r="Y174" s="32"/>
      <c r="Z174" s="32"/>
    </row>
    <row r="175" spans="1:26">
      <c r="A175" s="28">
        <v>7</v>
      </c>
      <c r="B175" s="17">
        <f t="shared" si="11"/>
        <v>46272</v>
      </c>
      <c r="C175" s="26">
        <f>I175+J175+K175+L175+M175+N175+O175+IF(P175="",0,P175*サマリー!$B$9)+IF(Q175="",0,IF(Q175=200,サマリー!$B$10,IF(Q175=100,サマリー!$B$11,0)))+IF(R175="",0,R175*サマリー!$B$12)</f>
        <v>12319</v>
      </c>
      <c r="D175" s="26">
        <f>S175+T175+U175+V175+W175+IF(X175="",0,X175*サマリー!$B$9)+IF(Y175="",0,IF(Y175=200,サマリー!$B$10,IF(Y175=100,サマリー!$B$11,0)))+IF(Z175="",0,Z175*サマリー!$B$12)</f>
        <v>3755</v>
      </c>
      <c r="E175" s="26">
        <f t="shared" si="10"/>
        <v>16074</v>
      </c>
      <c r="I175" s="29"/>
      <c r="J175" s="29"/>
      <c r="K175" s="29"/>
      <c r="L175" s="29"/>
      <c r="M175" s="29"/>
      <c r="N175" s="29">
        <v>12319</v>
      </c>
      <c r="O175" s="29"/>
      <c r="P175" s="30"/>
      <c r="Q175" s="30"/>
      <c r="R175" s="30"/>
      <c r="S175" s="31"/>
      <c r="T175" s="31">
        <v>3755</v>
      </c>
      <c r="U175" s="31"/>
      <c r="V175" s="31"/>
      <c r="W175" s="31"/>
      <c r="X175" s="32"/>
      <c r="Y175" s="32"/>
      <c r="Z175" s="32"/>
    </row>
    <row r="176" spans="1:26">
      <c r="A176" s="28">
        <v>8</v>
      </c>
      <c r="B176" s="17">
        <f t="shared" si="11"/>
        <v>46273</v>
      </c>
      <c r="C176" s="26">
        <f>I176+J176+K176+L176+M176+N176+O176+IF(P176="",0,P176*サマリー!$B$9)+IF(Q176="",0,IF(Q176=200,サマリー!$B$10,IF(Q176=100,サマリー!$B$11,0)))+IF(R176="",0,R176*サマリー!$B$12)</f>
        <v>35550</v>
      </c>
      <c r="D176" s="26">
        <f>S176+T176+U176+V176+W176+IF(X176="",0,X176*サマリー!$B$9)+IF(Y176="",0,IF(Y176=200,サマリー!$B$10,IF(Y176=100,サマリー!$B$11,0)))+IF(Z176="",0,Z176*サマリー!$B$12)</f>
        <v>0</v>
      </c>
      <c r="E176" s="26">
        <f t="shared" si="10"/>
        <v>35550</v>
      </c>
      <c r="I176" s="29"/>
      <c r="J176" s="29">
        <v>35550</v>
      </c>
      <c r="K176" s="29"/>
      <c r="L176" s="29"/>
      <c r="M176" s="29"/>
      <c r="N176" s="29"/>
      <c r="O176" s="29"/>
      <c r="P176" s="30"/>
      <c r="Q176" s="30"/>
      <c r="R176" s="30"/>
      <c r="S176" s="31"/>
      <c r="T176" s="31"/>
      <c r="U176" s="31"/>
      <c r="V176" s="31"/>
      <c r="W176" s="31"/>
      <c r="X176" s="32"/>
      <c r="Y176" s="32"/>
      <c r="Z176" s="32"/>
    </row>
    <row r="177" spans="1:26">
      <c r="A177" s="28"/>
      <c r="B177" s="17">
        <f t="shared" si="11"/>
        <v>46273</v>
      </c>
      <c r="C177" s="26">
        <f>I177+J177+K177+L177+M177+N177+O177+IF(P177="",0,P177*サマリー!$B$9)+IF(Q177="",0,IF(Q177=200,サマリー!$B$10,IF(Q177=100,サマリー!$B$11,0)))+IF(R177="",0,R177*サマリー!$B$12)</f>
        <v>66690</v>
      </c>
      <c r="D177" s="26">
        <f>S177+T177+U177+V177+W177+IF(X177="",0,X177*サマリー!$B$9)+IF(Y177="",0,IF(Y177=200,サマリー!$B$10,IF(Y177=100,サマリー!$B$11,0)))+IF(Z177="",0,Z177*サマリー!$B$12)</f>
        <v>0</v>
      </c>
      <c r="E177" s="26">
        <f t="shared" si="10"/>
        <v>66690</v>
      </c>
      <c r="I177" s="29">
        <v>26600</v>
      </c>
      <c r="J177" s="29"/>
      <c r="K177" s="29">
        <v>10090</v>
      </c>
      <c r="L177" s="29"/>
      <c r="M177" s="29"/>
      <c r="N177" s="29"/>
      <c r="O177" s="29"/>
      <c r="P177" s="30"/>
      <c r="Q177" s="30"/>
      <c r="R177" s="30">
        <v>1</v>
      </c>
      <c r="S177" s="31"/>
      <c r="T177" s="31"/>
      <c r="U177" s="31"/>
      <c r="V177" s="31"/>
      <c r="W177" s="31"/>
      <c r="X177" s="32"/>
      <c r="Y177" s="32"/>
      <c r="Z177" s="32"/>
    </row>
    <row r="178" spans="1:26">
      <c r="A178" s="28"/>
      <c r="B178" s="17">
        <f t="shared" si="11"/>
        <v>46273</v>
      </c>
      <c r="C178" s="26">
        <f>I178+J178+K178+L178+M178+N178+O178+IF(P178="",0,P178*サマリー!$B$9)+IF(Q178="",0,IF(Q178=200,サマリー!$B$10,IF(Q178=100,サマリー!$B$11,0)))+IF(R178="",0,R178*サマリー!$B$12)</f>
        <v>555</v>
      </c>
      <c r="D178" s="26">
        <f>S178+T178+U178+V178+W178+IF(X178="",0,X178*サマリー!$B$9)+IF(Y178="",0,IF(Y178=200,サマリー!$B$10,IF(Y178=100,サマリー!$B$11,0)))+IF(Z178="",0,Z178*サマリー!$B$12)</f>
        <v>0</v>
      </c>
      <c r="E178" s="26">
        <f t="shared" si="10"/>
        <v>555</v>
      </c>
      <c r="I178" s="29">
        <v>555</v>
      </c>
      <c r="J178" s="29"/>
      <c r="K178" s="29"/>
      <c r="L178" s="29"/>
      <c r="M178" s="29"/>
      <c r="N178" s="29"/>
      <c r="O178" s="29"/>
      <c r="P178" s="30"/>
      <c r="Q178" s="30"/>
      <c r="R178" s="30"/>
      <c r="S178" s="31"/>
      <c r="T178" s="31"/>
      <c r="U178" s="31"/>
      <c r="V178" s="31"/>
      <c r="W178" s="31"/>
      <c r="X178" s="32"/>
      <c r="Y178" s="32"/>
      <c r="Z178" s="32"/>
    </row>
    <row r="179" spans="1:26">
      <c r="A179" s="28"/>
      <c r="B179" s="17">
        <f t="shared" si="11"/>
        <v>46273</v>
      </c>
      <c r="C179" s="26">
        <f>I179+J179+K179+L179+M179+N179+O179+IF(P179="",0,P179*サマリー!$B$9)+IF(Q179="",0,IF(Q179=200,サマリー!$B$10,IF(Q179=100,サマリー!$B$11,0)))+IF(R179="",0,R179*サマリー!$B$12)</f>
        <v>35279</v>
      </c>
      <c r="D179" s="26">
        <f>S179+T179+U179+V179+W179+IF(X179="",0,X179*サマリー!$B$9)+IF(Y179="",0,IF(Y179=200,サマリー!$B$10,IF(Y179=100,サマリー!$B$11,0)))+IF(Z179="",0,Z179*サマリー!$B$12)</f>
        <v>0</v>
      </c>
      <c r="E179" s="26">
        <f t="shared" si="10"/>
        <v>35279</v>
      </c>
      <c r="I179" s="29">
        <v>28038</v>
      </c>
      <c r="J179" s="29"/>
      <c r="K179" s="29"/>
      <c r="L179" s="29"/>
      <c r="M179" s="29"/>
      <c r="N179" s="29"/>
      <c r="O179" s="29"/>
      <c r="P179" s="30"/>
      <c r="Q179" s="30">
        <v>200</v>
      </c>
      <c r="R179" s="30"/>
      <c r="S179" s="31"/>
      <c r="T179" s="31"/>
      <c r="U179" s="31"/>
      <c r="V179" s="31"/>
      <c r="W179" s="31"/>
      <c r="X179" s="32"/>
      <c r="Y179" s="32"/>
      <c r="Z179" s="32"/>
    </row>
    <row r="180" spans="1:26">
      <c r="A180" s="28">
        <v>9</v>
      </c>
      <c r="B180" s="17">
        <f t="shared" si="11"/>
        <v>46274</v>
      </c>
      <c r="C180" s="26">
        <f>I180+J180+K180+L180+M180+N180+O180+IF(P180="",0,P180*サマリー!$B$9)+IF(Q180="",0,IF(Q180=200,サマリー!$B$10,IF(Q180=100,サマリー!$B$11,0)))+IF(R180="",0,R180*サマリー!$B$12)</f>
        <v>75000</v>
      </c>
      <c r="D180" s="26">
        <f>S180+T180+U180+V180+W180+IF(X180="",0,X180*サマリー!$B$9)+IF(Y180="",0,IF(Y180=200,サマリー!$B$10,IF(Y180=100,サマリー!$B$11,0)))+IF(Z180="",0,Z180*サマリー!$B$12)</f>
        <v>20097</v>
      </c>
      <c r="E180" s="26">
        <f t="shared" si="10"/>
        <v>95097</v>
      </c>
      <c r="I180" s="29"/>
      <c r="J180" s="29"/>
      <c r="K180" s="29"/>
      <c r="L180" s="29"/>
      <c r="M180" s="29"/>
      <c r="N180" s="29"/>
      <c r="O180" s="29"/>
      <c r="P180" s="30">
        <v>3</v>
      </c>
      <c r="Q180" s="30"/>
      <c r="R180" s="30"/>
      <c r="S180" s="31"/>
      <c r="T180" s="31">
        <v>14570</v>
      </c>
      <c r="U180" s="31">
        <v>5527</v>
      </c>
      <c r="V180" s="31"/>
      <c r="W180" s="31"/>
      <c r="X180" s="32"/>
      <c r="Y180" s="32"/>
      <c r="Z180" s="32"/>
    </row>
    <row r="181" spans="1:26">
      <c r="A181" s="28"/>
      <c r="B181" s="17">
        <f t="shared" si="11"/>
        <v>46274</v>
      </c>
      <c r="C181" s="26">
        <f>I181+J181+K181+L181+M181+N181+O181+IF(P181="",0,P181*サマリー!$B$9)+IF(Q181="",0,IF(Q181=200,サマリー!$B$10,IF(Q181=100,サマリー!$B$11,0)))+IF(R181="",0,R181*サマリー!$B$12)</f>
        <v>50000</v>
      </c>
      <c r="D181" s="26">
        <f>S181+T181+U181+V181+W181+IF(X181="",0,X181*サマリー!$B$9)+IF(Y181="",0,IF(Y181=200,サマリー!$B$10,IF(Y181=100,サマリー!$B$11,0)))+IF(Z181="",0,Z181*サマリー!$B$12)</f>
        <v>0</v>
      </c>
      <c r="E181" s="26">
        <f t="shared" si="10"/>
        <v>50000</v>
      </c>
      <c r="I181" s="29"/>
      <c r="J181" s="29"/>
      <c r="K181" s="29"/>
      <c r="L181" s="29"/>
      <c r="M181" s="29"/>
      <c r="N181" s="29"/>
      <c r="O181" s="29"/>
      <c r="P181" s="30">
        <v>2</v>
      </c>
      <c r="Q181" s="30"/>
      <c r="R181" s="30"/>
      <c r="S181" s="31"/>
      <c r="T181" s="31"/>
      <c r="U181" s="31"/>
      <c r="V181" s="31"/>
      <c r="W181" s="31"/>
      <c r="X181" s="32"/>
      <c r="Y181" s="32"/>
      <c r="Z181" s="32"/>
    </row>
    <row r="182" spans="1:26">
      <c r="A182" s="28">
        <v>10</v>
      </c>
      <c r="B182" s="17">
        <f t="shared" si="11"/>
        <v>46275</v>
      </c>
      <c r="C182" s="26">
        <f>I182+J182+K182+L182+M182+N182+O182+IF(P182="",0,P182*サマリー!$B$9)+IF(Q182="",0,IF(Q182=200,サマリー!$B$10,IF(Q182=100,サマリー!$B$11,0)))+IF(R182="",0,R182*サマリー!$B$12)</f>
        <v>0</v>
      </c>
      <c r="D182" s="26">
        <f>S182+T182+U182+V182+W182+IF(X182="",0,X182*サマリー!$B$9)+IF(Y182="",0,IF(Y182=200,サマリー!$B$10,IF(Y182=100,サマリー!$B$11,0)))+IF(Z182="",0,Z182*サマリー!$B$12)</f>
        <v>4628</v>
      </c>
      <c r="E182" s="26">
        <f t="shared" si="10"/>
        <v>4628</v>
      </c>
      <c r="I182" s="29"/>
      <c r="J182" s="29"/>
      <c r="K182" s="29"/>
      <c r="L182" s="29"/>
      <c r="M182" s="29"/>
      <c r="N182" s="29"/>
      <c r="O182" s="29"/>
      <c r="P182" s="30"/>
      <c r="Q182" s="30"/>
      <c r="R182" s="30"/>
      <c r="S182" s="31"/>
      <c r="T182" s="31">
        <v>4628</v>
      </c>
      <c r="U182" s="31"/>
      <c r="V182" s="31"/>
      <c r="W182" s="31"/>
      <c r="X182" s="32"/>
      <c r="Y182" s="32"/>
      <c r="Z182" s="32"/>
    </row>
    <row r="183" spans="1:26">
      <c r="A183" s="28">
        <v>11</v>
      </c>
      <c r="B183" s="17">
        <f t="shared" si="11"/>
        <v>46276</v>
      </c>
      <c r="C183" s="26">
        <f>I183+J183+K183+L183+M183+N183+O183+IF(P183="",0,P183*サマリー!$B$9)+IF(Q183="",0,IF(Q183=200,サマリー!$B$10,IF(Q183=100,サマリー!$B$11,0)))+IF(R183="",0,R183*サマリー!$B$12)</f>
        <v>24519</v>
      </c>
      <c r="D183" s="26">
        <f>S183+T183+U183+V183+W183+IF(X183="",0,X183*サマリー!$B$9)+IF(Y183="",0,IF(Y183=200,サマリー!$B$10,IF(Y183=100,サマリー!$B$11,0)))+IF(Z183="",0,Z183*サマリー!$B$12)</f>
        <v>5519</v>
      </c>
      <c r="E183" s="26">
        <f t="shared" si="10"/>
        <v>30038</v>
      </c>
      <c r="I183" s="29">
        <v>24519</v>
      </c>
      <c r="J183" s="29"/>
      <c r="K183" s="29"/>
      <c r="L183" s="29"/>
      <c r="M183" s="29"/>
      <c r="N183" s="29"/>
      <c r="O183" s="29"/>
      <c r="P183" s="30"/>
      <c r="Q183" s="30"/>
      <c r="R183" s="30"/>
      <c r="S183" s="31"/>
      <c r="T183" s="31"/>
      <c r="U183" s="31"/>
      <c r="V183" s="31">
        <v>5519</v>
      </c>
      <c r="W183" s="31"/>
      <c r="X183" s="32"/>
      <c r="Y183" s="32"/>
      <c r="Z183" s="32"/>
    </row>
    <row r="184" spans="1:26">
      <c r="A184" s="28"/>
      <c r="B184" s="17">
        <f t="shared" si="11"/>
        <v>46276</v>
      </c>
      <c r="C184" s="26">
        <f>I184+J184+K184+L184+M184+N184+O184+IF(P184="",0,P184*サマリー!$B$9)+IF(Q184="",0,IF(Q184=200,サマリー!$B$10,IF(Q184=100,サマリー!$B$11,0)))+IF(R184="",0,R184*サマリー!$B$12)</f>
        <v>24519</v>
      </c>
      <c r="D184" s="26">
        <f>S184+T184+U184+V184+W184+IF(X184="",0,X184*サマリー!$B$9)+IF(Y184="",0,IF(Y184=200,サマリー!$B$10,IF(Y184=100,サマリー!$B$11,0)))+IF(Z184="",0,Z184*サマリー!$B$12)</f>
        <v>37586</v>
      </c>
      <c r="E184" s="26">
        <f t="shared" si="10"/>
        <v>62105</v>
      </c>
      <c r="I184" s="29">
        <v>24519</v>
      </c>
      <c r="J184" s="29"/>
      <c r="K184" s="29"/>
      <c r="L184" s="29"/>
      <c r="M184" s="29"/>
      <c r="N184" s="29"/>
      <c r="O184" s="29"/>
      <c r="P184" s="30"/>
      <c r="Q184" s="30"/>
      <c r="R184" s="30"/>
      <c r="S184" s="31"/>
      <c r="T184" s="31"/>
      <c r="U184" s="31">
        <v>2086</v>
      </c>
      <c r="V184" s="31">
        <v>5500</v>
      </c>
      <c r="W184" s="31"/>
      <c r="X184" s="32"/>
      <c r="Y184" s="32"/>
      <c r="Z184" s="32">
        <v>1</v>
      </c>
    </row>
    <row r="185" spans="1:26">
      <c r="A185" s="28"/>
      <c r="B185" s="17">
        <f t="shared" si="11"/>
        <v>46276</v>
      </c>
      <c r="C185" s="26">
        <f>I185+J185+K185+L185+M185+N185+O185+IF(P185="",0,P185*サマリー!$B$9)+IF(Q185="",0,IF(Q185=200,サマリー!$B$10,IF(Q185=100,サマリー!$B$11,0)))+IF(R185="",0,R185*サマリー!$B$12)</f>
        <v>18510</v>
      </c>
      <c r="D185" s="26">
        <f>S185+T185+U185+V185+W185+IF(X185="",0,X185*サマリー!$B$9)+IF(Y185="",0,IF(Y185=200,サマリー!$B$10,IF(Y185=100,サマリー!$B$11,0)))+IF(Z185="",0,Z185*サマリー!$B$12)</f>
        <v>14320</v>
      </c>
      <c r="E185" s="26">
        <f t="shared" si="10"/>
        <v>32830</v>
      </c>
      <c r="I185" s="29"/>
      <c r="J185" s="29">
        <v>18510</v>
      </c>
      <c r="K185" s="29"/>
      <c r="L185" s="29"/>
      <c r="M185" s="29"/>
      <c r="N185" s="29"/>
      <c r="O185" s="29"/>
      <c r="P185" s="30"/>
      <c r="Q185" s="30"/>
      <c r="R185" s="30"/>
      <c r="S185" s="31"/>
      <c r="T185" s="31"/>
      <c r="U185" s="31"/>
      <c r="V185" s="31">
        <v>14320</v>
      </c>
      <c r="W185" s="31"/>
      <c r="X185" s="32"/>
      <c r="Y185" s="32"/>
      <c r="Z185" s="32"/>
    </row>
    <row r="186" spans="1:26">
      <c r="A186" s="28">
        <v>12</v>
      </c>
      <c r="B186" s="17">
        <f t="shared" si="11"/>
        <v>46277</v>
      </c>
      <c r="C186" s="26">
        <f>I186+J186+K186+L186+M186+N186+O186+IF(P186="",0,P186*サマリー!$B$9)+IF(Q186="",0,IF(Q186=200,サマリー!$B$10,IF(Q186=100,サマリー!$B$11,0)))+IF(R186="",0,R186*サマリー!$B$12)</f>
        <v>44079</v>
      </c>
      <c r="D186" s="26">
        <f>S186+T186+U186+V186+W186+IF(X186="",0,X186*サマリー!$B$9)+IF(Y186="",0,IF(Y186=200,サマリー!$B$10,IF(Y186=100,サマリー!$B$11,0)))+IF(Z186="",0,Z186*サマリー!$B$12)</f>
        <v>0</v>
      </c>
      <c r="E186" s="26">
        <f t="shared" si="10"/>
        <v>44079</v>
      </c>
      <c r="I186" s="29">
        <v>36838</v>
      </c>
      <c r="J186" s="29"/>
      <c r="K186" s="29"/>
      <c r="L186" s="29"/>
      <c r="M186" s="29"/>
      <c r="N186" s="29"/>
      <c r="O186" s="29"/>
      <c r="P186" s="30"/>
      <c r="Q186" s="30">
        <v>200</v>
      </c>
      <c r="R186" s="30"/>
      <c r="S186" s="31"/>
      <c r="T186" s="31"/>
      <c r="U186" s="31"/>
      <c r="V186" s="31"/>
      <c r="W186" s="31"/>
      <c r="X186" s="32"/>
      <c r="Y186" s="32"/>
      <c r="Z186" s="32"/>
    </row>
    <row r="187" spans="1:26">
      <c r="A187" s="28"/>
      <c r="B187" s="17">
        <f t="shared" si="11"/>
        <v>46277</v>
      </c>
      <c r="C187" s="26">
        <f>I187+J187+K187+L187+M187+N187+O187+IF(P187="",0,P187*サマリー!$B$9)+IF(Q187="",0,IF(Q187=200,サマリー!$B$10,IF(Q187=100,サマリー!$B$11,0)))+IF(R187="",0,R187*サマリー!$B$12)</f>
        <v>46696</v>
      </c>
      <c r="D187" s="26">
        <f>S187+T187+U187+V187+W187+IF(X187="",0,X187*サマリー!$B$9)+IF(Y187="",0,IF(Y187=200,サマリー!$B$10,IF(Y187=100,サマリー!$B$11,0)))+IF(Z187="",0,Z187*サマリー!$B$12)</f>
        <v>0</v>
      </c>
      <c r="E187" s="26">
        <f t="shared" si="10"/>
        <v>46696</v>
      </c>
      <c r="I187" s="29">
        <v>39455</v>
      </c>
      <c r="J187" s="29"/>
      <c r="K187" s="29"/>
      <c r="L187" s="29"/>
      <c r="M187" s="29"/>
      <c r="N187" s="29"/>
      <c r="O187" s="29"/>
      <c r="P187" s="30"/>
      <c r="Q187" s="30">
        <v>200</v>
      </c>
      <c r="R187" s="30"/>
      <c r="S187" s="31"/>
      <c r="T187" s="31"/>
      <c r="U187" s="31"/>
      <c r="V187" s="31"/>
      <c r="W187" s="31"/>
      <c r="X187" s="32"/>
      <c r="Y187" s="32"/>
      <c r="Z187" s="32"/>
    </row>
    <row r="188" spans="1:26">
      <c r="A188" s="28">
        <v>13</v>
      </c>
      <c r="B188" s="17">
        <f t="shared" si="11"/>
        <v>46278</v>
      </c>
      <c r="C188" s="26">
        <f>I188+J188+K188+L188+M188+N188+O188+IF(P188="",0,P188*サマリー!$B$9)+IF(Q188="",0,IF(Q188=200,サマリー!$B$10,IF(Q188=100,サマリー!$B$11,0)))+IF(R188="",0,R188*サマリー!$B$12)</f>
        <v>26552</v>
      </c>
      <c r="D188" s="26">
        <f>S188+T188+U188+V188+W188+IF(X188="",0,X188*サマリー!$B$9)+IF(Y188="",0,IF(Y188=200,サマリー!$B$10,IF(Y188=100,サマリー!$B$11,0)))+IF(Z188="",0,Z188*サマリー!$B$12)</f>
        <v>4400</v>
      </c>
      <c r="E188" s="26">
        <f t="shared" si="10"/>
        <v>30952</v>
      </c>
      <c r="I188" s="29"/>
      <c r="J188" s="29">
        <v>19250</v>
      </c>
      <c r="K188" s="29">
        <v>7302</v>
      </c>
      <c r="L188" s="29"/>
      <c r="M188" s="29"/>
      <c r="N188" s="29"/>
      <c r="O188" s="29"/>
      <c r="P188" s="30"/>
      <c r="Q188" s="30"/>
      <c r="R188" s="30"/>
      <c r="S188" s="31"/>
      <c r="T188" s="31">
        <v>4400</v>
      </c>
      <c r="U188" s="31"/>
      <c r="V188" s="31"/>
      <c r="W188" s="31"/>
      <c r="X188" s="32"/>
      <c r="Y188" s="32"/>
      <c r="Z188" s="32"/>
    </row>
    <row r="189" spans="1:26">
      <c r="A189" s="28"/>
      <c r="B189" s="17">
        <f t="shared" si="11"/>
        <v>46278</v>
      </c>
      <c r="C189" s="26">
        <f>I189+J189+K189+L189+M189+N189+O189+IF(P189="",0,P189*サマリー!$B$9)+IF(Q189="",0,IF(Q189=200,サマリー!$B$10,IF(Q189=100,サマリー!$B$11,0)))+IF(R189="",0,R189*サマリー!$B$12)</f>
        <v>32359</v>
      </c>
      <c r="D189" s="26">
        <f>S189+T189+U189+V189+W189+IF(X189="",0,X189*サマリー!$B$9)+IF(Y189="",0,IF(Y189=200,サマリー!$B$10,IF(Y189=100,サマリー!$B$11,0)))+IF(Z189="",0,Z189*サマリー!$B$12)</f>
        <v>555</v>
      </c>
      <c r="E189" s="26">
        <f t="shared" si="10"/>
        <v>32914</v>
      </c>
      <c r="I189" s="29"/>
      <c r="J189" s="29">
        <v>32359</v>
      </c>
      <c r="K189" s="29"/>
      <c r="L189" s="29"/>
      <c r="M189" s="29"/>
      <c r="N189" s="29"/>
      <c r="O189" s="29"/>
      <c r="P189" s="30"/>
      <c r="Q189" s="30"/>
      <c r="R189" s="30"/>
      <c r="S189" s="31"/>
      <c r="T189" s="31">
        <v>555</v>
      </c>
      <c r="U189" s="31"/>
      <c r="V189" s="31"/>
      <c r="W189" s="31"/>
      <c r="X189" s="32"/>
      <c r="Y189" s="32"/>
      <c r="Z189" s="32"/>
    </row>
    <row r="190" spans="1:26">
      <c r="A190" s="28"/>
      <c r="B190" s="17">
        <f t="shared" si="11"/>
        <v>46278</v>
      </c>
      <c r="C190" s="26">
        <f>I190+J190+K190+L190+M190+N190+O190+IF(P190="",0,P190*サマリー!$B$9)+IF(Q190="",0,IF(Q190=200,サマリー!$B$10,IF(Q190=100,サマリー!$B$11,0)))+IF(R190="",0,R190*サマリー!$B$12)</f>
        <v>-7898</v>
      </c>
      <c r="D190" s="26">
        <f>S190+T190+U190+V190+W190+IF(X190="",0,X190*サマリー!$B$9)+IF(Y190="",0,IF(Y190=200,サマリー!$B$10,IF(Y190=100,サマリー!$B$11,0)))+IF(Z190="",0,Z190*サマリー!$B$12)</f>
        <v>30000</v>
      </c>
      <c r="E190" s="26">
        <f t="shared" si="10"/>
        <v>22102</v>
      </c>
      <c r="I190" s="29">
        <v>-7898</v>
      </c>
      <c r="J190" s="29"/>
      <c r="K190" s="29"/>
      <c r="L190" s="29"/>
      <c r="M190" s="29"/>
      <c r="N190" s="29"/>
      <c r="O190" s="29"/>
      <c r="P190" s="30"/>
      <c r="Q190" s="30"/>
      <c r="R190" s="30"/>
      <c r="S190" s="31"/>
      <c r="T190" s="31"/>
      <c r="U190" s="31"/>
      <c r="V190" s="31"/>
      <c r="W190" s="31"/>
      <c r="X190" s="32"/>
      <c r="Y190" s="32"/>
      <c r="Z190" s="32">
        <v>1</v>
      </c>
    </row>
    <row r="191" spans="1:26">
      <c r="A191" s="28">
        <v>14</v>
      </c>
      <c r="B191" s="17">
        <f t="shared" si="11"/>
        <v>46279</v>
      </c>
      <c r="C191" s="26">
        <f>I191+J191+K191+L191+M191+N191+O191+IF(P191="",0,P191*サマリー!$B$9)+IF(Q191="",0,IF(Q191=200,サマリー!$B$10,IF(Q191=100,サマリー!$B$11,0)))+IF(R191="",0,R191*サマリー!$B$12)</f>
        <v>0</v>
      </c>
      <c r="D191" s="26">
        <f>S191+T191+U191+V191+W191+IF(X191="",0,X191*サマリー!$B$9)+IF(Y191="",0,IF(Y191=200,サマリー!$B$10,IF(Y191=100,サマリー!$B$11,0)))+IF(Z191="",0,Z191*サマリー!$B$12)</f>
        <v>24005</v>
      </c>
      <c r="E191" s="26">
        <f t="shared" si="10"/>
        <v>24005</v>
      </c>
      <c r="I191" s="29"/>
      <c r="J191" s="29"/>
      <c r="K191" s="29"/>
      <c r="L191" s="29"/>
      <c r="M191" s="29"/>
      <c r="N191" s="29"/>
      <c r="O191" s="29"/>
      <c r="P191" s="30"/>
      <c r="Q191" s="30"/>
      <c r="R191" s="30"/>
      <c r="S191" s="31"/>
      <c r="T191" s="31">
        <v>24005</v>
      </c>
      <c r="U191" s="31"/>
      <c r="V191" s="31"/>
      <c r="W191" s="31"/>
      <c r="X191" s="32"/>
      <c r="Y191" s="32"/>
      <c r="Z191" s="32"/>
    </row>
    <row r="192" spans="1:26">
      <c r="A192" s="28">
        <v>15</v>
      </c>
      <c r="B192" s="17">
        <f t="shared" si="11"/>
        <v>46280</v>
      </c>
      <c r="C192" s="26">
        <f>I192+J192+K192+L192+M192+N192+O192+IF(P192="",0,P192*サマリー!$B$9)+IF(Q192="",0,IF(Q192=200,サマリー!$B$10,IF(Q192=100,サマリー!$B$11,0)))+IF(R192="",0,R192*サマリー!$B$12)</f>
        <v>75000</v>
      </c>
      <c r="D192" s="26">
        <f>S192+T192+U192+V192+W192+IF(X192="",0,X192*サマリー!$B$9)+IF(Y192="",0,IF(Y192=200,サマリー!$B$10,IF(Y192=100,サマリー!$B$11,0)))+IF(Z192="",0,Z192*サマリー!$B$12)</f>
        <v>15965</v>
      </c>
      <c r="E192" s="26">
        <f t="shared" si="10"/>
        <v>90965</v>
      </c>
      <c r="I192" s="29"/>
      <c r="J192" s="29"/>
      <c r="K192" s="29"/>
      <c r="L192" s="29"/>
      <c r="M192" s="29"/>
      <c r="N192" s="29"/>
      <c r="O192" s="29"/>
      <c r="P192" s="30">
        <v>3</v>
      </c>
      <c r="Q192" s="30"/>
      <c r="R192" s="30"/>
      <c r="S192" s="31"/>
      <c r="T192" s="31">
        <v>2765</v>
      </c>
      <c r="U192" s="31"/>
      <c r="V192" s="31">
        <v>13200</v>
      </c>
      <c r="W192" s="31"/>
      <c r="X192" s="32"/>
      <c r="Y192" s="32"/>
      <c r="Z192" s="32"/>
    </row>
    <row r="193" spans="1:26">
      <c r="A193" s="28">
        <v>16</v>
      </c>
      <c r="B193" s="17">
        <f t="shared" si="11"/>
        <v>46281</v>
      </c>
      <c r="C193" s="26">
        <f>I193+J193+K193+L193+M193+N193+O193+IF(P193="",0,P193*サマリー!$B$9)+IF(Q193="",0,IF(Q193=200,サマリー!$B$10,IF(Q193=100,サマリー!$B$11,0)))+IF(R193="",0,R193*サマリー!$B$12)</f>
        <v>5855</v>
      </c>
      <c r="D193" s="26">
        <f>S193+T193+U193+V193+W193+IF(X193="",0,X193*サマリー!$B$9)+IF(Y193="",0,IF(Y193=200,サマリー!$B$10,IF(Y193=100,サマリー!$B$11,0)))+IF(Z193="",0,Z193*サマリー!$B$12)</f>
        <v>0</v>
      </c>
      <c r="E193" s="26">
        <f t="shared" si="10"/>
        <v>5855</v>
      </c>
      <c r="I193" s="29"/>
      <c r="J193" s="29">
        <v>5855</v>
      </c>
      <c r="K193" s="29"/>
      <c r="L193" s="29"/>
      <c r="M193" s="29"/>
      <c r="N193" s="29"/>
      <c r="O193" s="29"/>
      <c r="P193" s="30"/>
      <c r="Q193" s="30"/>
      <c r="R193" s="30"/>
      <c r="S193" s="31"/>
      <c r="T193" s="31"/>
      <c r="U193" s="31"/>
      <c r="V193" s="31"/>
      <c r="W193" s="31"/>
      <c r="X193" s="32"/>
      <c r="Y193" s="32"/>
      <c r="Z193" s="32"/>
    </row>
    <row r="194" spans="1:26">
      <c r="A194" s="28">
        <v>17</v>
      </c>
      <c r="B194" s="17">
        <f t="shared" si="11"/>
        <v>46282</v>
      </c>
      <c r="C194" s="26">
        <f>I194+J194+K194+L194+M194+N194+O194+IF(P194="",0,P194*サマリー!$B$9)+IF(Q194="",0,IF(Q194=200,サマリー!$B$10,IF(Q194=100,サマリー!$B$11,0)))+IF(R194="",0,R194*サマリー!$B$12)</f>
        <v>0</v>
      </c>
      <c r="D194" s="26">
        <f>S194+T194+U194+V194+W194+IF(X194="",0,X194*サマリー!$B$9)+IF(Y194="",0,IF(Y194=200,サマリー!$B$10,IF(Y194=100,サマリー!$B$11,0)))+IF(Z194="",0,Z194*サマリー!$B$12)</f>
        <v>3655</v>
      </c>
      <c r="E194" s="26">
        <f t="shared" si="10"/>
        <v>3655</v>
      </c>
      <c r="I194" s="29"/>
      <c r="J194" s="29"/>
      <c r="K194" s="29"/>
      <c r="L194" s="29"/>
      <c r="M194" s="29"/>
      <c r="N194" s="29"/>
      <c r="O194" s="29"/>
      <c r="P194" s="30"/>
      <c r="Q194" s="30"/>
      <c r="R194" s="30"/>
      <c r="S194" s="31"/>
      <c r="T194" s="31">
        <v>3655</v>
      </c>
      <c r="U194" s="31"/>
      <c r="V194" s="31"/>
      <c r="W194" s="31"/>
      <c r="X194" s="32"/>
      <c r="Y194" s="32"/>
      <c r="Z194" s="32"/>
    </row>
    <row r="195" spans="1:26">
      <c r="A195" s="28">
        <v>18</v>
      </c>
      <c r="B195" s="17">
        <f t="shared" si="11"/>
        <v>46283</v>
      </c>
      <c r="C195" s="26">
        <f>I195+J195+K195+L195+M195+N195+O195+IF(P195="",0,P195*サマリー!$B$9)+IF(Q195="",0,IF(Q195=200,サマリー!$B$10,IF(Q195=100,サマリー!$B$11,0)))+IF(R195="",0,R195*サマリー!$B$12)</f>
        <v>1655</v>
      </c>
      <c r="D195" s="26">
        <f>S195+T195+U195+V195+W195+IF(X195="",0,X195*サマリー!$B$9)+IF(Y195="",0,IF(Y195=200,サマリー!$B$10,IF(Y195=100,サマリー!$B$11,0)))+IF(Z195="",0,Z195*サマリー!$B$12)</f>
        <v>3755</v>
      </c>
      <c r="E195" s="26">
        <f t="shared" si="10"/>
        <v>5410</v>
      </c>
      <c r="I195" s="29"/>
      <c r="J195" s="29">
        <v>1655</v>
      </c>
      <c r="K195" s="29"/>
      <c r="L195" s="29"/>
      <c r="M195" s="29"/>
      <c r="N195" s="29"/>
      <c r="O195" s="29"/>
      <c r="P195" s="30"/>
      <c r="Q195" s="30"/>
      <c r="R195" s="30"/>
      <c r="S195" s="31"/>
      <c r="T195" s="31">
        <v>3755</v>
      </c>
      <c r="U195" s="31"/>
      <c r="V195" s="31"/>
      <c r="W195" s="31"/>
      <c r="X195" s="32"/>
      <c r="Y195" s="32"/>
      <c r="Z195" s="32"/>
    </row>
    <row r="196" spans="1:26">
      <c r="A196" s="28"/>
      <c r="B196" s="17">
        <f t="shared" si="11"/>
        <v>46283</v>
      </c>
      <c r="C196" s="26">
        <f>I196+J196+K196+L196+M196+N196+O196+IF(P196="",0,P196*サマリー!$B$9)+IF(Q196="",0,IF(Q196=200,サマリー!$B$10,IF(Q196=100,サマリー!$B$11,0)))+IF(R196="",0,R196*サマリー!$B$12)</f>
        <v>55798</v>
      </c>
      <c r="D196" s="26">
        <f>S196+T196+U196+V196+W196+IF(X196="",0,X196*サマリー!$B$9)+IF(Y196="",0,IF(Y196=200,サマリー!$B$10,IF(Y196=100,サマリー!$B$11,0)))+IF(Z196="",0,Z196*サマリー!$B$12)</f>
        <v>37916</v>
      </c>
      <c r="E196" s="26">
        <f t="shared" si="10"/>
        <v>93714</v>
      </c>
      <c r="I196" s="29">
        <v>48557</v>
      </c>
      <c r="J196" s="29"/>
      <c r="K196" s="29"/>
      <c r="L196" s="29"/>
      <c r="M196" s="29"/>
      <c r="N196" s="29"/>
      <c r="O196" s="29"/>
      <c r="P196" s="30"/>
      <c r="Q196" s="30">
        <v>200</v>
      </c>
      <c r="R196" s="30"/>
      <c r="S196" s="31">
        <v>30675</v>
      </c>
      <c r="T196" s="31"/>
      <c r="U196" s="31"/>
      <c r="V196" s="31"/>
      <c r="W196" s="31"/>
      <c r="X196" s="32"/>
      <c r="Y196" s="32">
        <v>200</v>
      </c>
      <c r="Z196" s="32"/>
    </row>
    <row r="197" spans="1:26">
      <c r="A197" s="28"/>
      <c r="B197" s="17">
        <f t="shared" si="11"/>
        <v>46283</v>
      </c>
      <c r="C197" s="26">
        <f>I197+J197+K197+L197+M197+N197+O197+IF(P197="",0,P197*サマリー!$B$9)+IF(Q197="",0,IF(Q197=200,サマリー!$B$10,IF(Q197=100,サマリー!$B$11,0)))+IF(R197="",0,R197*サマリー!$B$12)</f>
        <v>5300</v>
      </c>
      <c r="D197" s="26">
        <f>S197+T197+U197+V197+W197+IF(X197="",0,X197*サマリー!$B$9)+IF(Y197="",0,IF(Y197=200,サマリー!$B$10,IF(Y197=100,サマリー!$B$11,0)))+IF(Z197="",0,Z197*サマリー!$B$12)</f>
        <v>0</v>
      </c>
      <c r="E197" s="26">
        <f t="shared" si="10"/>
        <v>5300</v>
      </c>
      <c r="I197" s="29"/>
      <c r="J197" s="29">
        <v>5300</v>
      </c>
      <c r="K197" s="29"/>
      <c r="L197" s="29"/>
      <c r="M197" s="29"/>
      <c r="N197" s="29"/>
      <c r="O197" s="29"/>
      <c r="P197" s="30"/>
      <c r="Q197" s="30"/>
      <c r="R197" s="30"/>
      <c r="S197" s="31"/>
      <c r="T197" s="31"/>
      <c r="U197" s="31"/>
      <c r="V197" s="31"/>
      <c r="W197" s="31"/>
      <c r="X197" s="32"/>
      <c r="Y197" s="32"/>
      <c r="Z197" s="32"/>
    </row>
    <row r="198" spans="1:26">
      <c r="A198" s="28"/>
      <c r="B198" s="17">
        <f t="shared" si="11"/>
        <v>46283</v>
      </c>
      <c r="C198" s="26">
        <f>I198+J198+K198+L198+M198+N198+O198+IF(P198="",0,P198*サマリー!$B$9)+IF(Q198="",0,IF(Q198=200,サマリー!$B$10,IF(Q198=100,サマリー!$B$11,0)))+IF(R198="",0,R198*サマリー!$B$12)</f>
        <v>13201</v>
      </c>
      <c r="D198" s="26">
        <f>S198+T198+U198+V198+W198+IF(X198="",0,X198*サマリー!$B$9)+IF(Y198="",0,IF(Y198=200,サマリー!$B$10,IF(Y198=100,サマリー!$B$11,0)))+IF(Z198="",0,Z198*サマリー!$B$12)</f>
        <v>0</v>
      </c>
      <c r="E198" s="26">
        <f t="shared" ref="E198:E205" si="12">C198+D198</f>
        <v>13201</v>
      </c>
      <c r="I198" s="29"/>
      <c r="J198" s="29">
        <v>13201</v>
      </c>
      <c r="K198" s="29"/>
      <c r="L198" s="29"/>
      <c r="M198" s="29"/>
      <c r="N198" s="29"/>
      <c r="O198" s="29"/>
      <c r="P198" s="30"/>
      <c r="Q198" s="30"/>
      <c r="R198" s="30"/>
      <c r="S198" s="31"/>
      <c r="T198" s="31"/>
      <c r="U198" s="31"/>
      <c r="V198" s="31"/>
      <c r="W198" s="31"/>
      <c r="X198" s="32"/>
      <c r="Y198" s="32"/>
      <c r="Z198" s="32"/>
    </row>
    <row r="199" spans="1:26">
      <c r="A199" s="28">
        <v>19</v>
      </c>
      <c r="B199" s="17">
        <f t="shared" ref="B199:B205" si="13">IF(A199="",B198,IF(A199&lt;DAY(B198),DATE(YEAR(B198),MONTH(B198)+1,A199),DATE(YEAR(B198),MONTH(B198),A199)))</f>
        <v>46284</v>
      </c>
      <c r="C199" s="26">
        <f>I199+J199+K199+L199+M199+N199+O199+IF(P199="",0,P199*サマリー!$B$9)+IF(Q199="",0,IF(Q199=200,サマリー!$B$10,IF(Q199=100,サマリー!$B$11,0)))+IF(R199="",0,R199*サマリー!$B$12)</f>
        <v>3034</v>
      </c>
      <c r="D199" s="26">
        <f>S199+T199+U199+V199+W199+IF(X199="",0,X199*サマリー!$B$9)+IF(Y199="",0,IF(Y199=200,サマリー!$B$10,IF(Y199=100,サマリー!$B$11,0)))+IF(Z199="",0,Z199*サマリー!$B$12)</f>
        <v>3755</v>
      </c>
      <c r="E199" s="26">
        <f t="shared" si="12"/>
        <v>6789</v>
      </c>
      <c r="I199" s="29"/>
      <c r="J199" s="29">
        <v>2200</v>
      </c>
      <c r="K199" s="29">
        <v>834</v>
      </c>
      <c r="L199" s="29"/>
      <c r="M199" s="29"/>
      <c r="N199" s="29"/>
      <c r="O199" s="29"/>
      <c r="P199" s="30"/>
      <c r="Q199" s="30"/>
      <c r="R199" s="30"/>
      <c r="S199" s="31"/>
      <c r="T199" s="31">
        <v>3755</v>
      </c>
      <c r="U199" s="31"/>
      <c r="V199" s="31"/>
      <c r="W199" s="31"/>
      <c r="X199" s="32"/>
      <c r="Y199" s="32"/>
      <c r="Z199" s="32"/>
    </row>
    <row r="200" spans="1:26">
      <c r="A200" s="28"/>
      <c r="B200" s="17">
        <f t="shared" si="13"/>
        <v>46284</v>
      </c>
      <c r="C200" s="26">
        <f>I200+J200+K200+L200+M200+N200+O200+IF(P200="",0,P200*サマリー!$B$9)+IF(Q200="",0,IF(Q200=200,サマリー!$B$10,IF(Q200=100,サマリー!$B$11,0)))+IF(R200="",0,R200*サマリー!$B$12)</f>
        <v>4955</v>
      </c>
      <c r="D200" s="26">
        <f>S200+T200+U200+V200+W200+IF(X200="",0,X200*サマリー!$B$9)+IF(Y200="",0,IF(Y200=200,サマリー!$B$10,IF(Y200=100,サマリー!$B$11,0)))+IF(Z200="",0,Z200*サマリー!$B$12)</f>
        <v>0</v>
      </c>
      <c r="E200" s="26">
        <f t="shared" si="12"/>
        <v>4955</v>
      </c>
      <c r="I200" s="29"/>
      <c r="J200" s="29">
        <v>4955</v>
      </c>
      <c r="K200" s="29"/>
      <c r="L200" s="29"/>
      <c r="M200" s="29"/>
      <c r="N200" s="29"/>
      <c r="O200" s="29"/>
      <c r="P200" s="30"/>
      <c r="Q200" s="30"/>
      <c r="R200" s="30"/>
      <c r="S200" s="31"/>
      <c r="T200" s="31"/>
      <c r="U200" s="31"/>
      <c r="V200" s="31"/>
      <c r="W200" s="31"/>
      <c r="X200" s="32"/>
      <c r="Y200" s="32"/>
      <c r="Z200" s="32"/>
    </row>
    <row r="201" spans="1:26">
      <c r="A201" s="28"/>
      <c r="B201" s="17">
        <f t="shared" si="13"/>
        <v>46284</v>
      </c>
      <c r="C201" s="26">
        <f>I201+J201+K201+L201+M201+N201+O201+IF(P201="",0,P201*サマリー!$B$9)+IF(Q201="",0,IF(Q201=200,サマリー!$B$10,IF(Q201=100,サマリー!$B$11,0)))+IF(R201="",0,R201*サマリー!$B$12)</f>
        <v>2200</v>
      </c>
      <c r="D201" s="26">
        <f>S201+T201+U201+V201+W201+IF(X201="",0,X201*サマリー!$B$9)+IF(Y201="",0,IF(Y201=200,サマリー!$B$10,IF(Y201=100,サマリー!$B$11,0)))+IF(Z201="",0,Z201*サマリー!$B$12)</f>
        <v>0</v>
      </c>
      <c r="E201" s="26">
        <f t="shared" si="12"/>
        <v>2200</v>
      </c>
      <c r="I201" s="29"/>
      <c r="J201" s="29">
        <v>2200</v>
      </c>
      <c r="K201" s="29"/>
      <c r="L201" s="29"/>
      <c r="M201" s="29"/>
      <c r="N201" s="29"/>
      <c r="O201" s="29"/>
      <c r="P201" s="30"/>
      <c r="Q201" s="30"/>
      <c r="R201" s="30"/>
      <c r="S201" s="31"/>
      <c r="T201" s="31"/>
      <c r="U201" s="31"/>
      <c r="V201" s="31"/>
      <c r="W201" s="31"/>
      <c r="X201" s="32"/>
      <c r="Y201" s="32"/>
      <c r="Z201" s="32"/>
    </row>
    <row r="202" spans="1:26">
      <c r="A202" s="28">
        <v>20</v>
      </c>
      <c r="B202" s="17">
        <f t="shared" si="13"/>
        <v>46285</v>
      </c>
      <c r="C202" s="26">
        <f>I202+J202+K202+L202+M202+N202+O202+IF(P202="",0,P202*サマリー!$B$9)+IF(Q202="",0,IF(Q202=200,サマリー!$B$10,IF(Q202=100,サマリー!$B$11,0)))+IF(R202="",0,R202*サマリー!$B$12)</f>
        <v>10255</v>
      </c>
      <c r="D202" s="26">
        <f>S202+T202+U202+V202+W202+IF(X202="",0,X202*サマリー!$B$9)+IF(Y202="",0,IF(Y202=200,サマリー!$B$10,IF(Y202=100,サマリー!$B$11,0)))+IF(Z202="",0,Z202*サマリー!$B$12)</f>
        <v>0</v>
      </c>
      <c r="E202" s="26">
        <f t="shared" si="12"/>
        <v>10255</v>
      </c>
      <c r="I202" s="29"/>
      <c r="J202" s="29"/>
      <c r="K202" s="29"/>
      <c r="L202" s="29"/>
      <c r="M202" s="29"/>
      <c r="N202" s="29">
        <v>10255</v>
      </c>
      <c r="O202" s="29"/>
      <c r="P202" s="30"/>
      <c r="Q202" s="30"/>
      <c r="R202" s="30"/>
      <c r="S202" s="31"/>
      <c r="T202" s="31"/>
      <c r="U202" s="31"/>
      <c r="V202" s="31"/>
      <c r="W202" s="31"/>
      <c r="X202" s="32"/>
      <c r="Y202" s="32"/>
      <c r="Z202" s="32"/>
    </row>
    <row r="203" spans="1:26">
      <c r="A203" s="28"/>
      <c r="B203" s="17">
        <f t="shared" si="13"/>
        <v>46285</v>
      </c>
      <c r="C203" s="26">
        <f>I203+J203+K203+L203+M203+N203+O203+IF(P203="",0,P203*サマリー!$B$9)+IF(Q203="",0,IF(Q203=200,サマリー!$B$10,IF(Q203=100,サマリー!$B$11,0)))+IF(R203="",0,R203*サマリー!$B$12)</f>
        <v>0</v>
      </c>
      <c r="D203" s="26">
        <f>S203+T203+U203+V203+W203+IF(X203="",0,X203*サマリー!$B$9)+IF(Y203="",0,IF(Y203=200,サマリー!$B$10,IF(Y203=100,サマリー!$B$11,0)))+IF(Z203="",0,Z203*サマリー!$B$12)</f>
        <v>88080</v>
      </c>
      <c r="E203" s="26">
        <f t="shared" si="12"/>
        <v>88080</v>
      </c>
      <c r="I203" s="29"/>
      <c r="J203" s="29"/>
      <c r="K203" s="29"/>
      <c r="L203" s="29"/>
      <c r="M203" s="29"/>
      <c r="N203" s="29"/>
      <c r="O203" s="29"/>
      <c r="P203" s="30"/>
      <c r="Q203" s="30"/>
      <c r="R203" s="30"/>
      <c r="S203" s="31">
        <v>80839</v>
      </c>
      <c r="T203" s="31"/>
      <c r="U203" s="31"/>
      <c r="V203" s="31"/>
      <c r="W203" s="31"/>
      <c r="X203" s="32"/>
      <c r="Y203" s="32">
        <v>200</v>
      </c>
      <c r="Z203" s="32"/>
    </row>
    <row r="204" spans="1:26">
      <c r="A204" s="28"/>
      <c r="B204" s="17">
        <f t="shared" si="13"/>
        <v>46285</v>
      </c>
      <c r="C204" s="26">
        <f>I204+J204+K204+L204+M204+N204+O204+IF(P204="",0,P204*サマリー!$B$9)+IF(Q204="",0,IF(Q204=200,サマリー!$B$10,IF(Q204=100,サマリー!$B$11,0)))+IF(R204="",0,R204*サマリー!$B$12)</f>
        <v>0</v>
      </c>
      <c r="D204" s="26">
        <f>S204+T204+U204+V204+W204+IF(X204="",0,X204*サマリー!$B$9)+IF(Y204="",0,IF(Y204=200,サマリー!$B$10,IF(Y204=100,サマリー!$B$11,0)))+IF(Z204="",0,Z204*サマリー!$B$12)</f>
        <v>19560</v>
      </c>
      <c r="E204" s="26">
        <f t="shared" si="12"/>
        <v>19560</v>
      </c>
      <c r="I204" s="29"/>
      <c r="J204" s="29"/>
      <c r="K204" s="29"/>
      <c r="L204" s="29"/>
      <c r="M204" s="29"/>
      <c r="N204" s="29"/>
      <c r="O204" s="29"/>
      <c r="P204" s="30"/>
      <c r="Q204" s="30"/>
      <c r="R204" s="30"/>
      <c r="S204" s="31">
        <v>12319</v>
      </c>
      <c r="T204" s="31"/>
      <c r="U204" s="31"/>
      <c r="V204" s="31"/>
      <c r="W204" s="31"/>
      <c r="X204" s="32"/>
      <c r="Y204" s="32">
        <v>200</v>
      </c>
      <c r="Z204" s="32"/>
    </row>
    <row r="205" spans="1:26">
      <c r="A205" s="28"/>
      <c r="B205" s="17">
        <f t="shared" si="13"/>
        <v>46285</v>
      </c>
      <c r="C205" s="26">
        <f>I205+J205+K205+L205+M205+N205+O205+IF(P205="",0,P205*サマリー!$B$9)+IF(Q205="",0,IF(Q205=200,サマリー!$B$10,IF(Q205=100,サマリー!$B$11,0)))+IF(R205="",0,R205*サマリー!$B$12)</f>
        <v>0</v>
      </c>
      <c r="D205" s="26">
        <f>S205+T205+U205+V205+W205+IF(X205="",0,X205*サマリー!$B$9)+IF(Y205="",0,IF(Y205=200,サマリー!$B$10,IF(Y205=100,サマリー!$B$11,0)))+IF(Z205="",0,Z205*サマリー!$B$12)</f>
        <v>66953</v>
      </c>
      <c r="E205" s="26">
        <f t="shared" si="12"/>
        <v>66953</v>
      </c>
      <c r="I205" s="29"/>
      <c r="J205" s="29"/>
      <c r="K205" s="29"/>
      <c r="L205" s="29"/>
      <c r="M205" s="29"/>
      <c r="N205" s="29"/>
      <c r="O205" s="29"/>
      <c r="P205" s="30"/>
      <c r="Q205" s="30"/>
      <c r="R205" s="30"/>
      <c r="S205" s="31">
        <v>59712</v>
      </c>
      <c r="T205" s="31"/>
      <c r="U205" s="31"/>
      <c r="V205" s="31"/>
      <c r="W205" s="31"/>
      <c r="X205" s="32"/>
      <c r="Y205" s="32">
        <v>200</v>
      </c>
      <c r="Z205" s="32"/>
    </row>
    <row r="206" spans="1:26">
      <c r="A206" s="28">
        <v>21</v>
      </c>
      <c r="B206" s="17">
        <f t="shared" ref="B206:B207" si="14">IF(A206="",B205,IF(A206&lt;DAY(B205),DATE(YEAR(B205),MONTH(B205)+1,A206),DATE(YEAR(B205),MONTH(B205),A206)))</f>
        <v>46286</v>
      </c>
      <c r="C206" s="26">
        <f>I206+J206+K206+L206+M206+N206+O206+IF(P206="",0,P206*サマリー!$B$9)+IF(Q206="",0,IF(Q206=200,サマリー!$B$10,IF(Q206=100,サマリー!$B$11,0)))+IF(R206="",0,R206*サマリー!$B$12)</f>
        <v>0</v>
      </c>
      <c r="D206" s="26">
        <f>S206+T206+U206+V206+W206+IF(X206="",0,X206*サマリー!$B$9)+IF(Y206="",0,IF(Y206=200,サマリー!$B$10,IF(Y206=100,サマリー!$B$11,0)))+IF(Z206="",0,Z206*サマリー!$B$12)</f>
        <v>7274</v>
      </c>
      <c r="E206" s="26">
        <f t="shared" ref="E206:E207" si="15">C206+D206</f>
        <v>7274</v>
      </c>
      <c r="I206" s="29"/>
      <c r="J206" s="29"/>
      <c r="K206" s="29"/>
      <c r="L206" s="29"/>
      <c r="M206" s="29"/>
      <c r="N206" s="29"/>
      <c r="O206" s="29"/>
      <c r="P206" s="30"/>
      <c r="Q206" s="30"/>
      <c r="R206" s="30"/>
      <c r="S206" s="31"/>
      <c r="T206" s="31">
        <v>7274</v>
      </c>
      <c r="U206" s="31"/>
      <c r="V206" s="31"/>
      <c r="W206" s="31"/>
      <c r="X206" s="32"/>
      <c r="Y206" s="32"/>
      <c r="Z206" s="32"/>
    </row>
    <row r="207" spans="1:26">
      <c r="A207" s="28">
        <v>22</v>
      </c>
      <c r="B207" s="17">
        <f t="shared" si="14"/>
        <v>46287</v>
      </c>
      <c r="C207" s="26">
        <f>I207+J207+K207+L207+M207+N207+O207+IF(P207="",0,P207*サマリー!$B$9)+IF(Q207="",0,IF(Q207=200,サマリー!$B$10,IF(Q207=100,サマリー!$B$11,0)))+IF(R207="",0,R207*サマリー!$B$12)</f>
        <v>35055</v>
      </c>
      <c r="D207" s="26">
        <f>S207+T207+U207+V207+W207+IF(X207="",0,X207*サマリー!$B$9)+IF(Y207="",0,IF(Y207=200,サマリー!$B$10,IF(Y207=100,サマリー!$B$11,0)))+IF(Z207="",0,Z207*サマリー!$B$12)</f>
        <v>3755</v>
      </c>
      <c r="E207" s="26">
        <f t="shared" si="15"/>
        <v>38810</v>
      </c>
      <c r="I207" s="29"/>
      <c r="J207" s="29">
        <v>35055</v>
      </c>
      <c r="K207" s="29"/>
      <c r="L207" s="29"/>
      <c r="M207" s="29"/>
      <c r="N207" s="29"/>
      <c r="O207" s="29"/>
      <c r="P207" s="30"/>
      <c r="Q207" s="30"/>
      <c r="R207" s="30"/>
      <c r="S207" s="31"/>
      <c r="T207" s="31">
        <v>3755</v>
      </c>
      <c r="U207" s="31"/>
      <c r="V207" s="31"/>
      <c r="W207" s="31"/>
      <c r="X207" s="32"/>
      <c r="Y207" s="32"/>
      <c r="Z207" s="32"/>
    </row>
    <row r="208" spans="1:26">
      <c r="A208" s="28"/>
      <c r="B208" s="17">
        <f t="shared" ref="B208" si="16">IF(A208="",B207,IF(A208&lt;DAY(B207),DATE(YEAR(B207),MONTH(B207)+1,A208),DATE(YEAR(B207),MONTH(B207),A208)))</f>
        <v>46287</v>
      </c>
      <c r="C208" s="26">
        <f>I208+J208+K208+L208+M208+N208+O208+IF(P208="",0,P208*サマリー!$B$9)+IF(Q208="",0,IF(Q208=200,サマリー!$B$10,IF(Q208=100,サマリー!$B$11,0)))+IF(R208="",0,R208*サマリー!$B$12)</f>
        <v>1655</v>
      </c>
      <c r="D208" s="26">
        <f>S208+T208+U208+V208+W208+IF(X208="",0,X208*サマリー!$B$9)+IF(Y208="",0,IF(Y208=200,サマリー!$B$10,IF(Y208=100,サマリー!$B$11,0)))+IF(Z208="",0,Z208*サマリー!$B$12)</f>
        <v>0</v>
      </c>
      <c r="E208" s="26">
        <f t="shared" ref="E208" si="17">C208+D208</f>
        <v>1655</v>
      </c>
      <c r="I208" s="29"/>
      <c r="J208" s="29">
        <v>1655</v>
      </c>
      <c r="K208" s="29"/>
      <c r="L208" s="29"/>
      <c r="M208" s="29"/>
      <c r="N208" s="29"/>
      <c r="O208" s="29"/>
      <c r="P208" s="30"/>
      <c r="Q208" s="30"/>
      <c r="R208" s="30"/>
      <c r="S208" s="31"/>
      <c r="T208" s="31"/>
      <c r="U208" s="31"/>
      <c r="V208" s="31"/>
      <c r="W208" s="31"/>
      <c r="X208" s="32"/>
      <c r="Y208" s="32"/>
      <c r="Z208" s="32"/>
    </row>
    <row r="209" spans="1:26">
      <c r="A209" s="28"/>
      <c r="B209" s="17">
        <f t="shared" ref="B209:B213" si="18">IF(A209="",B208,IF(A209&lt;DAY(B208),DATE(YEAR(B208),MONTH(B208)+1,A209),DATE(YEAR(B208),MONTH(B208),A209)))</f>
        <v>46287</v>
      </c>
      <c r="C209" s="26">
        <f>I209+J209+K209+L209+M209+N209+O209+IF(P209="",0,P209*サマリー!$B$9)+IF(Q209="",0,IF(Q209=200,サマリー!$B$10,IF(Q209=100,サマリー!$B$11,0)))+IF(R209="",0,R209*サマリー!$B$12)</f>
        <v>54829</v>
      </c>
      <c r="D209" s="26">
        <f>S209+T209+U209+V209+W209+IF(X209="",0,X209*サマリー!$B$9)+IF(Y209="",0,IF(Y209=200,サマリー!$B$10,IF(Y209=100,サマリー!$B$11,0)))+IF(Z209="",0,Z209*サマリー!$B$12)</f>
        <v>0</v>
      </c>
      <c r="E209" s="26">
        <f t="shared" ref="E209:E213" si="19">C209+D209</f>
        <v>54829</v>
      </c>
      <c r="I209" s="29">
        <v>47588</v>
      </c>
      <c r="J209" s="29"/>
      <c r="K209" s="29"/>
      <c r="L209" s="29"/>
      <c r="M209" s="29"/>
      <c r="N209" s="29"/>
      <c r="O209" s="29"/>
      <c r="P209" s="30"/>
      <c r="Q209" s="30">
        <v>200</v>
      </c>
      <c r="R209" s="30"/>
      <c r="S209" s="31"/>
      <c r="T209" s="31"/>
      <c r="U209" s="31"/>
      <c r="V209" s="31"/>
      <c r="W209" s="31"/>
      <c r="X209" s="32"/>
      <c r="Y209" s="32"/>
      <c r="Z209" s="32"/>
    </row>
    <row r="210" spans="1:26">
      <c r="A210" s="28"/>
      <c r="B210" s="17">
        <f t="shared" si="18"/>
        <v>46287</v>
      </c>
      <c r="C210" s="26">
        <f>I210+J210+K210+L210+M210+N210+O210+IF(P210="",0,P210*サマリー!$B$9)+IF(Q210="",0,IF(Q210=200,サマリー!$B$10,IF(Q210=100,サマリー!$B$11,0)))+IF(R210="",0,R210*サマリー!$B$12)</f>
        <v>1100</v>
      </c>
      <c r="D210" s="26">
        <f>S210+T210+U210+V210+W210+IF(X210="",0,X210*サマリー!$B$9)+IF(Y210="",0,IF(Y210=200,サマリー!$B$10,IF(Y210=100,サマリー!$B$11,0)))+IF(Z210="",0,Z210*サマリー!$B$12)</f>
        <v>0</v>
      </c>
      <c r="E210" s="26">
        <f t="shared" si="19"/>
        <v>1100</v>
      </c>
      <c r="I210" s="29"/>
      <c r="J210" s="29">
        <v>1100</v>
      </c>
      <c r="K210" s="29"/>
      <c r="L210" s="29"/>
      <c r="M210" s="29"/>
      <c r="N210" s="29"/>
      <c r="O210" s="29"/>
      <c r="P210" s="30"/>
      <c r="Q210" s="30"/>
      <c r="R210" s="30"/>
      <c r="S210" s="31"/>
      <c r="T210" s="31"/>
      <c r="U210" s="31"/>
      <c r="V210" s="31"/>
      <c r="W210" s="31"/>
      <c r="X210" s="32"/>
      <c r="Y210" s="32"/>
      <c r="Z210" s="32"/>
    </row>
    <row r="211" spans="1:26">
      <c r="A211" s="28"/>
      <c r="B211" s="17">
        <f t="shared" si="18"/>
        <v>46287</v>
      </c>
      <c r="C211" s="26">
        <f>I211+J211+K211+L211+M211+N211+O211+IF(P211="",0,P211*サマリー!$B$9)+IF(Q211="",0,IF(Q211=200,サマリー!$B$10,IF(Q211=100,サマリー!$B$11,0)))+IF(R211="",0,R211*サマリー!$B$12)</f>
        <v>47279</v>
      </c>
      <c r="D211" s="26">
        <f>S211+T211+U211+V211+W211+IF(X211="",0,X211*サマリー!$B$9)+IF(Y211="",0,IF(Y211=200,サマリー!$B$10,IF(Y211=100,サマリー!$B$11,0)))+IF(Z211="",0,Z211*サマリー!$B$12)</f>
        <v>0</v>
      </c>
      <c r="E211" s="26">
        <f t="shared" si="19"/>
        <v>47279</v>
      </c>
      <c r="I211" s="29">
        <v>40038</v>
      </c>
      <c r="J211" s="29"/>
      <c r="K211" s="29"/>
      <c r="L211" s="29"/>
      <c r="M211" s="29"/>
      <c r="N211" s="29"/>
      <c r="O211" s="29"/>
      <c r="P211" s="30"/>
      <c r="Q211" s="30">
        <v>200</v>
      </c>
      <c r="R211" s="30"/>
      <c r="S211" s="31"/>
      <c r="T211" s="31"/>
      <c r="U211" s="31"/>
      <c r="V211" s="31"/>
      <c r="W211" s="31"/>
      <c r="X211" s="32"/>
      <c r="Y211" s="32"/>
      <c r="Z211" s="32"/>
    </row>
    <row r="212" spans="1:26">
      <c r="A212" s="28">
        <v>23</v>
      </c>
      <c r="B212" s="17">
        <f t="shared" si="18"/>
        <v>46288</v>
      </c>
      <c r="C212" s="26">
        <f>I212+J212+K212+L212+M212+N212+O212+IF(P212="",0,P212*サマリー!$B$9)+IF(Q212="",0,IF(Q212=200,サマリー!$B$10,IF(Q212=100,サマリー!$B$11,0)))+IF(R212="",0,R212*サマリー!$B$12)</f>
        <v>47651</v>
      </c>
      <c r="D212" s="26">
        <f>S212+T212+U212+V212+W212+IF(X212="",0,X212*サマリー!$B$9)+IF(Y212="",0,IF(Y212=200,サマリー!$B$10,IF(Y212=100,サマリー!$B$11,0)))+IF(Z212="",0,Z212*サマリー!$B$12)</f>
        <v>0</v>
      </c>
      <c r="E212" s="26">
        <f t="shared" si="19"/>
        <v>47651</v>
      </c>
      <c r="I212" s="29">
        <v>40410</v>
      </c>
      <c r="J212" s="29"/>
      <c r="K212" s="29"/>
      <c r="L212" s="29"/>
      <c r="M212" s="29"/>
      <c r="N212" s="29"/>
      <c r="O212" s="29"/>
      <c r="P212" s="30"/>
      <c r="Q212" s="30">
        <v>200</v>
      </c>
      <c r="R212" s="30"/>
      <c r="S212" s="31"/>
      <c r="T212" s="31"/>
      <c r="U212" s="31"/>
      <c r="V212" s="31"/>
      <c r="W212" s="31"/>
      <c r="X212" s="32"/>
      <c r="Y212" s="32"/>
      <c r="Z212" s="32"/>
    </row>
    <row r="213" spans="1:26">
      <c r="A213" s="28"/>
      <c r="B213" s="17">
        <f t="shared" si="18"/>
        <v>46288</v>
      </c>
      <c r="C213" s="26">
        <f>I213+J213+K213+L213+M213+N213+O213+IF(P213="",0,P213*サマリー!$B$9)+IF(Q213="",0,IF(Q213=200,サマリー!$B$10,IF(Q213=100,サマリー!$B$11,0)))+IF(R213="",0,R213*サマリー!$B$12)</f>
        <v>4955</v>
      </c>
      <c r="D213" s="26">
        <f>S213+T213+U213+V213+W213+IF(X213="",0,X213*サマリー!$B$9)+IF(Y213="",0,IF(Y213=200,サマリー!$B$10,IF(Y213=100,サマリー!$B$11,0)))+IF(Z213="",0,Z213*サマリー!$B$12)</f>
        <v>0</v>
      </c>
      <c r="E213" s="26">
        <f t="shared" si="19"/>
        <v>4955</v>
      </c>
      <c r="I213" s="29"/>
      <c r="J213" s="29">
        <v>4955</v>
      </c>
      <c r="K213" s="29"/>
      <c r="L213" s="29"/>
      <c r="M213" s="29"/>
      <c r="N213" s="29"/>
      <c r="O213" s="29"/>
      <c r="P213" s="30"/>
      <c r="Q213" s="30"/>
      <c r="R213" s="30"/>
      <c r="S213" s="31"/>
      <c r="T213" s="31"/>
      <c r="U213" s="31"/>
      <c r="V213" s="31"/>
      <c r="W213" s="31"/>
      <c r="X213" s="32"/>
      <c r="Y213" s="32"/>
      <c r="Z213" s="32"/>
    </row>
    <row r="214" spans="1:26">
      <c r="A214" s="28"/>
      <c r="B214" s="17">
        <f t="shared" ref="B214:B244" si="20">IF(A214="",B213,IF(A214&lt;DAY(B213),DATE(YEAR(B213),MONTH(B213)+1,A214),DATE(YEAR(B213),MONTH(B213),A214)))</f>
        <v>46288</v>
      </c>
      <c r="C214" s="26">
        <f>I214+J214+K214+L214+M214+N214+O214+IF(P214="",0,P214*サマリー!$B$9)+IF(Q214="",0,IF(Q214=200,サマリー!$B$10,IF(Q214=100,サマリー!$B$11,0)))+IF(R214="",0,R214*サマリー!$B$12)</f>
        <v>37279</v>
      </c>
      <c r="D214" s="26">
        <f>S214+T214+U214+V214+W214+IF(X214="",0,X214*サマリー!$B$9)+IF(Y214="",0,IF(Y214=200,サマリー!$B$10,IF(Y214=100,サマリー!$B$11,0)))+IF(Z214="",0,Z214*サマリー!$B$12)</f>
        <v>0</v>
      </c>
      <c r="E214" s="26">
        <f t="shared" ref="E214:E244" si="21">C214+D214</f>
        <v>37279</v>
      </c>
      <c r="I214" s="29">
        <v>30038</v>
      </c>
      <c r="J214" s="29"/>
      <c r="K214" s="29"/>
      <c r="L214" s="29"/>
      <c r="M214" s="29"/>
      <c r="N214" s="29"/>
      <c r="O214" s="29"/>
      <c r="P214" s="30"/>
      <c r="Q214" s="30">
        <v>200</v>
      </c>
      <c r="R214" s="30"/>
      <c r="S214" s="31"/>
      <c r="T214" s="31"/>
      <c r="U214" s="31"/>
      <c r="V214" s="31"/>
      <c r="W214" s="31"/>
      <c r="X214" s="32"/>
      <c r="Y214" s="32"/>
      <c r="Z214" s="32"/>
    </row>
    <row r="215" spans="1:26">
      <c r="A215" s="28"/>
      <c r="B215" s="17">
        <f t="shared" si="20"/>
        <v>46288</v>
      </c>
      <c r="C215" s="26">
        <f>I215+J215+K215+L215+M215+N215+O215+IF(P215="",0,P215*サマリー!$B$9)+IF(Q215="",0,IF(Q215=200,サマリー!$B$10,IF(Q215=100,サマリー!$B$11,0)))+IF(R215="",0,R215*サマリー!$B$12)</f>
        <v>23455</v>
      </c>
      <c r="D215" s="26">
        <f>S215+T215+U215+V215+W215+IF(X215="",0,X215*サマリー!$B$9)+IF(Y215="",0,IF(Y215=200,サマリー!$B$10,IF(Y215=100,サマリー!$B$11,0)))+IF(Z215="",0,Z215*サマリー!$B$12)</f>
        <v>0</v>
      </c>
      <c r="E215" s="26">
        <f t="shared" si="21"/>
        <v>23455</v>
      </c>
      <c r="I215" s="29"/>
      <c r="J215" s="29">
        <v>23455</v>
      </c>
      <c r="K215" s="29"/>
      <c r="L215" s="29"/>
      <c r="M215" s="29"/>
      <c r="N215" s="29"/>
      <c r="O215" s="29"/>
      <c r="P215" s="30"/>
      <c r="Q215" s="30"/>
      <c r="R215" s="30"/>
      <c r="S215" s="31"/>
      <c r="T215" s="31"/>
      <c r="U215" s="31"/>
      <c r="V215" s="31"/>
      <c r="W215" s="31"/>
      <c r="X215" s="32"/>
      <c r="Y215" s="32"/>
      <c r="Z215" s="32"/>
    </row>
    <row r="216" spans="1:26">
      <c r="A216" s="28">
        <v>24</v>
      </c>
      <c r="B216" s="17">
        <f t="shared" si="20"/>
        <v>46289</v>
      </c>
      <c r="C216" s="26">
        <f>I216+J216+K216+L216+M216+N216+O216+IF(P216="",0,P216*サマリー!$B$9)+IF(Q216="",0,IF(Q216=200,サマリー!$B$10,IF(Q216=100,サマリー!$B$11,0)))+IF(R216="",0,R216*サマリー!$B$12)</f>
        <v>46238</v>
      </c>
      <c r="D216" s="26">
        <f>S216+T216+U216+V216+W216+IF(X216="",0,X216*サマリー!$B$9)+IF(Y216="",0,IF(Y216=200,サマリー!$B$10,IF(Y216=100,サマリー!$B$11,0)))+IF(Z216="",0,Z216*サマリー!$B$12)</f>
        <v>7500</v>
      </c>
      <c r="E216" s="26">
        <f t="shared" si="21"/>
        <v>53738</v>
      </c>
      <c r="I216" s="29"/>
      <c r="J216" s="29"/>
      <c r="K216" s="29"/>
      <c r="L216" s="29">
        <v>46238</v>
      </c>
      <c r="M216" s="29"/>
      <c r="N216" s="29"/>
      <c r="O216" s="29"/>
      <c r="P216" s="30"/>
      <c r="Q216" s="30"/>
      <c r="R216" s="30"/>
      <c r="S216" s="31"/>
      <c r="T216" s="31">
        <v>7500</v>
      </c>
      <c r="U216" s="31"/>
      <c r="V216" s="31"/>
      <c r="W216" s="31"/>
      <c r="X216" s="32"/>
      <c r="Y216" s="32"/>
      <c r="Z216" s="32"/>
    </row>
    <row r="217" spans="1:26">
      <c r="A217" s="28"/>
      <c r="B217" s="17">
        <f t="shared" si="20"/>
        <v>46289</v>
      </c>
      <c r="C217" s="26">
        <f>I217+J217+K217+L217+M217+N217+O217+IF(P217="",0,P217*サマリー!$B$9)+IF(Q217="",0,IF(Q217=200,サマリー!$B$10,IF(Q217=100,サマリー!$B$11,0)))+IF(R217="",0,R217*サマリー!$B$12)</f>
        <v>38305</v>
      </c>
      <c r="D217" s="26">
        <f>S217+T217+U217+V217+W217+IF(X217="",0,X217*サマリー!$B$9)+IF(Y217="",0,IF(Y217=200,サマリー!$B$10,IF(Y217=100,サマリー!$B$11,0)))+IF(Z217="",0,Z217*サマリー!$B$12)</f>
        <v>-3200</v>
      </c>
      <c r="E217" s="26">
        <f t="shared" si="21"/>
        <v>35105</v>
      </c>
      <c r="I217" s="29"/>
      <c r="J217" s="29"/>
      <c r="K217" s="29"/>
      <c r="L217" s="29"/>
      <c r="M217" s="29">
        <v>38305</v>
      </c>
      <c r="N217" s="29"/>
      <c r="O217" s="29"/>
      <c r="P217" s="30"/>
      <c r="Q217" s="30"/>
      <c r="R217" s="30"/>
      <c r="S217" s="31">
        <v>-3200</v>
      </c>
      <c r="T217" s="31"/>
      <c r="U217" s="31"/>
      <c r="V217" s="31"/>
      <c r="W217" s="31"/>
      <c r="X217" s="32"/>
      <c r="Y217" s="32"/>
      <c r="Z217" s="32"/>
    </row>
    <row r="218" spans="1:26">
      <c r="A218" s="28"/>
      <c r="B218" s="17">
        <f t="shared" si="20"/>
        <v>46289</v>
      </c>
      <c r="C218" s="26">
        <f>I218+J218+K218+L218+M218+N218+O218+IF(P218="",0,P218*サマリー!$B$9)+IF(Q218="",0,IF(Q218=200,サマリー!$B$10,IF(Q218=100,サマリー!$B$11,0)))+IF(R218="",0,R218*サマリー!$B$12)</f>
        <v>50000</v>
      </c>
      <c r="D218" s="26">
        <f>S218+T218+U218+V218+W218+IF(X218="",0,X218*サマリー!$B$9)+IF(Y218="",0,IF(Y218=200,サマリー!$B$10,IF(Y218=100,サマリー!$B$11,0)))+IF(Z218="",0,Z218*サマリー!$B$12)</f>
        <v>7500</v>
      </c>
      <c r="E218" s="26">
        <f t="shared" si="21"/>
        <v>57500</v>
      </c>
      <c r="I218" s="29"/>
      <c r="J218" s="29"/>
      <c r="K218" s="29"/>
      <c r="L218" s="29"/>
      <c r="M218" s="29"/>
      <c r="N218" s="29"/>
      <c r="O218" s="29"/>
      <c r="P218" s="30">
        <v>2</v>
      </c>
      <c r="Q218" s="30"/>
      <c r="R218" s="30"/>
      <c r="S218" s="31"/>
      <c r="T218" s="31">
        <v>7500</v>
      </c>
      <c r="U218" s="31"/>
      <c r="V218" s="31"/>
      <c r="W218" s="31"/>
      <c r="X218" s="32"/>
      <c r="Y218" s="32"/>
      <c r="Z218" s="32"/>
    </row>
    <row r="219" spans="1:26">
      <c r="A219" s="28"/>
      <c r="B219" s="17">
        <f t="shared" si="20"/>
        <v>46289</v>
      </c>
      <c r="C219" s="26">
        <f>I219+J219+K219+L219+M219+N219+O219+IF(P219="",0,P219*サマリー!$B$9)+IF(Q219="",0,IF(Q219=200,サマリー!$B$10,IF(Q219=100,サマリー!$B$11,0)))+IF(R219="",0,R219*サマリー!$B$12)</f>
        <v>0</v>
      </c>
      <c r="D219" s="26">
        <f>S219+T219+U219+V219+W219+IF(X219="",0,X219*サマリー!$B$9)+IF(Y219="",0,IF(Y219=200,サマリー!$B$10,IF(Y219=100,サマリー!$B$11,0)))+IF(Z219="",0,Z219*サマリー!$B$12)</f>
        <v>0</v>
      </c>
      <c r="E219" s="26">
        <f t="shared" si="21"/>
        <v>0</v>
      </c>
      <c r="I219" s="29"/>
      <c r="J219" s="29"/>
      <c r="K219" s="29"/>
      <c r="L219" s="29"/>
      <c r="M219" s="29"/>
      <c r="N219" s="29"/>
      <c r="O219" s="29"/>
      <c r="P219" s="30"/>
      <c r="Q219" s="30"/>
      <c r="R219" s="30"/>
      <c r="S219" s="31"/>
      <c r="T219" s="31"/>
      <c r="U219" s="31"/>
      <c r="V219" s="31"/>
      <c r="W219" s="31"/>
      <c r="X219" s="32"/>
      <c r="Y219" s="32"/>
      <c r="Z219" s="32"/>
    </row>
    <row r="220" spans="1:26">
      <c r="A220" s="28"/>
      <c r="B220" s="17">
        <f t="shared" si="20"/>
        <v>46289</v>
      </c>
      <c r="C220" s="26">
        <f>I220+J220+K220+L220+M220+N220+O220+IF(P220="",0,P220*サマリー!$B$9)+IF(Q220="",0,IF(Q220=200,サマリー!$B$10,IF(Q220=100,サマリー!$B$11,0)))+IF(R220="",0,R220*サマリー!$B$12)</f>
        <v>0</v>
      </c>
      <c r="D220" s="26">
        <f>S220+T220+U220+V220+W220+IF(X220="",0,X220*サマリー!$B$9)+IF(Y220="",0,IF(Y220=200,サマリー!$B$10,IF(Y220=100,サマリー!$B$11,0)))+IF(Z220="",0,Z220*サマリー!$B$12)</f>
        <v>0</v>
      </c>
      <c r="E220" s="26">
        <f t="shared" si="21"/>
        <v>0</v>
      </c>
      <c r="I220" s="29"/>
      <c r="J220" s="29"/>
      <c r="K220" s="29"/>
      <c r="L220" s="29"/>
      <c r="M220" s="29"/>
      <c r="N220" s="29"/>
      <c r="O220" s="29"/>
      <c r="P220" s="30"/>
      <c r="Q220" s="30"/>
      <c r="R220" s="30"/>
      <c r="S220" s="31"/>
      <c r="T220" s="31"/>
      <c r="U220" s="31"/>
      <c r="V220" s="31"/>
      <c r="W220" s="31"/>
      <c r="X220" s="32"/>
      <c r="Y220" s="32"/>
      <c r="Z220" s="32"/>
    </row>
    <row r="221" spans="1:26">
      <c r="A221" s="28"/>
      <c r="B221" s="17">
        <f t="shared" si="20"/>
        <v>46289</v>
      </c>
      <c r="C221" s="26">
        <f>I221+J221+K221+L221+M221+N221+O221+IF(P221="",0,P221*サマリー!$B$9)+IF(Q221="",0,IF(Q221=200,サマリー!$B$10,IF(Q221=100,サマリー!$B$11,0)))+IF(R221="",0,R221*サマリー!$B$12)</f>
        <v>0</v>
      </c>
      <c r="D221" s="26">
        <f>S221+T221+U221+V221+W221+IF(X221="",0,X221*サマリー!$B$9)+IF(Y221="",0,IF(Y221=200,サマリー!$B$10,IF(Y221=100,サマリー!$B$11,0)))+IF(Z221="",0,Z221*サマリー!$B$12)</f>
        <v>0</v>
      </c>
      <c r="E221" s="26">
        <f t="shared" si="21"/>
        <v>0</v>
      </c>
      <c r="I221" s="29"/>
      <c r="J221" s="29"/>
      <c r="K221" s="29"/>
      <c r="L221" s="29"/>
      <c r="M221" s="29"/>
      <c r="N221" s="29"/>
      <c r="O221" s="29"/>
      <c r="P221" s="30"/>
      <c r="Q221" s="30"/>
      <c r="R221" s="30"/>
      <c r="S221" s="31"/>
      <c r="T221" s="31"/>
      <c r="U221" s="31"/>
      <c r="V221" s="31"/>
      <c r="W221" s="31"/>
      <c r="X221" s="32"/>
      <c r="Y221" s="32"/>
      <c r="Z221" s="32"/>
    </row>
    <row r="222" spans="1:26">
      <c r="A222" s="28"/>
      <c r="B222" s="17">
        <f t="shared" si="20"/>
        <v>46289</v>
      </c>
      <c r="C222" s="26">
        <f>I222+J222+K222+L222+M222+N222+O222+IF(P222="",0,P222*サマリー!$B$9)+IF(Q222="",0,IF(Q222=200,サマリー!$B$10,IF(Q222=100,サマリー!$B$11,0)))+IF(R222="",0,R222*サマリー!$B$12)</f>
        <v>0</v>
      </c>
      <c r="D222" s="26">
        <f>S222+T222+U222+V222+W222+IF(X222="",0,X222*サマリー!$B$9)+IF(Y222="",0,IF(Y222=200,サマリー!$B$10,IF(Y222=100,サマリー!$B$11,0)))+IF(Z222="",0,Z222*サマリー!$B$12)</f>
        <v>0</v>
      </c>
      <c r="E222" s="26">
        <f t="shared" si="21"/>
        <v>0</v>
      </c>
      <c r="I222" s="29"/>
      <c r="J222" s="29"/>
      <c r="K222" s="29"/>
      <c r="L222" s="29"/>
      <c r="M222" s="29"/>
      <c r="N222" s="29"/>
      <c r="O222" s="29"/>
      <c r="P222" s="30"/>
      <c r="Q222" s="30"/>
      <c r="R222" s="30"/>
      <c r="S222" s="31"/>
      <c r="T222" s="31"/>
      <c r="U222" s="31"/>
      <c r="V222" s="31"/>
      <c r="W222" s="31"/>
      <c r="X222" s="32"/>
      <c r="Y222" s="32"/>
      <c r="Z222" s="32"/>
    </row>
    <row r="223" spans="1:26">
      <c r="A223" s="28"/>
      <c r="B223" s="17">
        <f t="shared" si="20"/>
        <v>46289</v>
      </c>
      <c r="C223" s="26">
        <f>I223+J223+K223+L223+M223+N223+O223+IF(P223="",0,P223*サマリー!$B$9)+IF(Q223="",0,IF(Q223=200,サマリー!$B$10,IF(Q223=100,サマリー!$B$11,0)))+IF(R223="",0,R223*サマリー!$B$12)</f>
        <v>0</v>
      </c>
      <c r="D223" s="26">
        <f>S223+T223+U223+V223+W223+IF(X223="",0,X223*サマリー!$B$9)+IF(Y223="",0,IF(Y223=200,サマリー!$B$10,IF(Y223=100,サマリー!$B$11,0)))+IF(Z223="",0,Z223*サマリー!$B$12)</f>
        <v>0</v>
      </c>
      <c r="E223" s="26">
        <f t="shared" si="21"/>
        <v>0</v>
      </c>
      <c r="I223" s="29"/>
      <c r="J223" s="29"/>
      <c r="K223" s="29"/>
      <c r="L223" s="29"/>
      <c r="M223" s="29"/>
      <c r="N223" s="29"/>
      <c r="O223" s="29"/>
      <c r="P223" s="30"/>
      <c r="Q223" s="30"/>
      <c r="R223" s="30"/>
      <c r="S223" s="31"/>
      <c r="T223" s="31"/>
      <c r="U223" s="31"/>
      <c r="V223" s="31"/>
      <c r="W223" s="31"/>
      <c r="X223" s="32"/>
      <c r="Y223" s="32"/>
      <c r="Z223" s="32"/>
    </row>
    <row r="224" spans="1:26">
      <c r="A224" s="28"/>
      <c r="B224" s="17">
        <f t="shared" si="20"/>
        <v>46289</v>
      </c>
      <c r="C224" s="26">
        <f>I224+J224+K224+L224+M224+N224+O224+IF(P224="",0,P224*サマリー!$B$9)+IF(Q224="",0,IF(Q224=200,サマリー!$B$10,IF(Q224=100,サマリー!$B$11,0)))+IF(R224="",0,R224*サマリー!$B$12)</f>
        <v>0</v>
      </c>
      <c r="D224" s="26">
        <f>S224+T224+U224+V224+W224+IF(X224="",0,X224*サマリー!$B$9)+IF(Y224="",0,IF(Y224=200,サマリー!$B$10,IF(Y224=100,サマリー!$B$11,0)))+IF(Z224="",0,Z224*サマリー!$B$12)</f>
        <v>0</v>
      </c>
      <c r="E224" s="26">
        <f t="shared" si="21"/>
        <v>0</v>
      </c>
      <c r="I224" s="29"/>
      <c r="J224" s="29"/>
      <c r="K224" s="29"/>
      <c r="L224" s="29"/>
      <c r="M224" s="29"/>
      <c r="N224" s="29"/>
      <c r="O224" s="29"/>
      <c r="P224" s="30"/>
      <c r="Q224" s="30"/>
      <c r="R224" s="30"/>
      <c r="S224" s="31"/>
      <c r="T224" s="31"/>
      <c r="U224" s="31"/>
      <c r="V224" s="31"/>
      <c r="W224" s="31"/>
      <c r="X224" s="32"/>
      <c r="Y224" s="32"/>
      <c r="Z224" s="32"/>
    </row>
    <row r="225" spans="1:26">
      <c r="A225" s="28"/>
      <c r="B225" s="17">
        <f t="shared" si="20"/>
        <v>46289</v>
      </c>
      <c r="C225" s="26">
        <f>I225+J225+K225+L225+M225+N225+O225+IF(P225="",0,P225*サマリー!$B$9)+IF(Q225="",0,IF(Q225=200,サマリー!$B$10,IF(Q225=100,サマリー!$B$11,0)))+IF(R225="",0,R225*サマリー!$B$12)</f>
        <v>0</v>
      </c>
      <c r="D225" s="26">
        <f>S225+T225+U225+V225+W225+IF(X225="",0,X225*サマリー!$B$9)+IF(Y225="",0,IF(Y225=200,サマリー!$B$10,IF(Y225=100,サマリー!$B$11,0)))+IF(Z225="",0,Z225*サマリー!$B$12)</f>
        <v>0</v>
      </c>
      <c r="E225" s="26">
        <f t="shared" si="21"/>
        <v>0</v>
      </c>
      <c r="I225" s="29"/>
      <c r="J225" s="29"/>
      <c r="K225" s="29"/>
      <c r="L225" s="29"/>
      <c r="M225" s="29"/>
      <c r="N225" s="29"/>
      <c r="O225" s="29"/>
      <c r="P225" s="30"/>
      <c r="Q225" s="30"/>
      <c r="R225" s="30"/>
      <c r="S225" s="31"/>
      <c r="T225" s="31"/>
      <c r="U225" s="31"/>
      <c r="V225" s="31"/>
      <c r="W225" s="31"/>
      <c r="X225" s="32"/>
      <c r="Y225" s="32"/>
      <c r="Z225" s="32"/>
    </row>
    <row r="226" spans="1:26">
      <c r="A226" s="28"/>
      <c r="B226" s="17">
        <f t="shared" si="20"/>
        <v>46289</v>
      </c>
      <c r="C226" s="26">
        <f>I226+J226+K226+L226+M226+N226+O226+IF(P226="",0,P226*サマリー!$B$9)+IF(Q226="",0,IF(Q226=200,サマリー!$B$10,IF(Q226=100,サマリー!$B$11,0)))+IF(R226="",0,R226*サマリー!$B$12)</f>
        <v>0</v>
      </c>
      <c r="D226" s="26">
        <f>S226+T226+U226+V226+W226+IF(X226="",0,X226*サマリー!$B$9)+IF(Y226="",0,IF(Y226=200,サマリー!$B$10,IF(Y226=100,サマリー!$B$11,0)))+IF(Z226="",0,Z226*サマリー!$B$12)</f>
        <v>0</v>
      </c>
      <c r="E226" s="26">
        <f t="shared" si="21"/>
        <v>0</v>
      </c>
      <c r="I226" s="29"/>
      <c r="J226" s="29"/>
      <c r="K226" s="29"/>
      <c r="L226" s="29"/>
      <c r="M226" s="29"/>
      <c r="N226" s="29"/>
      <c r="O226" s="29"/>
      <c r="P226" s="30"/>
      <c r="Q226" s="30"/>
      <c r="R226" s="30"/>
      <c r="S226" s="31"/>
      <c r="T226" s="31"/>
      <c r="U226" s="31"/>
      <c r="V226" s="31"/>
      <c r="W226" s="31"/>
      <c r="X226" s="32"/>
      <c r="Y226" s="32"/>
      <c r="Z226" s="32"/>
    </row>
    <row r="227" spans="1:26">
      <c r="A227" s="28"/>
      <c r="B227" s="17">
        <f t="shared" si="20"/>
        <v>46289</v>
      </c>
      <c r="C227" s="26">
        <f>I227+J227+K227+L227+M227+N227+O227+IF(P227="",0,P227*サマリー!$B$9)+IF(Q227="",0,IF(Q227=200,サマリー!$B$10,IF(Q227=100,サマリー!$B$11,0)))+IF(R227="",0,R227*サマリー!$B$12)</f>
        <v>0</v>
      </c>
      <c r="D227" s="26">
        <f>S227+T227+U227+V227+W227+IF(X227="",0,X227*サマリー!$B$9)+IF(Y227="",0,IF(Y227=200,サマリー!$B$10,IF(Y227=100,サマリー!$B$11,0)))+IF(Z227="",0,Z227*サマリー!$B$12)</f>
        <v>0</v>
      </c>
      <c r="E227" s="26">
        <f t="shared" si="21"/>
        <v>0</v>
      </c>
      <c r="I227" s="29"/>
      <c r="J227" s="29"/>
      <c r="K227" s="29"/>
      <c r="L227" s="29"/>
      <c r="M227" s="29"/>
      <c r="N227" s="29"/>
      <c r="O227" s="29"/>
      <c r="P227" s="30"/>
      <c r="Q227" s="30"/>
      <c r="R227" s="30"/>
      <c r="S227" s="31"/>
      <c r="T227" s="31"/>
      <c r="U227" s="31"/>
      <c r="V227" s="31"/>
      <c r="W227" s="31"/>
      <c r="X227" s="32"/>
      <c r="Y227" s="32"/>
      <c r="Z227" s="32"/>
    </row>
    <row r="228" spans="1:26">
      <c r="A228" s="28"/>
      <c r="B228" s="17">
        <f t="shared" si="20"/>
        <v>46289</v>
      </c>
      <c r="C228" s="26">
        <f>I228+J228+K228+L228+M228+N228+O228+IF(P228="",0,P228*サマリー!$B$9)+IF(Q228="",0,IF(Q228=200,サマリー!$B$10,IF(Q228=100,サマリー!$B$11,0)))+IF(R228="",0,R228*サマリー!$B$12)</f>
        <v>0</v>
      </c>
      <c r="D228" s="26">
        <f>S228+T228+U228+V228+W228+IF(X228="",0,X228*サマリー!$B$9)+IF(Y228="",0,IF(Y228=200,サマリー!$B$10,IF(Y228=100,サマリー!$B$11,0)))+IF(Z228="",0,Z228*サマリー!$B$12)</f>
        <v>0</v>
      </c>
      <c r="E228" s="26">
        <f t="shared" si="21"/>
        <v>0</v>
      </c>
      <c r="I228" s="29"/>
      <c r="J228" s="29"/>
      <c r="K228" s="29"/>
      <c r="L228" s="29"/>
      <c r="M228" s="29"/>
      <c r="N228" s="29"/>
      <c r="O228" s="29"/>
      <c r="P228" s="30"/>
      <c r="Q228" s="30"/>
      <c r="R228" s="30"/>
      <c r="S228" s="31"/>
      <c r="T228" s="31"/>
      <c r="U228" s="31"/>
      <c r="V228" s="31"/>
      <c r="W228" s="31"/>
      <c r="X228" s="32"/>
      <c r="Y228" s="32"/>
      <c r="Z228" s="32"/>
    </row>
    <row r="229" spans="1:26">
      <c r="A229" s="28"/>
      <c r="B229" s="17">
        <f t="shared" si="20"/>
        <v>46289</v>
      </c>
      <c r="C229" s="26">
        <f>I229+J229+K229+L229+M229+N229+O229+IF(P229="",0,P229*サマリー!$B$9)+IF(Q229="",0,IF(Q229=200,サマリー!$B$10,IF(Q229=100,サマリー!$B$11,0)))+IF(R229="",0,R229*サマリー!$B$12)</f>
        <v>0</v>
      </c>
      <c r="D229" s="26">
        <f>S229+T229+U229+V229+W229+IF(X229="",0,X229*サマリー!$B$9)+IF(Y229="",0,IF(Y229=200,サマリー!$B$10,IF(Y229=100,サマリー!$B$11,0)))+IF(Z229="",0,Z229*サマリー!$B$12)</f>
        <v>0</v>
      </c>
      <c r="E229" s="26">
        <f t="shared" si="21"/>
        <v>0</v>
      </c>
      <c r="I229" s="29"/>
      <c r="J229" s="29"/>
      <c r="K229" s="29"/>
      <c r="L229" s="29"/>
      <c r="M229" s="29"/>
      <c r="N229" s="29"/>
      <c r="O229" s="29"/>
      <c r="P229" s="30"/>
      <c r="Q229" s="30"/>
      <c r="R229" s="30"/>
      <c r="S229" s="31"/>
      <c r="T229" s="31"/>
      <c r="U229" s="31"/>
      <c r="V229" s="31"/>
      <c r="W229" s="31"/>
      <c r="X229" s="32"/>
      <c r="Y229" s="32"/>
      <c r="Z229" s="32"/>
    </row>
    <row r="230" spans="1:26">
      <c r="A230" s="28"/>
      <c r="B230" s="17">
        <f t="shared" si="20"/>
        <v>46289</v>
      </c>
      <c r="C230" s="26">
        <f>I230+J230+K230+L230+M230+N230+O230+IF(P230="",0,P230*サマリー!$B$9)+IF(Q230="",0,IF(Q230=200,サマリー!$B$10,IF(Q230=100,サマリー!$B$11,0)))+IF(R230="",0,R230*サマリー!$B$12)</f>
        <v>0</v>
      </c>
      <c r="D230" s="26">
        <f>S230+T230+U230+V230+W230+IF(X230="",0,X230*サマリー!$B$9)+IF(Y230="",0,IF(Y230=200,サマリー!$B$10,IF(Y230=100,サマリー!$B$11,0)))+IF(Z230="",0,Z230*サマリー!$B$12)</f>
        <v>0</v>
      </c>
      <c r="E230" s="26">
        <f t="shared" si="21"/>
        <v>0</v>
      </c>
      <c r="I230" s="29"/>
      <c r="J230" s="29"/>
      <c r="K230" s="29"/>
      <c r="L230" s="29"/>
      <c r="M230" s="29"/>
      <c r="N230" s="29"/>
      <c r="O230" s="29"/>
      <c r="P230" s="30"/>
      <c r="Q230" s="30"/>
      <c r="R230" s="30"/>
      <c r="S230" s="31"/>
      <c r="T230" s="31"/>
      <c r="U230" s="31"/>
      <c r="V230" s="31"/>
      <c r="W230" s="31"/>
      <c r="X230" s="32"/>
      <c r="Y230" s="32"/>
      <c r="Z230" s="32"/>
    </row>
    <row r="231" spans="1:26">
      <c r="A231" s="28"/>
      <c r="B231" s="17">
        <f t="shared" si="20"/>
        <v>46289</v>
      </c>
      <c r="C231" s="26">
        <f>I231+J231+K231+L231+M231+N231+O231+IF(P231="",0,P231*サマリー!$B$9)+IF(Q231="",0,IF(Q231=200,サマリー!$B$10,IF(Q231=100,サマリー!$B$11,0)))+IF(R231="",0,R231*サマリー!$B$12)</f>
        <v>0</v>
      </c>
      <c r="D231" s="26">
        <f>S231+T231+U231+V231+W231+IF(X231="",0,X231*サマリー!$B$9)+IF(Y231="",0,IF(Y231=200,サマリー!$B$10,IF(Y231=100,サマリー!$B$11,0)))+IF(Z231="",0,Z231*サマリー!$B$12)</f>
        <v>0</v>
      </c>
      <c r="E231" s="26">
        <f t="shared" si="21"/>
        <v>0</v>
      </c>
      <c r="I231" s="29"/>
      <c r="J231" s="29"/>
      <c r="K231" s="29"/>
      <c r="L231" s="29"/>
      <c r="M231" s="29"/>
      <c r="N231" s="29"/>
      <c r="O231" s="29"/>
      <c r="P231" s="30"/>
      <c r="Q231" s="30"/>
      <c r="R231" s="30"/>
      <c r="S231" s="31"/>
      <c r="T231" s="31"/>
      <c r="U231" s="31"/>
      <c r="V231" s="31"/>
      <c r="W231" s="31"/>
      <c r="X231" s="32"/>
      <c r="Y231" s="32"/>
      <c r="Z231" s="32"/>
    </row>
    <row r="232" spans="1:26">
      <c r="A232" s="28"/>
      <c r="B232" s="17">
        <f t="shared" si="20"/>
        <v>46289</v>
      </c>
      <c r="C232" s="26">
        <f>I232+J232+K232+L232+M232+N232+O232+IF(P232="",0,P232*サマリー!$B$9)+IF(Q232="",0,IF(Q232=200,サマリー!$B$10,IF(Q232=100,サマリー!$B$11,0)))+IF(R232="",0,R232*サマリー!$B$12)</f>
        <v>0</v>
      </c>
      <c r="D232" s="26">
        <f>S232+T232+U232+V232+W232+IF(X232="",0,X232*サマリー!$B$9)+IF(Y232="",0,IF(Y232=200,サマリー!$B$10,IF(Y232=100,サマリー!$B$11,0)))+IF(Z232="",0,Z232*サマリー!$B$12)</f>
        <v>0</v>
      </c>
      <c r="E232" s="26">
        <f t="shared" si="21"/>
        <v>0</v>
      </c>
      <c r="I232" s="29"/>
      <c r="J232" s="29"/>
      <c r="K232" s="29"/>
      <c r="L232" s="29"/>
      <c r="M232" s="29"/>
      <c r="N232" s="29"/>
      <c r="O232" s="29"/>
      <c r="P232" s="30"/>
      <c r="Q232" s="30"/>
      <c r="R232" s="30"/>
      <c r="S232" s="31"/>
      <c r="T232" s="31"/>
      <c r="U232" s="31"/>
      <c r="V232" s="31"/>
      <c r="W232" s="31"/>
      <c r="X232" s="32"/>
      <c r="Y232" s="32"/>
      <c r="Z232" s="32"/>
    </row>
    <row r="233" spans="1:26">
      <c r="A233" s="28"/>
      <c r="B233" s="17">
        <f t="shared" si="20"/>
        <v>46289</v>
      </c>
      <c r="C233" s="26">
        <f>I233+J233+K233+L233+M233+N233+O233+IF(P233="",0,P233*サマリー!$B$9)+IF(Q233="",0,IF(Q233=200,サマリー!$B$10,IF(Q233=100,サマリー!$B$11,0)))+IF(R233="",0,R233*サマリー!$B$12)</f>
        <v>0</v>
      </c>
      <c r="D233" s="26">
        <f>S233+T233+U233+V233+W233+IF(X233="",0,X233*サマリー!$B$9)+IF(Y233="",0,IF(Y233=200,サマリー!$B$10,IF(Y233=100,サマリー!$B$11,0)))+IF(Z233="",0,Z233*サマリー!$B$12)</f>
        <v>0</v>
      </c>
      <c r="E233" s="26">
        <f t="shared" si="21"/>
        <v>0</v>
      </c>
      <c r="I233" s="29"/>
      <c r="J233" s="29"/>
      <c r="K233" s="29"/>
      <c r="L233" s="29"/>
      <c r="M233" s="29"/>
      <c r="N233" s="29"/>
      <c r="O233" s="29"/>
      <c r="P233" s="30"/>
      <c r="Q233" s="30"/>
      <c r="R233" s="30"/>
      <c r="S233" s="31"/>
      <c r="T233" s="31"/>
      <c r="U233" s="31"/>
      <c r="V233" s="31"/>
      <c r="W233" s="31"/>
      <c r="X233" s="32"/>
      <c r="Y233" s="32"/>
      <c r="Z233" s="32"/>
    </row>
    <row r="234" spans="1:26">
      <c r="A234" s="28"/>
      <c r="B234" s="17">
        <f t="shared" si="20"/>
        <v>46289</v>
      </c>
      <c r="C234" s="26">
        <f>I234+J234+K234+L234+M234+N234+O234+IF(P234="",0,P234*サマリー!$B$9)+IF(Q234="",0,IF(Q234=200,サマリー!$B$10,IF(Q234=100,サマリー!$B$11,0)))+IF(R234="",0,R234*サマリー!$B$12)</f>
        <v>0</v>
      </c>
      <c r="D234" s="26">
        <f>S234+T234+U234+V234+W234+IF(X234="",0,X234*サマリー!$B$9)+IF(Y234="",0,IF(Y234=200,サマリー!$B$10,IF(Y234=100,サマリー!$B$11,0)))+IF(Z234="",0,Z234*サマリー!$B$12)</f>
        <v>0</v>
      </c>
      <c r="E234" s="26">
        <f t="shared" si="21"/>
        <v>0</v>
      </c>
      <c r="I234" s="29"/>
      <c r="J234" s="29"/>
      <c r="K234" s="29"/>
      <c r="L234" s="29"/>
      <c r="M234" s="29"/>
      <c r="N234" s="29"/>
      <c r="O234" s="29"/>
      <c r="P234" s="30"/>
      <c r="Q234" s="30"/>
      <c r="R234" s="30"/>
      <c r="S234" s="31"/>
      <c r="T234" s="31"/>
      <c r="U234" s="31"/>
      <c r="V234" s="31"/>
      <c r="W234" s="31"/>
      <c r="X234" s="32"/>
      <c r="Y234" s="32"/>
      <c r="Z234" s="32"/>
    </row>
    <row r="235" spans="1:26">
      <c r="A235" s="28"/>
      <c r="B235" s="17">
        <f t="shared" si="20"/>
        <v>46289</v>
      </c>
      <c r="C235" s="26">
        <f>I235+J235+K235+L235+M235+N235+O235+IF(P235="",0,P235*サマリー!$B$9)+IF(Q235="",0,IF(Q235=200,サマリー!$B$10,IF(Q235=100,サマリー!$B$11,0)))+IF(R235="",0,R235*サマリー!$B$12)</f>
        <v>0</v>
      </c>
      <c r="D235" s="26">
        <f>S235+T235+U235+V235+W235+IF(X235="",0,X235*サマリー!$B$9)+IF(Y235="",0,IF(Y235=200,サマリー!$B$10,IF(Y235=100,サマリー!$B$11,0)))+IF(Z235="",0,Z235*サマリー!$B$12)</f>
        <v>0</v>
      </c>
      <c r="E235" s="26">
        <f t="shared" si="21"/>
        <v>0</v>
      </c>
      <c r="I235" s="29"/>
      <c r="J235" s="29"/>
      <c r="K235" s="29"/>
      <c r="L235" s="29"/>
      <c r="M235" s="29"/>
      <c r="N235" s="29"/>
      <c r="O235" s="29"/>
      <c r="P235" s="30"/>
      <c r="Q235" s="30"/>
      <c r="R235" s="30"/>
      <c r="S235" s="31"/>
      <c r="T235" s="31"/>
      <c r="U235" s="31"/>
      <c r="V235" s="31"/>
      <c r="W235" s="31"/>
      <c r="X235" s="32"/>
      <c r="Y235" s="32"/>
      <c r="Z235" s="32"/>
    </row>
    <row r="236" spans="1:26">
      <c r="A236" s="28"/>
      <c r="B236" s="17">
        <f t="shared" si="20"/>
        <v>46289</v>
      </c>
      <c r="C236" s="26">
        <f>I236+J236+K236+L236+M236+N236+O236+IF(P236="",0,P236*サマリー!$B$9)+IF(Q236="",0,IF(Q236=200,サマリー!$B$10,IF(Q236=100,サマリー!$B$11,0)))+IF(R236="",0,R236*サマリー!$B$12)</f>
        <v>0</v>
      </c>
      <c r="D236" s="26">
        <f>S236+T236+U236+V236+W236+IF(X236="",0,X236*サマリー!$B$9)+IF(Y236="",0,IF(Y236=200,サマリー!$B$10,IF(Y236=100,サマリー!$B$11,0)))+IF(Z236="",0,Z236*サマリー!$B$12)</f>
        <v>0</v>
      </c>
      <c r="E236" s="26">
        <f t="shared" si="21"/>
        <v>0</v>
      </c>
      <c r="I236" s="29"/>
      <c r="J236" s="29"/>
      <c r="K236" s="29"/>
      <c r="L236" s="29"/>
      <c r="M236" s="29"/>
      <c r="N236" s="29"/>
      <c r="O236" s="29"/>
      <c r="P236" s="30"/>
      <c r="Q236" s="30"/>
      <c r="R236" s="30"/>
      <c r="S236" s="31"/>
      <c r="T236" s="31"/>
      <c r="U236" s="31"/>
      <c r="V236" s="31"/>
      <c r="W236" s="31"/>
      <c r="X236" s="32"/>
      <c r="Y236" s="32"/>
      <c r="Z236" s="32"/>
    </row>
    <row r="237" spans="1:26">
      <c r="A237" s="28"/>
      <c r="B237" s="17">
        <f t="shared" si="20"/>
        <v>46289</v>
      </c>
      <c r="C237" s="26">
        <f>I237+J237+K237+L237+M237+N237+O237+IF(P237="",0,P237*サマリー!$B$9)+IF(Q237="",0,IF(Q237=200,サマリー!$B$10,IF(Q237=100,サマリー!$B$11,0)))+IF(R237="",0,R237*サマリー!$B$12)</f>
        <v>0</v>
      </c>
      <c r="D237" s="26">
        <f>S237+T237+U237+V237+W237+IF(X237="",0,X237*サマリー!$B$9)+IF(Y237="",0,IF(Y237=200,サマリー!$B$10,IF(Y237=100,サマリー!$B$11,0)))+IF(Z237="",0,Z237*サマリー!$B$12)</f>
        <v>0</v>
      </c>
      <c r="E237" s="26">
        <f t="shared" si="21"/>
        <v>0</v>
      </c>
      <c r="I237" s="29"/>
      <c r="J237" s="29"/>
      <c r="K237" s="29"/>
      <c r="L237" s="29"/>
      <c r="M237" s="29"/>
      <c r="N237" s="29"/>
      <c r="O237" s="29"/>
      <c r="P237" s="30"/>
      <c r="Q237" s="30"/>
      <c r="R237" s="30"/>
      <c r="S237" s="31"/>
      <c r="T237" s="31"/>
      <c r="U237" s="31"/>
      <c r="V237" s="31"/>
      <c r="W237" s="31"/>
      <c r="X237" s="32"/>
      <c r="Y237" s="32"/>
      <c r="Z237" s="32"/>
    </row>
    <row r="238" spans="1:26">
      <c r="A238" s="28"/>
      <c r="B238" s="17">
        <f t="shared" si="20"/>
        <v>46289</v>
      </c>
      <c r="C238" s="26">
        <f>I238+J238+K238+L238+M238+N238+O238+IF(P238="",0,P238*サマリー!$B$9)+IF(Q238="",0,IF(Q238=200,サマリー!$B$10,IF(Q238=100,サマリー!$B$11,0)))+IF(R238="",0,R238*サマリー!$B$12)</f>
        <v>0</v>
      </c>
      <c r="D238" s="26">
        <f>S238+T238+U238+V238+W238+IF(X238="",0,X238*サマリー!$B$9)+IF(Y238="",0,IF(Y238=200,サマリー!$B$10,IF(Y238=100,サマリー!$B$11,0)))+IF(Z238="",0,Z238*サマリー!$B$12)</f>
        <v>0</v>
      </c>
      <c r="E238" s="26">
        <f t="shared" si="21"/>
        <v>0</v>
      </c>
      <c r="I238" s="29"/>
      <c r="J238" s="29"/>
      <c r="K238" s="29"/>
      <c r="L238" s="29"/>
      <c r="M238" s="29"/>
      <c r="N238" s="29"/>
      <c r="O238" s="29"/>
      <c r="P238" s="30"/>
      <c r="Q238" s="30"/>
      <c r="R238" s="30"/>
      <c r="S238" s="31"/>
      <c r="T238" s="31"/>
      <c r="U238" s="31"/>
      <c r="V238" s="31"/>
      <c r="W238" s="31"/>
      <c r="X238" s="32"/>
      <c r="Y238" s="32"/>
      <c r="Z238" s="32"/>
    </row>
    <row r="239" spans="1:26">
      <c r="A239" s="28"/>
      <c r="B239" s="17">
        <f t="shared" si="20"/>
        <v>46289</v>
      </c>
      <c r="C239" s="26">
        <f>I239+J239+K239+L239+M239+N239+O239+IF(P239="",0,P239*サマリー!$B$9)+IF(Q239="",0,IF(Q239=200,サマリー!$B$10,IF(Q239=100,サマリー!$B$11,0)))+IF(R239="",0,R239*サマリー!$B$12)</f>
        <v>0</v>
      </c>
      <c r="D239" s="26">
        <f>S239+T239+U239+V239+W239+IF(X239="",0,X239*サマリー!$B$9)+IF(Y239="",0,IF(Y239=200,サマリー!$B$10,IF(Y239=100,サマリー!$B$11,0)))+IF(Z239="",0,Z239*サマリー!$B$12)</f>
        <v>0</v>
      </c>
      <c r="E239" s="26">
        <f t="shared" si="21"/>
        <v>0</v>
      </c>
      <c r="I239" s="29"/>
      <c r="J239" s="29"/>
      <c r="K239" s="29"/>
      <c r="L239" s="29"/>
      <c r="M239" s="29"/>
      <c r="N239" s="29"/>
      <c r="O239" s="29"/>
      <c r="P239" s="30"/>
      <c r="Q239" s="30"/>
      <c r="R239" s="30"/>
      <c r="S239" s="31"/>
      <c r="T239" s="31"/>
      <c r="U239" s="31"/>
      <c r="V239" s="31"/>
      <c r="W239" s="31"/>
      <c r="X239" s="32"/>
      <c r="Y239" s="32"/>
      <c r="Z239" s="32"/>
    </row>
    <row r="240" spans="1:26">
      <c r="A240" s="28"/>
      <c r="B240" s="17">
        <f t="shared" si="20"/>
        <v>46289</v>
      </c>
      <c r="C240" s="26">
        <f>I240+J240+K240+L240+M240+N240+O240+IF(P240="",0,P240*サマリー!$B$9)+IF(Q240="",0,IF(Q240=200,サマリー!$B$10,IF(Q240=100,サマリー!$B$11,0)))+IF(R240="",0,R240*サマリー!$B$12)</f>
        <v>0</v>
      </c>
      <c r="D240" s="26">
        <f>S240+T240+U240+V240+W240+IF(X240="",0,X240*サマリー!$B$9)+IF(Y240="",0,IF(Y240=200,サマリー!$B$10,IF(Y240=100,サマリー!$B$11,0)))+IF(Z240="",0,Z240*サマリー!$B$12)</f>
        <v>0</v>
      </c>
      <c r="E240" s="26">
        <f t="shared" si="21"/>
        <v>0</v>
      </c>
      <c r="I240" s="29"/>
      <c r="J240" s="29"/>
      <c r="K240" s="29"/>
      <c r="L240" s="29"/>
      <c r="M240" s="29"/>
      <c r="N240" s="29"/>
      <c r="O240" s="29"/>
      <c r="P240" s="30"/>
      <c r="Q240" s="30"/>
      <c r="R240" s="30"/>
      <c r="S240" s="31"/>
      <c r="T240" s="31"/>
      <c r="U240" s="31"/>
      <c r="V240" s="31"/>
      <c r="W240" s="31"/>
      <c r="X240" s="32"/>
      <c r="Y240" s="32"/>
      <c r="Z240" s="32"/>
    </row>
    <row r="241" spans="1:26">
      <c r="A241" s="28"/>
      <c r="B241" s="17">
        <f t="shared" si="20"/>
        <v>46289</v>
      </c>
      <c r="C241" s="26">
        <f>I241+J241+K241+L241+M241+N241+O241+IF(P241="",0,P241*サマリー!$B$9)+IF(Q241="",0,IF(Q241=200,サマリー!$B$10,IF(Q241=100,サマリー!$B$11,0)))+IF(R241="",0,R241*サマリー!$B$12)</f>
        <v>0</v>
      </c>
      <c r="D241" s="26">
        <f>S241+T241+U241+V241+W241+IF(X241="",0,X241*サマリー!$B$9)+IF(Y241="",0,IF(Y241=200,サマリー!$B$10,IF(Y241=100,サマリー!$B$11,0)))+IF(Z241="",0,Z241*サマリー!$B$12)</f>
        <v>0</v>
      </c>
      <c r="E241" s="26">
        <f t="shared" si="21"/>
        <v>0</v>
      </c>
      <c r="I241" s="29"/>
      <c r="J241" s="29"/>
      <c r="K241" s="29"/>
      <c r="L241" s="29"/>
      <c r="M241" s="29"/>
      <c r="N241" s="29"/>
      <c r="O241" s="29"/>
      <c r="P241" s="30"/>
      <c r="Q241" s="30"/>
      <c r="R241" s="30"/>
      <c r="S241" s="31"/>
      <c r="T241" s="31"/>
      <c r="U241" s="31"/>
      <c r="V241" s="31"/>
      <c r="W241" s="31"/>
      <c r="X241" s="32"/>
      <c r="Y241" s="32"/>
      <c r="Z241" s="32"/>
    </row>
    <row r="242" spans="1:26">
      <c r="A242" s="28"/>
      <c r="B242" s="17">
        <f t="shared" si="20"/>
        <v>46289</v>
      </c>
      <c r="C242" s="26">
        <f>I242+J242+K242+L242+M242+N242+O242+IF(P242="",0,P242*サマリー!$B$9)+IF(Q242="",0,IF(Q242=200,サマリー!$B$10,IF(Q242=100,サマリー!$B$11,0)))+IF(R242="",0,R242*サマリー!$B$12)</f>
        <v>0</v>
      </c>
      <c r="D242" s="26">
        <f>S242+T242+U242+V242+W242+IF(X242="",0,X242*サマリー!$B$9)+IF(Y242="",0,IF(Y242=200,サマリー!$B$10,IF(Y242=100,サマリー!$B$11,0)))+IF(Z242="",0,Z242*サマリー!$B$12)</f>
        <v>0</v>
      </c>
      <c r="E242" s="26">
        <f t="shared" si="21"/>
        <v>0</v>
      </c>
      <c r="I242" s="29"/>
      <c r="J242" s="29"/>
      <c r="K242" s="29"/>
      <c r="L242" s="29"/>
      <c r="M242" s="29"/>
      <c r="N242" s="29"/>
      <c r="O242" s="29"/>
      <c r="P242" s="30"/>
      <c r="Q242" s="30"/>
      <c r="R242" s="30"/>
      <c r="S242" s="31"/>
      <c r="T242" s="31"/>
      <c r="U242" s="31"/>
      <c r="V242" s="31"/>
      <c r="W242" s="31"/>
      <c r="X242" s="32"/>
      <c r="Y242" s="32"/>
      <c r="Z242" s="32"/>
    </row>
    <row r="243" spans="1:26">
      <c r="A243" s="28"/>
      <c r="B243" s="17">
        <f t="shared" si="20"/>
        <v>46289</v>
      </c>
      <c r="C243" s="26">
        <f>I243+J243+K243+L243+M243+N243+O243+IF(P243="",0,P243*サマリー!$B$9)+IF(Q243="",0,IF(Q243=200,サマリー!$B$10,IF(Q243=100,サマリー!$B$11,0)))+IF(R243="",0,R243*サマリー!$B$12)</f>
        <v>0</v>
      </c>
      <c r="D243" s="26">
        <f>S243+T243+U243+V243+W243+IF(X243="",0,X243*サマリー!$B$9)+IF(Y243="",0,IF(Y243=200,サマリー!$B$10,IF(Y243=100,サマリー!$B$11,0)))+IF(Z243="",0,Z243*サマリー!$B$12)</f>
        <v>0</v>
      </c>
      <c r="E243" s="26">
        <f t="shared" si="21"/>
        <v>0</v>
      </c>
      <c r="I243" s="29"/>
      <c r="J243" s="29"/>
      <c r="K243" s="29"/>
      <c r="L243" s="29"/>
      <c r="M243" s="29"/>
      <c r="N243" s="29"/>
      <c r="O243" s="29"/>
      <c r="P243" s="30"/>
      <c r="Q243" s="30"/>
      <c r="R243" s="30"/>
      <c r="S243" s="31"/>
      <c r="T243" s="31"/>
      <c r="U243" s="31"/>
      <c r="V243" s="31"/>
      <c r="W243" s="31"/>
      <c r="X243" s="32"/>
      <c r="Y243" s="32"/>
      <c r="Z243" s="32"/>
    </row>
    <row r="244" spans="1:26">
      <c r="A244" s="28"/>
      <c r="B244" s="17">
        <f t="shared" si="20"/>
        <v>46289</v>
      </c>
      <c r="C244" s="26">
        <f>I244+J244+K244+L244+M244+N244+O244+IF(P244="",0,P244*サマリー!$B$9)+IF(Q244="",0,IF(Q244=200,サマリー!$B$10,IF(Q244=100,サマリー!$B$11,0)))+IF(R244="",0,R244*サマリー!$B$12)</f>
        <v>0</v>
      </c>
      <c r="D244" s="26">
        <f>S244+T244+U244+V244+W244+IF(X244="",0,X244*サマリー!$B$9)+IF(Y244="",0,IF(Y244=200,サマリー!$B$10,IF(Y244=100,サマリー!$B$11,0)))+IF(Z244="",0,Z244*サマリー!$B$12)</f>
        <v>0</v>
      </c>
      <c r="E244" s="26">
        <f t="shared" si="21"/>
        <v>0</v>
      </c>
      <c r="I244" s="29"/>
      <c r="J244" s="29"/>
      <c r="K244" s="29"/>
      <c r="L244" s="29"/>
      <c r="M244" s="29"/>
      <c r="N244" s="29"/>
      <c r="O244" s="29"/>
      <c r="P244" s="30"/>
      <c r="Q244" s="30"/>
      <c r="R244" s="30"/>
      <c r="S244" s="31"/>
      <c r="T244" s="31"/>
      <c r="U244" s="31"/>
      <c r="V244" s="31"/>
      <c r="W244" s="31"/>
      <c r="X244" s="32"/>
      <c r="Y244" s="32"/>
      <c r="Z244" s="32"/>
    </row>
    <row r="245" spans="1:26">
      <c r="A245" s="28"/>
      <c r="B245" s="17">
        <f t="shared" ref="B245:B308" si="22">IF(A245="",B244,IF(A245&lt;DAY(B244),DATE(YEAR(B244),MONTH(B244)+1,A245),DATE(YEAR(B244),MONTH(B244),A245)))</f>
        <v>46289</v>
      </c>
      <c r="C245" s="26">
        <f>I245+J245+K245+L245+M245+N245+O245+IF(P245="",0,P245*サマリー!$B$9)+IF(Q245="",0,IF(Q245=200,サマリー!$B$10,IF(Q245=100,サマリー!$B$11,0)))+IF(R245="",0,R245*サマリー!$B$12)</f>
        <v>0</v>
      </c>
      <c r="D245" s="26">
        <f>S245+T245+U245+V245+W245+IF(X245="",0,X245*サマリー!$B$9)+IF(Y245="",0,IF(Y245=200,サマリー!$B$10,IF(Y245=100,サマリー!$B$11,0)))+IF(Z245="",0,Z245*サマリー!$B$12)</f>
        <v>0</v>
      </c>
      <c r="E245" s="26">
        <f t="shared" ref="E245:E308" si="23">C245+D245</f>
        <v>0</v>
      </c>
      <c r="I245" s="29"/>
      <c r="J245" s="29"/>
      <c r="K245" s="29"/>
      <c r="L245" s="29"/>
      <c r="M245" s="29"/>
      <c r="N245" s="29"/>
      <c r="O245" s="29"/>
      <c r="P245" s="30"/>
      <c r="Q245" s="30"/>
      <c r="R245" s="30"/>
      <c r="S245" s="31"/>
      <c r="T245" s="31"/>
      <c r="U245" s="31"/>
      <c r="V245" s="31"/>
      <c r="W245" s="31"/>
      <c r="X245" s="32"/>
      <c r="Y245" s="32"/>
      <c r="Z245" s="32"/>
    </row>
    <row r="246" spans="1:26">
      <c r="A246" s="28"/>
      <c r="B246" s="17">
        <f t="shared" si="22"/>
        <v>46289</v>
      </c>
      <c r="C246" s="26">
        <f>I246+J246+K246+L246+M246+N246+O246+IF(P246="",0,P246*サマリー!$B$9)+IF(Q246="",0,IF(Q246=200,サマリー!$B$10,IF(Q246=100,サマリー!$B$11,0)))+IF(R246="",0,R246*サマリー!$B$12)</f>
        <v>0</v>
      </c>
      <c r="D246" s="26">
        <f>S246+T246+U246+V246+W246+IF(X246="",0,X246*サマリー!$B$9)+IF(Y246="",0,IF(Y246=200,サマリー!$B$10,IF(Y246=100,サマリー!$B$11,0)))+IF(Z246="",0,Z246*サマリー!$B$12)</f>
        <v>0</v>
      </c>
      <c r="E246" s="26">
        <f t="shared" si="23"/>
        <v>0</v>
      </c>
      <c r="I246" s="29"/>
      <c r="J246" s="29"/>
      <c r="K246" s="29"/>
      <c r="L246" s="29"/>
      <c r="M246" s="29"/>
      <c r="N246" s="29"/>
      <c r="O246" s="29"/>
      <c r="P246" s="30"/>
      <c r="Q246" s="30"/>
      <c r="R246" s="30"/>
      <c r="S246" s="31"/>
      <c r="T246" s="31"/>
      <c r="U246" s="31"/>
      <c r="V246" s="31"/>
      <c r="W246" s="31"/>
      <c r="X246" s="32"/>
      <c r="Y246" s="32"/>
      <c r="Z246" s="32"/>
    </row>
    <row r="247" spans="1:26">
      <c r="A247" s="28"/>
      <c r="B247" s="17">
        <f t="shared" si="22"/>
        <v>46289</v>
      </c>
      <c r="C247" s="26">
        <f>I247+J247+K247+L247+M247+N247+O247+IF(P247="",0,P247*サマリー!$B$9)+IF(Q247="",0,IF(Q247=200,サマリー!$B$10,IF(Q247=100,サマリー!$B$11,0)))+IF(R247="",0,R247*サマリー!$B$12)</f>
        <v>0</v>
      </c>
      <c r="D247" s="26">
        <f>S247+T247+U247+V247+W247+IF(X247="",0,X247*サマリー!$B$9)+IF(Y247="",0,IF(Y247=200,サマリー!$B$10,IF(Y247=100,サマリー!$B$11,0)))+IF(Z247="",0,Z247*サマリー!$B$12)</f>
        <v>0</v>
      </c>
      <c r="E247" s="26">
        <f t="shared" si="23"/>
        <v>0</v>
      </c>
      <c r="I247" s="29"/>
      <c r="J247" s="29"/>
      <c r="K247" s="29"/>
      <c r="L247" s="29"/>
      <c r="M247" s="29"/>
      <c r="N247" s="29"/>
      <c r="O247" s="29"/>
      <c r="P247" s="30"/>
      <c r="Q247" s="30"/>
      <c r="R247" s="30"/>
      <c r="S247" s="31"/>
      <c r="T247" s="31"/>
      <c r="U247" s="31"/>
      <c r="V247" s="31"/>
      <c r="W247" s="31"/>
      <c r="X247" s="32"/>
      <c r="Y247" s="32"/>
      <c r="Z247" s="32"/>
    </row>
    <row r="248" spans="1:26">
      <c r="A248" s="28"/>
      <c r="B248" s="17">
        <f t="shared" si="22"/>
        <v>46289</v>
      </c>
      <c r="C248" s="26">
        <f>I248+J248+K248+L248+M248+N248+O248+IF(P248="",0,P248*サマリー!$B$9)+IF(Q248="",0,IF(Q248=200,サマリー!$B$10,IF(Q248=100,サマリー!$B$11,0)))+IF(R248="",0,R248*サマリー!$B$12)</f>
        <v>0</v>
      </c>
      <c r="D248" s="26">
        <f>S248+T248+U248+V248+W248+IF(X248="",0,X248*サマリー!$B$9)+IF(Y248="",0,IF(Y248=200,サマリー!$B$10,IF(Y248=100,サマリー!$B$11,0)))+IF(Z248="",0,Z248*サマリー!$B$12)</f>
        <v>0</v>
      </c>
      <c r="E248" s="26">
        <f t="shared" si="23"/>
        <v>0</v>
      </c>
      <c r="I248" s="29"/>
      <c r="J248" s="29"/>
      <c r="K248" s="29"/>
      <c r="L248" s="29"/>
      <c r="M248" s="29"/>
      <c r="N248" s="29"/>
      <c r="O248" s="29"/>
      <c r="P248" s="30"/>
      <c r="Q248" s="30"/>
      <c r="R248" s="30"/>
      <c r="S248" s="31"/>
      <c r="T248" s="31"/>
      <c r="U248" s="31"/>
      <c r="V248" s="31"/>
      <c r="W248" s="31"/>
      <c r="X248" s="32"/>
      <c r="Y248" s="32"/>
      <c r="Z248" s="32"/>
    </row>
    <row r="249" spans="1:26">
      <c r="A249" s="28"/>
      <c r="B249" s="17">
        <f t="shared" si="22"/>
        <v>46289</v>
      </c>
      <c r="C249" s="26">
        <f>I249+J249+K249+L249+M249+N249+O249+IF(P249="",0,P249*サマリー!$B$9)+IF(Q249="",0,IF(Q249=200,サマリー!$B$10,IF(Q249=100,サマリー!$B$11,0)))+IF(R249="",0,R249*サマリー!$B$12)</f>
        <v>0</v>
      </c>
      <c r="D249" s="26">
        <f>S249+T249+U249+V249+W249+IF(X249="",0,X249*サマリー!$B$9)+IF(Y249="",0,IF(Y249=200,サマリー!$B$10,IF(Y249=100,サマリー!$B$11,0)))+IF(Z249="",0,Z249*サマリー!$B$12)</f>
        <v>0</v>
      </c>
      <c r="E249" s="26">
        <f t="shared" si="23"/>
        <v>0</v>
      </c>
      <c r="I249" s="29"/>
      <c r="J249" s="29"/>
      <c r="K249" s="29"/>
      <c r="L249" s="29"/>
      <c r="M249" s="29"/>
      <c r="N249" s="29"/>
      <c r="O249" s="29"/>
      <c r="P249" s="30"/>
      <c r="Q249" s="30"/>
      <c r="R249" s="30"/>
      <c r="S249" s="31"/>
      <c r="T249" s="31"/>
      <c r="U249" s="31"/>
      <c r="V249" s="31"/>
      <c r="W249" s="31"/>
      <c r="X249" s="32"/>
      <c r="Y249" s="32"/>
      <c r="Z249" s="32"/>
    </row>
    <row r="250" spans="1:26">
      <c r="A250" s="28"/>
      <c r="B250" s="17">
        <f t="shared" si="22"/>
        <v>46289</v>
      </c>
      <c r="C250" s="26">
        <f>I250+J250+K250+L250+M250+N250+O250+IF(P250="",0,P250*サマリー!$B$9)+IF(Q250="",0,IF(Q250=200,サマリー!$B$10,IF(Q250=100,サマリー!$B$11,0)))+IF(R250="",0,R250*サマリー!$B$12)</f>
        <v>0</v>
      </c>
      <c r="D250" s="26">
        <f>S250+T250+U250+V250+W250+IF(X250="",0,X250*サマリー!$B$9)+IF(Y250="",0,IF(Y250=200,サマリー!$B$10,IF(Y250=100,サマリー!$B$11,0)))+IF(Z250="",0,Z250*サマリー!$B$12)</f>
        <v>0</v>
      </c>
      <c r="E250" s="26">
        <f t="shared" si="23"/>
        <v>0</v>
      </c>
      <c r="I250" s="29"/>
      <c r="J250" s="29"/>
      <c r="K250" s="29"/>
      <c r="L250" s="29"/>
      <c r="M250" s="29"/>
      <c r="N250" s="29"/>
      <c r="O250" s="29"/>
      <c r="P250" s="30"/>
      <c r="Q250" s="30"/>
      <c r="R250" s="30"/>
      <c r="S250" s="31"/>
      <c r="T250" s="31"/>
      <c r="U250" s="31"/>
      <c r="V250" s="31"/>
      <c r="W250" s="31"/>
      <c r="X250" s="32"/>
      <c r="Y250" s="32"/>
      <c r="Z250" s="32"/>
    </row>
    <row r="251" spans="1:26">
      <c r="A251" s="28"/>
      <c r="B251" s="17">
        <f t="shared" si="22"/>
        <v>46289</v>
      </c>
      <c r="C251" s="26">
        <f>I251+J251+K251+L251+M251+N251+O251+IF(P251="",0,P251*サマリー!$B$9)+IF(Q251="",0,IF(Q251=200,サマリー!$B$10,IF(Q251=100,サマリー!$B$11,0)))+IF(R251="",0,R251*サマリー!$B$12)</f>
        <v>0</v>
      </c>
      <c r="D251" s="26">
        <f>S251+T251+U251+V251+W251+IF(X251="",0,X251*サマリー!$B$9)+IF(Y251="",0,IF(Y251=200,サマリー!$B$10,IF(Y251=100,サマリー!$B$11,0)))+IF(Z251="",0,Z251*サマリー!$B$12)</f>
        <v>0</v>
      </c>
      <c r="E251" s="26">
        <f t="shared" si="23"/>
        <v>0</v>
      </c>
      <c r="I251" s="29"/>
      <c r="J251" s="29"/>
      <c r="K251" s="29"/>
      <c r="L251" s="29"/>
      <c r="M251" s="29"/>
      <c r="N251" s="29"/>
      <c r="O251" s="29"/>
      <c r="P251" s="30"/>
      <c r="Q251" s="30"/>
      <c r="R251" s="30"/>
      <c r="S251" s="31"/>
      <c r="T251" s="31"/>
      <c r="U251" s="31"/>
      <c r="V251" s="31"/>
      <c r="W251" s="31"/>
      <c r="X251" s="32"/>
      <c r="Y251" s="32"/>
      <c r="Z251" s="32"/>
    </row>
    <row r="252" spans="1:26">
      <c r="A252" s="28"/>
      <c r="B252" s="17">
        <f t="shared" si="22"/>
        <v>46289</v>
      </c>
      <c r="C252" s="26">
        <f>I252+J252+K252+L252+M252+N252+O252+IF(P252="",0,P252*サマリー!$B$9)+IF(Q252="",0,IF(Q252=200,サマリー!$B$10,IF(Q252=100,サマリー!$B$11,0)))+IF(R252="",0,R252*サマリー!$B$12)</f>
        <v>0</v>
      </c>
      <c r="D252" s="26">
        <f>S252+T252+U252+V252+W252+IF(X252="",0,X252*サマリー!$B$9)+IF(Y252="",0,IF(Y252=200,サマリー!$B$10,IF(Y252=100,サマリー!$B$11,0)))+IF(Z252="",0,Z252*サマリー!$B$12)</f>
        <v>0</v>
      </c>
      <c r="E252" s="26">
        <f t="shared" si="23"/>
        <v>0</v>
      </c>
      <c r="I252" s="29"/>
      <c r="J252" s="29"/>
      <c r="K252" s="29"/>
      <c r="L252" s="29"/>
      <c r="M252" s="29"/>
      <c r="N252" s="29"/>
      <c r="O252" s="29"/>
      <c r="P252" s="30"/>
      <c r="Q252" s="30"/>
      <c r="R252" s="30"/>
      <c r="S252" s="31"/>
      <c r="T252" s="31"/>
      <c r="U252" s="31"/>
      <c r="V252" s="31"/>
      <c r="W252" s="31"/>
      <c r="X252" s="32"/>
      <c r="Y252" s="32"/>
      <c r="Z252" s="32"/>
    </row>
    <row r="253" spans="1:26">
      <c r="A253" s="28"/>
      <c r="B253" s="17">
        <f t="shared" si="22"/>
        <v>46289</v>
      </c>
      <c r="C253" s="26">
        <f>I253+J253+K253+L253+M253+N253+O253+IF(P253="",0,P253*サマリー!$B$9)+IF(Q253="",0,IF(Q253=200,サマリー!$B$10,IF(Q253=100,サマリー!$B$11,0)))+IF(R253="",0,R253*サマリー!$B$12)</f>
        <v>0</v>
      </c>
      <c r="D253" s="26">
        <f>S253+T253+U253+V253+W253+IF(X253="",0,X253*サマリー!$B$9)+IF(Y253="",0,IF(Y253=200,サマリー!$B$10,IF(Y253=100,サマリー!$B$11,0)))+IF(Z253="",0,Z253*サマリー!$B$12)</f>
        <v>0</v>
      </c>
      <c r="E253" s="26">
        <f t="shared" si="23"/>
        <v>0</v>
      </c>
      <c r="I253" s="29"/>
      <c r="J253" s="29"/>
      <c r="K253" s="29"/>
      <c r="L253" s="29"/>
      <c r="M253" s="29"/>
      <c r="N253" s="29"/>
      <c r="O253" s="29"/>
      <c r="P253" s="30"/>
      <c r="Q253" s="30"/>
      <c r="R253" s="30"/>
      <c r="S253" s="31"/>
      <c r="T253" s="31"/>
      <c r="U253" s="31"/>
      <c r="V253" s="31"/>
      <c r="W253" s="31"/>
      <c r="X253" s="32"/>
      <c r="Y253" s="32"/>
      <c r="Z253" s="32"/>
    </row>
    <row r="254" spans="1:26">
      <c r="A254" s="28"/>
      <c r="B254" s="17">
        <f t="shared" si="22"/>
        <v>46289</v>
      </c>
      <c r="C254" s="26">
        <f>I254+J254+K254+L254+M254+N254+O254+IF(P254="",0,P254*サマリー!$B$9)+IF(Q254="",0,IF(Q254=200,サマリー!$B$10,IF(Q254=100,サマリー!$B$11,0)))+IF(R254="",0,R254*サマリー!$B$12)</f>
        <v>0</v>
      </c>
      <c r="D254" s="26">
        <f>S254+T254+U254+V254+W254+IF(X254="",0,X254*サマリー!$B$9)+IF(Y254="",0,IF(Y254=200,サマリー!$B$10,IF(Y254=100,サマリー!$B$11,0)))+IF(Z254="",0,Z254*サマリー!$B$12)</f>
        <v>0</v>
      </c>
      <c r="E254" s="26">
        <f t="shared" si="23"/>
        <v>0</v>
      </c>
      <c r="I254" s="29"/>
      <c r="J254" s="29"/>
      <c r="K254" s="29"/>
      <c r="L254" s="29"/>
      <c r="M254" s="29"/>
      <c r="N254" s="29"/>
      <c r="O254" s="29"/>
      <c r="P254" s="30"/>
      <c r="Q254" s="30"/>
      <c r="R254" s="30"/>
      <c r="S254" s="31"/>
      <c r="T254" s="31"/>
      <c r="U254" s="31"/>
      <c r="V254" s="31"/>
      <c r="W254" s="31"/>
      <c r="X254" s="32"/>
      <c r="Y254" s="32"/>
      <c r="Z254" s="32"/>
    </row>
    <row r="255" spans="1:26">
      <c r="A255" s="28"/>
      <c r="B255" s="17">
        <f t="shared" si="22"/>
        <v>46289</v>
      </c>
      <c r="C255" s="26">
        <f>I255+J255+K255+L255+M255+N255+O255+IF(P255="",0,P255*サマリー!$B$9)+IF(Q255="",0,IF(Q255=200,サマリー!$B$10,IF(Q255=100,サマリー!$B$11,0)))+IF(R255="",0,R255*サマリー!$B$12)</f>
        <v>0</v>
      </c>
      <c r="D255" s="26">
        <f>S255+T255+U255+V255+W255+IF(X255="",0,X255*サマリー!$B$9)+IF(Y255="",0,IF(Y255=200,サマリー!$B$10,IF(Y255=100,サマリー!$B$11,0)))+IF(Z255="",0,Z255*サマリー!$B$12)</f>
        <v>0</v>
      </c>
      <c r="E255" s="26">
        <f t="shared" si="23"/>
        <v>0</v>
      </c>
      <c r="I255" s="29"/>
      <c r="J255" s="29"/>
      <c r="K255" s="29"/>
      <c r="L255" s="29"/>
      <c r="M255" s="29"/>
      <c r="N255" s="29"/>
      <c r="O255" s="29"/>
      <c r="P255" s="30"/>
      <c r="Q255" s="30"/>
      <c r="R255" s="30"/>
      <c r="S255" s="31"/>
      <c r="T255" s="31"/>
      <c r="U255" s="31"/>
      <c r="V255" s="31"/>
      <c r="W255" s="31"/>
      <c r="X255" s="32"/>
      <c r="Y255" s="32"/>
      <c r="Z255" s="32"/>
    </row>
    <row r="256" spans="1:26">
      <c r="A256" s="28"/>
      <c r="B256" s="17">
        <f t="shared" si="22"/>
        <v>46289</v>
      </c>
      <c r="C256" s="26">
        <f>I256+J256+K256+L256+M256+N256+O256+IF(P256="",0,P256*サマリー!$B$9)+IF(Q256="",0,IF(Q256=200,サマリー!$B$10,IF(Q256=100,サマリー!$B$11,0)))+IF(R256="",0,R256*サマリー!$B$12)</f>
        <v>0</v>
      </c>
      <c r="D256" s="26">
        <f>S256+T256+U256+V256+W256+IF(X256="",0,X256*サマリー!$B$9)+IF(Y256="",0,IF(Y256=200,サマリー!$B$10,IF(Y256=100,サマリー!$B$11,0)))+IF(Z256="",0,Z256*サマリー!$B$12)</f>
        <v>0</v>
      </c>
      <c r="E256" s="26">
        <f t="shared" si="23"/>
        <v>0</v>
      </c>
      <c r="I256" s="29"/>
      <c r="J256" s="29"/>
      <c r="K256" s="29"/>
      <c r="L256" s="29"/>
      <c r="M256" s="29"/>
      <c r="N256" s="29"/>
      <c r="O256" s="29"/>
      <c r="P256" s="30"/>
      <c r="Q256" s="30"/>
      <c r="R256" s="30"/>
      <c r="S256" s="31"/>
      <c r="T256" s="31"/>
      <c r="U256" s="31"/>
      <c r="V256" s="31"/>
      <c r="W256" s="31"/>
      <c r="X256" s="32"/>
      <c r="Y256" s="32"/>
      <c r="Z256" s="32"/>
    </row>
    <row r="257" spans="1:26">
      <c r="A257" s="28"/>
      <c r="B257" s="17">
        <f t="shared" si="22"/>
        <v>46289</v>
      </c>
      <c r="C257" s="26">
        <f>I257+J257+K257+L257+M257+N257+O257+IF(P257="",0,P257*サマリー!$B$9)+IF(Q257="",0,IF(Q257=200,サマリー!$B$10,IF(Q257=100,サマリー!$B$11,0)))+IF(R257="",0,R257*サマリー!$B$12)</f>
        <v>0</v>
      </c>
      <c r="D257" s="26">
        <f>S257+T257+U257+V257+W257+IF(X257="",0,X257*サマリー!$B$9)+IF(Y257="",0,IF(Y257=200,サマリー!$B$10,IF(Y257=100,サマリー!$B$11,0)))+IF(Z257="",0,Z257*サマリー!$B$12)</f>
        <v>0</v>
      </c>
      <c r="E257" s="26">
        <f t="shared" si="23"/>
        <v>0</v>
      </c>
      <c r="I257" s="29"/>
      <c r="J257" s="29"/>
      <c r="K257" s="29"/>
      <c r="L257" s="29"/>
      <c r="M257" s="29"/>
      <c r="N257" s="29"/>
      <c r="O257" s="29"/>
      <c r="P257" s="30"/>
      <c r="Q257" s="30"/>
      <c r="R257" s="30"/>
      <c r="S257" s="31"/>
      <c r="T257" s="31"/>
      <c r="U257" s="31"/>
      <c r="V257" s="31"/>
      <c r="W257" s="31"/>
      <c r="X257" s="32"/>
      <c r="Y257" s="32"/>
      <c r="Z257" s="32"/>
    </row>
    <row r="258" spans="1:26">
      <c r="A258" s="28"/>
      <c r="B258" s="17">
        <f t="shared" si="22"/>
        <v>46289</v>
      </c>
      <c r="C258" s="26">
        <f>I258+J258+K258+L258+M258+N258+O258+IF(P258="",0,P258*サマリー!$B$9)+IF(Q258="",0,IF(Q258=200,サマリー!$B$10,IF(Q258=100,サマリー!$B$11,0)))+IF(R258="",0,R258*サマリー!$B$12)</f>
        <v>0</v>
      </c>
      <c r="D258" s="26">
        <f>S258+T258+U258+V258+W258+IF(X258="",0,X258*サマリー!$B$9)+IF(Y258="",0,IF(Y258=200,サマリー!$B$10,IF(Y258=100,サマリー!$B$11,0)))+IF(Z258="",0,Z258*サマリー!$B$12)</f>
        <v>0</v>
      </c>
      <c r="E258" s="26">
        <f t="shared" si="23"/>
        <v>0</v>
      </c>
      <c r="I258" s="29"/>
      <c r="J258" s="29"/>
      <c r="K258" s="29"/>
      <c r="L258" s="29"/>
      <c r="M258" s="29"/>
      <c r="N258" s="29"/>
      <c r="O258" s="29"/>
      <c r="P258" s="30"/>
      <c r="Q258" s="30"/>
      <c r="R258" s="30"/>
      <c r="S258" s="31"/>
      <c r="T258" s="31"/>
      <c r="U258" s="31"/>
      <c r="V258" s="31"/>
      <c r="W258" s="31"/>
      <c r="X258" s="32"/>
      <c r="Y258" s="32"/>
      <c r="Z258" s="32"/>
    </row>
    <row r="259" spans="1:26">
      <c r="A259" s="28"/>
      <c r="B259" s="17">
        <f t="shared" si="22"/>
        <v>46289</v>
      </c>
      <c r="C259" s="26">
        <f>I259+J259+K259+L259+M259+N259+O259+IF(P259="",0,P259*サマリー!$B$9)+IF(Q259="",0,IF(Q259=200,サマリー!$B$10,IF(Q259=100,サマリー!$B$11,0)))+IF(R259="",0,R259*サマリー!$B$12)</f>
        <v>0</v>
      </c>
      <c r="D259" s="26">
        <f>S259+T259+U259+V259+W259+IF(X259="",0,X259*サマリー!$B$9)+IF(Y259="",0,IF(Y259=200,サマリー!$B$10,IF(Y259=100,サマリー!$B$11,0)))+IF(Z259="",0,Z259*サマリー!$B$12)</f>
        <v>0</v>
      </c>
      <c r="E259" s="26">
        <f t="shared" si="23"/>
        <v>0</v>
      </c>
      <c r="I259" s="29"/>
      <c r="J259" s="29"/>
      <c r="K259" s="29"/>
      <c r="L259" s="29"/>
      <c r="M259" s="29"/>
      <c r="N259" s="29"/>
      <c r="O259" s="29"/>
      <c r="P259" s="30"/>
      <c r="Q259" s="30"/>
      <c r="R259" s="30"/>
      <c r="S259" s="31"/>
      <c r="T259" s="31"/>
      <c r="U259" s="31"/>
      <c r="V259" s="31"/>
      <c r="W259" s="31"/>
      <c r="X259" s="32"/>
      <c r="Y259" s="32"/>
      <c r="Z259" s="32"/>
    </row>
    <row r="260" spans="1:26">
      <c r="A260" s="28"/>
      <c r="B260" s="17">
        <f t="shared" si="22"/>
        <v>46289</v>
      </c>
      <c r="C260" s="26">
        <f>I260+J260+K260+L260+M260+N260+O260+IF(P260="",0,P260*サマリー!$B$9)+IF(Q260="",0,IF(Q260=200,サマリー!$B$10,IF(Q260=100,サマリー!$B$11,0)))+IF(R260="",0,R260*サマリー!$B$12)</f>
        <v>0</v>
      </c>
      <c r="D260" s="26">
        <f>S260+T260+U260+V260+W260+IF(X260="",0,X260*サマリー!$B$9)+IF(Y260="",0,IF(Y260=200,サマリー!$B$10,IF(Y260=100,サマリー!$B$11,0)))+IF(Z260="",0,Z260*サマリー!$B$12)</f>
        <v>0</v>
      </c>
      <c r="E260" s="26">
        <f t="shared" si="23"/>
        <v>0</v>
      </c>
      <c r="I260" s="29"/>
      <c r="J260" s="29"/>
      <c r="K260" s="29"/>
      <c r="L260" s="29"/>
      <c r="M260" s="29"/>
      <c r="N260" s="29"/>
      <c r="O260" s="29"/>
      <c r="P260" s="30"/>
      <c r="Q260" s="30"/>
      <c r="R260" s="30"/>
      <c r="S260" s="31"/>
      <c r="T260" s="31"/>
      <c r="U260" s="31"/>
      <c r="V260" s="31"/>
      <c r="W260" s="31"/>
      <c r="X260" s="32"/>
      <c r="Y260" s="32"/>
      <c r="Z260" s="32"/>
    </row>
    <row r="261" spans="1:26">
      <c r="A261" s="28"/>
      <c r="B261" s="17">
        <f t="shared" si="22"/>
        <v>46289</v>
      </c>
      <c r="C261" s="26">
        <f>I261+J261+K261+L261+M261+N261+O261+IF(P261="",0,P261*サマリー!$B$9)+IF(Q261="",0,IF(Q261=200,サマリー!$B$10,IF(Q261=100,サマリー!$B$11,0)))+IF(R261="",0,R261*サマリー!$B$12)</f>
        <v>0</v>
      </c>
      <c r="D261" s="26">
        <f>S261+T261+U261+V261+W261+IF(X261="",0,X261*サマリー!$B$9)+IF(Y261="",0,IF(Y261=200,サマリー!$B$10,IF(Y261=100,サマリー!$B$11,0)))+IF(Z261="",0,Z261*サマリー!$B$12)</f>
        <v>0</v>
      </c>
      <c r="E261" s="26">
        <f t="shared" si="23"/>
        <v>0</v>
      </c>
      <c r="I261" s="29"/>
      <c r="J261" s="29"/>
      <c r="K261" s="29"/>
      <c r="L261" s="29"/>
      <c r="M261" s="29"/>
      <c r="N261" s="29"/>
      <c r="O261" s="29"/>
      <c r="P261" s="30"/>
      <c r="Q261" s="30"/>
      <c r="R261" s="30"/>
      <c r="S261" s="31"/>
      <c r="T261" s="31"/>
      <c r="U261" s="31"/>
      <c r="V261" s="31"/>
      <c r="W261" s="31"/>
      <c r="X261" s="32"/>
      <c r="Y261" s="32"/>
      <c r="Z261" s="32"/>
    </row>
    <row r="262" spans="1:26">
      <c r="A262" s="28"/>
      <c r="B262" s="17">
        <f t="shared" si="22"/>
        <v>46289</v>
      </c>
      <c r="C262" s="26">
        <f>I262+J262+K262+L262+M262+N262+O262+IF(P262="",0,P262*サマリー!$B$9)+IF(Q262="",0,IF(Q262=200,サマリー!$B$10,IF(Q262=100,サマリー!$B$11,0)))+IF(R262="",0,R262*サマリー!$B$12)</f>
        <v>0</v>
      </c>
      <c r="D262" s="26">
        <f>S262+T262+U262+V262+W262+IF(X262="",0,X262*サマリー!$B$9)+IF(Y262="",0,IF(Y262=200,サマリー!$B$10,IF(Y262=100,サマリー!$B$11,0)))+IF(Z262="",0,Z262*サマリー!$B$12)</f>
        <v>0</v>
      </c>
      <c r="E262" s="26">
        <f t="shared" si="23"/>
        <v>0</v>
      </c>
      <c r="I262" s="29"/>
      <c r="J262" s="29"/>
      <c r="K262" s="29"/>
      <c r="L262" s="29"/>
      <c r="M262" s="29"/>
      <c r="N262" s="29"/>
      <c r="O262" s="29"/>
      <c r="P262" s="30"/>
      <c r="Q262" s="30"/>
      <c r="R262" s="30"/>
      <c r="S262" s="31"/>
      <c r="T262" s="31"/>
      <c r="U262" s="31"/>
      <c r="V262" s="31"/>
      <c r="W262" s="31"/>
      <c r="X262" s="32"/>
      <c r="Y262" s="32"/>
      <c r="Z262" s="32"/>
    </row>
    <row r="263" spans="1:26">
      <c r="A263" s="28"/>
      <c r="B263" s="17">
        <f t="shared" si="22"/>
        <v>46289</v>
      </c>
      <c r="C263" s="26">
        <f>I263+J263+K263+L263+M263+N263+O263+IF(P263="",0,P263*サマリー!$B$9)+IF(Q263="",0,IF(Q263=200,サマリー!$B$10,IF(Q263=100,サマリー!$B$11,0)))+IF(R263="",0,R263*サマリー!$B$12)</f>
        <v>0</v>
      </c>
      <c r="D263" s="26">
        <f>S263+T263+U263+V263+W263+IF(X263="",0,X263*サマリー!$B$9)+IF(Y263="",0,IF(Y263=200,サマリー!$B$10,IF(Y263=100,サマリー!$B$11,0)))+IF(Z263="",0,Z263*サマリー!$B$12)</f>
        <v>0</v>
      </c>
      <c r="E263" s="26">
        <f t="shared" si="23"/>
        <v>0</v>
      </c>
      <c r="I263" s="29"/>
      <c r="J263" s="29"/>
      <c r="K263" s="29"/>
      <c r="L263" s="29"/>
      <c r="M263" s="29"/>
      <c r="N263" s="29"/>
      <c r="O263" s="29"/>
      <c r="P263" s="30"/>
      <c r="Q263" s="30"/>
      <c r="R263" s="30"/>
      <c r="S263" s="31"/>
      <c r="T263" s="31"/>
      <c r="U263" s="31"/>
      <c r="V263" s="31"/>
      <c r="W263" s="31"/>
      <c r="X263" s="32"/>
      <c r="Y263" s="32"/>
      <c r="Z263" s="32"/>
    </row>
    <row r="264" spans="1:26">
      <c r="A264" s="28"/>
      <c r="B264" s="17">
        <f t="shared" si="22"/>
        <v>46289</v>
      </c>
      <c r="C264" s="26">
        <f>I264+J264+K264+L264+M264+N264+O264+IF(P264="",0,P264*サマリー!$B$9)+IF(Q264="",0,IF(Q264=200,サマリー!$B$10,IF(Q264=100,サマリー!$B$11,0)))+IF(R264="",0,R264*サマリー!$B$12)</f>
        <v>0</v>
      </c>
      <c r="D264" s="26">
        <f>S264+T264+U264+V264+W264+IF(X264="",0,X264*サマリー!$B$9)+IF(Y264="",0,IF(Y264=200,サマリー!$B$10,IF(Y264=100,サマリー!$B$11,0)))+IF(Z264="",0,Z264*サマリー!$B$12)</f>
        <v>0</v>
      </c>
      <c r="E264" s="26">
        <f t="shared" si="23"/>
        <v>0</v>
      </c>
      <c r="I264" s="29"/>
      <c r="J264" s="29"/>
      <c r="K264" s="29"/>
      <c r="L264" s="29"/>
      <c r="M264" s="29"/>
      <c r="N264" s="29"/>
      <c r="O264" s="29"/>
      <c r="P264" s="30"/>
      <c r="Q264" s="30"/>
      <c r="R264" s="30"/>
      <c r="S264" s="31"/>
      <c r="T264" s="31"/>
      <c r="U264" s="31"/>
      <c r="V264" s="31"/>
      <c r="W264" s="31"/>
      <c r="X264" s="32"/>
      <c r="Y264" s="32"/>
      <c r="Z264" s="32"/>
    </row>
    <row r="265" spans="1:26">
      <c r="A265" s="28"/>
      <c r="B265" s="17">
        <f t="shared" si="22"/>
        <v>46289</v>
      </c>
      <c r="C265" s="26">
        <f>I265+J265+K265+L265+M265+N265+O265+IF(P265="",0,P265*サマリー!$B$9)+IF(Q265="",0,IF(Q265=200,サマリー!$B$10,IF(Q265=100,サマリー!$B$11,0)))+IF(R265="",0,R265*サマリー!$B$12)</f>
        <v>0</v>
      </c>
      <c r="D265" s="26">
        <f>S265+T265+U265+V265+W265+IF(X265="",0,X265*サマリー!$B$9)+IF(Y265="",0,IF(Y265=200,サマリー!$B$10,IF(Y265=100,サマリー!$B$11,0)))+IF(Z265="",0,Z265*サマリー!$B$12)</f>
        <v>0</v>
      </c>
      <c r="E265" s="26">
        <f t="shared" si="23"/>
        <v>0</v>
      </c>
      <c r="I265" s="29"/>
      <c r="J265" s="29"/>
      <c r="K265" s="29"/>
      <c r="L265" s="29"/>
      <c r="M265" s="29"/>
      <c r="N265" s="29"/>
      <c r="O265" s="29"/>
      <c r="P265" s="30"/>
      <c r="Q265" s="30"/>
      <c r="R265" s="30"/>
      <c r="S265" s="31"/>
      <c r="T265" s="31"/>
      <c r="U265" s="31"/>
      <c r="V265" s="31"/>
      <c r="W265" s="31"/>
      <c r="X265" s="32"/>
      <c r="Y265" s="32"/>
      <c r="Z265" s="32"/>
    </row>
    <row r="266" spans="1:26">
      <c r="A266" s="28"/>
      <c r="B266" s="17">
        <f t="shared" si="22"/>
        <v>46289</v>
      </c>
      <c r="C266" s="26">
        <f>I266+J266+K266+L266+M266+N266+O266+IF(P266="",0,P266*サマリー!$B$9)+IF(Q266="",0,IF(Q266=200,サマリー!$B$10,IF(Q266=100,サマリー!$B$11,0)))+IF(R266="",0,R266*サマリー!$B$12)</f>
        <v>0</v>
      </c>
      <c r="D266" s="26">
        <f>S266+T266+U266+V266+W266+IF(X266="",0,X266*サマリー!$B$9)+IF(Y266="",0,IF(Y266=200,サマリー!$B$10,IF(Y266=100,サマリー!$B$11,0)))+IF(Z266="",0,Z266*サマリー!$B$12)</f>
        <v>0</v>
      </c>
      <c r="E266" s="26">
        <f t="shared" si="23"/>
        <v>0</v>
      </c>
      <c r="I266" s="29"/>
      <c r="J266" s="29"/>
      <c r="K266" s="29"/>
      <c r="L266" s="29"/>
      <c r="M266" s="29"/>
      <c r="N266" s="29"/>
      <c r="O266" s="29"/>
      <c r="P266" s="30"/>
      <c r="Q266" s="30"/>
      <c r="R266" s="30"/>
      <c r="S266" s="31"/>
      <c r="T266" s="31"/>
      <c r="U266" s="31"/>
      <c r="V266" s="31"/>
      <c r="W266" s="31"/>
      <c r="X266" s="32"/>
      <c r="Y266" s="32"/>
      <c r="Z266" s="32"/>
    </row>
    <row r="267" spans="1:26">
      <c r="A267" s="28"/>
      <c r="B267" s="17">
        <f t="shared" si="22"/>
        <v>46289</v>
      </c>
      <c r="C267" s="26">
        <f>I267+J267+K267+L267+M267+N267+O267+IF(P267="",0,P267*サマリー!$B$9)+IF(Q267="",0,IF(Q267=200,サマリー!$B$10,IF(Q267=100,サマリー!$B$11,0)))+IF(R267="",0,R267*サマリー!$B$12)</f>
        <v>0</v>
      </c>
      <c r="D267" s="26">
        <f>S267+T267+U267+V267+W267+IF(X267="",0,X267*サマリー!$B$9)+IF(Y267="",0,IF(Y267=200,サマリー!$B$10,IF(Y267=100,サマリー!$B$11,0)))+IF(Z267="",0,Z267*サマリー!$B$12)</f>
        <v>0</v>
      </c>
      <c r="E267" s="26">
        <f t="shared" si="23"/>
        <v>0</v>
      </c>
      <c r="I267" s="29"/>
      <c r="J267" s="29"/>
      <c r="K267" s="29"/>
      <c r="L267" s="29"/>
      <c r="M267" s="29"/>
      <c r="N267" s="29"/>
      <c r="O267" s="29"/>
      <c r="P267" s="30"/>
      <c r="Q267" s="30"/>
      <c r="R267" s="30"/>
      <c r="S267" s="31"/>
      <c r="T267" s="31"/>
      <c r="U267" s="31"/>
      <c r="V267" s="31"/>
      <c r="W267" s="31"/>
      <c r="X267" s="32"/>
      <c r="Y267" s="32"/>
      <c r="Z267" s="32"/>
    </row>
    <row r="268" spans="1:26">
      <c r="A268" s="28"/>
      <c r="B268" s="17">
        <f t="shared" si="22"/>
        <v>46289</v>
      </c>
      <c r="C268" s="26">
        <f>I268+J268+K268+L268+M268+N268+O268+IF(P268="",0,P268*サマリー!$B$9)+IF(Q268="",0,IF(Q268=200,サマリー!$B$10,IF(Q268=100,サマリー!$B$11,0)))+IF(R268="",0,R268*サマリー!$B$12)</f>
        <v>0</v>
      </c>
      <c r="D268" s="26">
        <f>S268+T268+U268+V268+W268+IF(X268="",0,X268*サマリー!$B$9)+IF(Y268="",0,IF(Y268=200,サマリー!$B$10,IF(Y268=100,サマリー!$B$11,0)))+IF(Z268="",0,Z268*サマリー!$B$12)</f>
        <v>0</v>
      </c>
      <c r="E268" s="26">
        <f t="shared" si="23"/>
        <v>0</v>
      </c>
      <c r="I268" s="29"/>
      <c r="J268" s="29"/>
      <c r="K268" s="29"/>
      <c r="L268" s="29"/>
      <c r="M268" s="29"/>
      <c r="N268" s="29"/>
      <c r="O268" s="29"/>
      <c r="P268" s="30"/>
      <c r="Q268" s="30"/>
      <c r="R268" s="30"/>
      <c r="S268" s="31"/>
      <c r="T268" s="31"/>
      <c r="U268" s="31"/>
      <c r="V268" s="31"/>
      <c r="W268" s="31"/>
      <c r="X268" s="32"/>
      <c r="Y268" s="32"/>
      <c r="Z268" s="32"/>
    </row>
    <row r="269" spans="1:26">
      <c r="A269" s="28"/>
      <c r="B269" s="17">
        <f t="shared" si="22"/>
        <v>46289</v>
      </c>
      <c r="C269" s="26">
        <f>I269+J269+K269+L269+M269+N269+O269+IF(P269="",0,P269*サマリー!$B$9)+IF(Q269="",0,IF(Q269=200,サマリー!$B$10,IF(Q269=100,サマリー!$B$11,0)))+IF(R269="",0,R269*サマリー!$B$12)</f>
        <v>0</v>
      </c>
      <c r="D269" s="26">
        <f>S269+T269+U269+V269+W269+IF(X269="",0,X269*サマリー!$B$9)+IF(Y269="",0,IF(Y269=200,サマリー!$B$10,IF(Y269=100,サマリー!$B$11,0)))+IF(Z269="",0,Z269*サマリー!$B$12)</f>
        <v>0</v>
      </c>
      <c r="E269" s="26">
        <f t="shared" si="23"/>
        <v>0</v>
      </c>
      <c r="I269" s="29"/>
      <c r="J269" s="29"/>
      <c r="K269" s="29"/>
      <c r="L269" s="29"/>
      <c r="M269" s="29"/>
      <c r="N269" s="29"/>
      <c r="O269" s="29"/>
      <c r="P269" s="30"/>
      <c r="Q269" s="30"/>
      <c r="R269" s="30"/>
      <c r="S269" s="31"/>
      <c r="T269" s="31"/>
      <c r="U269" s="31"/>
      <c r="V269" s="31"/>
      <c r="W269" s="31"/>
      <c r="X269" s="32"/>
      <c r="Y269" s="32"/>
      <c r="Z269" s="32"/>
    </row>
    <row r="270" spans="1:26">
      <c r="A270" s="28"/>
      <c r="B270" s="17">
        <f t="shared" si="22"/>
        <v>46289</v>
      </c>
      <c r="C270" s="26">
        <f>I270+J270+K270+L270+M270+N270+O270+IF(P270="",0,P270*サマリー!$B$9)+IF(Q270="",0,IF(Q270=200,サマリー!$B$10,IF(Q270=100,サマリー!$B$11,0)))+IF(R270="",0,R270*サマリー!$B$12)</f>
        <v>0</v>
      </c>
      <c r="D270" s="26">
        <f>S270+T270+U270+V270+W270+IF(X270="",0,X270*サマリー!$B$9)+IF(Y270="",0,IF(Y270=200,サマリー!$B$10,IF(Y270=100,サマリー!$B$11,0)))+IF(Z270="",0,Z270*サマリー!$B$12)</f>
        <v>0</v>
      </c>
      <c r="E270" s="26">
        <f t="shared" si="23"/>
        <v>0</v>
      </c>
      <c r="I270" s="29"/>
      <c r="J270" s="29"/>
      <c r="K270" s="29"/>
      <c r="L270" s="29"/>
      <c r="M270" s="29"/>
      <c r="N270" s="29"/>
      <c r="O270" s="29"/>
      <c r="P270" s="30"/>
      <c r="Q270" s="30"/>
      <c r="R270" s="30"/>
      <c r="S270" s="31"/>
      <c r="T270" s="31"/>
      <c r="U270" s="31"/>
      <c r="V270" s="31"/>
      <c r="W270" s="31"/>
      <c r="X270" s="32"/>
      <c r="Y270" s="32"/>
      <c r="Z270" s="32"/>
    </row>
    <row r="271" spans="1:26">
      <c r="A271" s="28"/>
      <c r="B271" s="17">
        <f t="shared" si="22"/>
        <v>46289</v>
      </c>
      <c r="C271" s="26">
        <f>I271+J271+K271+L271+M271+N271+O271+IF(P271="",0,P271*サマリー!$B$9)+IF(Q271="",0,IF(Q271=200,サマリー!$B$10,IF(Q271=100,サマリー!$B$11,0)))+IF(R271="",0,R271*サマリー!$B$12)</f>
        <v>0</v>
      </c>
      <c r="D271" s="26">
        <f>S271+T271+U271+V271+W271+IF(X271="",0,X271*サマリー!$B$9)+IF(Y271="",0,IF(Y271=200,サマリー!$B$10,IF(Y271=100,サマリー!$B$11,0)))+IF(Z271="",0,Z271*サマリー!$B$12)</f>
        <v>0</v>
      </c>
      <c r="E271" s="26">
        <f t="shared" si="23"/>
        <v>0</v>
      </c>
      <c r="I271" s="29"/>
      <c r="J271" s="29"/>
      <c r="K271" s="29"/>
      <c r="L271" s="29"/>
      <c r="M271" s="29"/>
      <c r="N271" s="29"/>
      <c r="O271" s="29"/>
      <c r="P271" s="30"/>
      <c r="Q271" s="30"/>
      <c r="R271" s="30"/>
      <c r="S271" s="31"/>
      <c r="T271" s="31"/>
      <c r="U271" s="31"/>
      <c r="V271" s="31"/>
      <c r="W271" s="31"/>
      <c r="X271" s="32"/>
      <c r="Y271" s="32"/>
      <c r="Z271" s="32"/>
    </row>
    <row r="272" spans="1:26">
      <c r="A272" s="28"/>
      <c r="B272" s="17">
        <f t="shared" si="22"/>
        <v>46289</v>
      </c>
      <c r="C272" s="26">
        <f>I272+J272+K272+L272+M272+N272+O272+IF(P272="",0,P272*サマリー!$B$9)+IF(Q272="",0,IF(Q272=200,サマリー!$B$10,IF(Q272=100,サマリー!$B$11,0)))+IF(R272="",0,R272*サマリー!$B$12)</f>
        <v>0</v>
      </c>
      <c r="D272" s="26">
        <f>S272+T272+U272+V272+W272+IF(X272="",0,X272*サマリー!$B$9)+IF(Y272="",0,IF(Y272=200,サマリー!$B$10,IF(Y272=100,サマリー!$B$11,0)))+IF(Z272="",0,Z272*サマリー!$B$12)</f>
        <v>0</v>
      </c>
      <c r="E272" s="26">
        <f t="shared" si="23"/>
        <v>0</v>
      </c>
      <c r="I272" s="29"/>
      <c r="J272" s="29"/>
      <c r="K272" s="29"/>
      <c r="L272" s="29"/>
      <c r="M272" s="29"/>
      <c r="N272" s="29"/>
      <c r="O272" s="29"/>
      <c r="P272" s="30"/>
      <c r="Q272" s="30"/>
      <c r="R272" s="30"/>
      <c r="S272" s="31"/>
      <c r="T272" s="31"/>
      <c r="U272" s="31"/>
      <c r="V272" s="31"/>
      <c r="W272" s="31"/>
      <c r="X272" s="32"/>
      <c r="Y272" s="32"/>
      <c r="Z272" s="32"/>
    </row>
    <row r="273" spans="1:26">
      <c r="A273" s="28"/>
      <c r="B273" s="17">
        <f t="shared" si="22"/>
        <v>46289</v>
      </c>
      <c r="C273" s="26">
        <f>I273+J273+K273+L273+M273+N273+O273+IF(P273="",0,P273*サマリー!$B$9)+IF(Q273="",0,IF(Q273=200,サマリー!$B$10,IF(Q273=100,サマリー!$B$11,0)))+IF(R273="",0,R273*サマリー!$B$12)</f>
        <v>0</v>
      </c>
      <c r="D273" s="26">
        <f>S273+T273+U273+V273+W273+IF(X273="",0,X273*サマリー!$B$9)+IF(Y273="",0,IF(Y273=200,サマリー!$B$10,IF(Y273=100,サマリー!$B$11,0)))+IF(Z273="",0,Z273*サマリー!$B$12)</f>
        <v>0</v>
      </c>
      <c r="E273" s="26">
        <f t="shared" si="23"/>
        <v>0</v>
      </c>
      <c r="I273" s="29"/>
      <c r="J273" s="29"/>
      <c r="K273" s="29"/>
      <c r="L273" s="29"/>
      <c r="M273" s="29"/>
      <c r="N273" s="29"/>
      <c r="O273" s="29"/>
      <c r="P273" s="30"/>
      <c r="Q273" s="30"/>
      <c r="R273" s="30"/>
      <c r="S273" s="31"/>
      <c r="T273" s="31"/>
      <c r="U273" s="31"/>
      <c r="V273" s="31"/>
      <c r="W273" s="31"/>
      <c r="X273" s="32"/>
      <c r="Y273" s="32"/>
      <c r="Z273" s="32"/>
    </row>
    <row r="274" spans="1:26">
      <c r="A274" s="28"/>
      <c r="B274" s="17">
        <f t="shared" si="22"/>
        <v>46289</v>
      </c>
      <c r="C274" s="26">
        <f>I274+J274+K274+L274+M274+N274+O274+IF(P274="",0,P274*サマリー!$B$9)+IF(Q274="",0,IF(Q274=200,サマリー!$B$10,IF(Q274=100,サマリー!$B$11,0)))+IF(R274="",0,R274*サマリー!$B$12)</f>
        <v>0</v>
      </c>
      <c r="D274" s="26">
        <f>S274+T274+U274+V274+W274+IF(X274="",0,X274*サマリー!$B$9)+IF(Y274="",0,IF(Y274=200,サマリー!$B$10,IF(Y274=100,サマリー!$B$11,0)))+IF(Z274="",0,Z274*サマリー!$B$12)</f>
        <v>0</v>
      </c>
      <c r="E274" s="26">
        <f t="shared" si="23"/>
        <v>0</v>
      </c>
      <c r="I274" s="29"/>
      <c r="J274" s="29"/>
      <c r="K274" s="29"/>
      <c r="L274" s="29"/>
      <c r="M274" s="29"/>
      <c r="N274" s="29"/>
      <c r="O274" s="29"/>
      <c r="P274" s="30"/>
      <c r="Q274" s="30"/>
      <c r="R274" s="30"/>
      <c r="S274" s="31"/>
      <c r="T274" s="31"/>
      <c r="U274" s="31"/>
      <c r="V274" s="31"/>
      <c r="W274" s="31"/>
      <c r="X274" s="32"/>
      <c r="Y274" s="32"/>
      <c r="Z274" s="32"/>
    </row>
    <row r="275" spans="1:26">
      <c r="A275" s="28"/>
      <c r="B275" s="17">
        <f t="shared" si="22"/>
        <v>46289</v>
      </c>
      <c r="C275" s="26">
        <f>I275+J275+K275+L275+M275+N275+O275+IF(P275="",0,P275*サマリー!$B$9)+IF(Q275="",0,IF(Q275=200,サマリー!$B$10,IF(Q275=100,サマリー!$B$11,0)))+IF(R275="",0,R275*サマリー!$B$12)</f>
        <v>0</v>
      </c>
      <c r="D275" s="26">
        <f>S275+T275+U275+V275+W275+IF(X275="",0,X275*サマリー!$B$9)+IF(Y275="",0,IF(Y275=200,サマリー!$B$10,IF(Y275=100,サマリー!$B$11,0)))+IF(Z275="",0,Z275*サマリー!$B$12)</f>
        <v>0</v>
      </c>
      <c r="E275" s="26">
        <f t="shared" si="23"/>
        <v>0</v>
      </c>
      <c r="I275" s="29"/>
      <c r="J275" s="29"/>
      <c r="K275" s="29"/>
      <c r="L275" s="29"/>
      <c r="M275" s="29"/>
      <c r="N275" s="29"/>
      <c r="O275" s="29"/>
      <c r="P275" s="30"/>
      <c r="Q275" s="30"/>
      <c r="R275" s="30"/>
      <c r="S275" s="31"/>
      <c r="T275" s="31"/>
      <c r="U275" s="31"/>
      <c r="V275" s="31"/>
      <c r="W275" s="31"/>
      <c r="X275" s="32"/>
      <c r="Y275" s="32"/>
      <c r="Z275" s="32"/>
    </row>
    <row r="276" spans="1:26">
      <c r="A276" s="28"/>
      <c r="B276" s="17">
        <f t="shared" si="22"/>
        <v>46289</v>
      </c>
      <c r="C276" s="26">
        <f>I276+J276+K276+L276+M276+N276+O276+IF(P276="",0,P276*サマリー!$B$9)+IF(Q276="",0,IF(Q276=200,サマリー!$B$10,IF(Q276=100,サマリー!$B$11,0)))+IF(R276="",0,R276*サマリー!$B$12)</f>
        <v>0</v>
      </c>
      <c r="D276" s="26">
        <f>S276+T276+U276+V276+W276+IF(X276="",0,X276*サマリー!$B$9)+IF(Y276="",0,IF(Y276=200,サマリー!$B$10,IF(Y276=100,サマリー!$B$11,0)))+IF(Z276="",0,Z276*サマリー!$B$12)</f>
        <v>0</v>
      </c>
      <c r="E276" s="26">
        <f t="shared" si="23"/>
        <v>0</v>
      </c>
      <c r="I276" s="29"/>
      <c r="J276" s="29"/>
      <c r="K276" s="29"/>
      <c r="L276" s="29"/>
      <c r="M276" s="29"/>
      <c r="N276" s="29"/>
      <c r="O276" s="29"/>
      <c r="P276" s="30"/>
      <c r="Q276" s="30"/>
      <c r="R276" s="30"/>
      <c r="S276" s="31"/>
      <c r="T276" s="31"/>
      <c r="U276" s="31"/>
      <c r="V276" s="31"/>
      <c r="W276" s="31"/>
      <c r="X276" s="32"/>
      <c r="Y276" s="32"/>
      <c r="Z276" s="32"/>
    </row>
    <row r="277" spans="1:26">
      <c r="A277" s="28"/>
      <c r="B277" s="17">
        <f t="shared" si="22"/>
        <v>46289</v>
      </c>
      <c r="C277" s="26">
        <f>I277+J277+K277+L277+M277+N277+O277+IF(P277="",0,P277*サマリー!$B$9)+IF(Q277="",0,IF(Q277=200,サマリー!$B$10,IF(Q277=100,サマリー!$B$11,0)))+IF(R277="",0,R277*サマリー!$B$12)</f>
        <v>0</v>
      </c>
      <c r="D277" s="26">
        <f>S277+T277+U277+V277+W277+IF(X277="",0,X277*サマリー!$B$9)+IF(Y277="",0,IF(Y277=200,サマリー!$B$10,IF(Y277=100,サマリー!$B$11,0)))+IF(Z277="",0,Z277*サマリー!$B$12)</f>
        <v>0</v>
      </c>
      <c r="E277" s="26">
        <f t="shared" si="23"/>
        <v>0</v>
      </c>
      <c r="I277" s="29"/>
      <c r="J277" s="29"/>
      <c r="K277" s="29"/>
      <c r="L277" s="29"/>
      <c r="M277" s="29"/>
      <c r="N277" s="29"/>
      <c r="O277" s="29"/>
      <c r="P277" s="30"/>
      <c r="Q277" s="30"/>
      <c r="R277" s="30"/>
      <c r="S277" s="31"/>
      <c r="T277" s="31"/>
      <c r="U277" s="31"/>
      <c r="V277" s="31"/>
      <c r="W277" s="31"/>
      <c r="X277" s="32"/>
      <c r="Y277" s="32"/>
      <c r="Z277" s="32"/>
    </row>
    <row r="278" spans="1:26">
      <c r="A278" s="28"/>
      <c r="B278" s="17">
        <f t="shared" si="22"/>
        <v>46289</v>
      </c>
      <c r="C278" s="26">
        <f>I278+J278+K278+L278+M278+N278+O278+IF(P278="",0,P278*サマリー!$B$9)+IF(Q278="",0,IF(Q278=200,サマリー!$B$10,IF(Q278=100,サマリー!$B$11,0)))+IF(R278="",0,R278*サマリー!$B$12)</f>
        <v>0</v>
      </c>
      <c r="D278" s="26">
        <f>S278+T278+U278+V278+W278+IF(X278="",0,X278*サマリー!$B$9)+IF(Y278="",0,IF(Y278=200,サマリー!$B$10,IF(Y278=100,サマリー!$B$11,0)))+IF(Z278="",0,Z278*サマリー!$B$12)</f>
        <v>0</v>
      </c>
      <c r="E278" s="26">
        <f t="shared" si="23"/>
        <v>0</v>
      </c>
      <c r="I278" s="29"/>
      <c r="J278" s="29"/>
      <c r="K278" s="29"/>
      <c r="L278" s="29"/>
      <c r="M278" s="29"/>
      <c r="N278" s="29"/>
      <c r="O278" s="29"/>
      <c r="P278" s="30"/>
      <c r="Q278" s="30"/>
      <c r="R278" s="30"/>
      <c r="S278" s="31"/>
      <c r="T278" s="31"/>
      <c r="U278" s="31"/>
      <c r="V278" s="31"/>
      <c r="W278" s="31"/>
      <c r="X278" s="32"/>
      <c r="Y278" s="32"/>
      <c r="Z278" s="32"/>
    </row>
    <row r="279" spans="1:26">
      <c r="A279" s="28"/>
      <c r="B279" s="17">
        <f t="shared" si="22"/>
        <v>46289</v>
      </c>
      <c r="C279" s="26">
        <f>I279+J279+K279+L279+M279+N279+O279+IF(P279="",0,P279*サマリー!$B$9)+IF(Q279="",0,IF(Q279=200,サマリー!$B$10,IF(Q279=100,サマリー!$B$11,0)))+IF(R279="",0,R279*サマリー!$B$12)</f>
        <v>0</v>
      </c>
      <c r="D279" s="26">
        <f>S279+T279+U279+V279+W279+IF(X279="",0,X279*サマリー!$B$9)+IF(Y279="",0,IF(Y279=200,サマリー!$B$10,IF(Y279=100,サマリー!$B$11,0)))+IF(Z279="",0,Z279*サマリー!$B$12)</f>
        <v>0</v>
      </c>
      <c r="E279" s="26">
        <f t="shared" si="23"/>
        <v>0</v>
      </c>
      <c r="I279" s="29"/>
      <c r="J279" s="29"/>
      <c r="K279" s="29"/>
      <c r="L279" s="29"/>
      <c r="M279" s="29"/>
      <c r="N279" s="29"/>
      <c r="O279" s="29"/>
      <c r="P279" s="30"/>
      <c r="Q279" s="30"/>
      <c r="R279" s="30"/>
      <c r="S279" s="31"/>
      <c r="T279" s="31"/>
      <c r="U279" s="31"/>
      <c r="V279" s="31"/>
      <c r="W279" s="31"/>
      <c r="X279" s="32"/>
      <c r="Y279" s="32"/>
      <c r="Z279" s="32"/>
    </row>
    <row r="280" spans="1:26">
      <c r="A280" s="28"/>
      <c r="B280" s="17">
        <f t="shared" si="22"/>
        <v>46289</v>
      </c>
      <c r="C280" s="26">
        <f>I280+J280+K280+L280+M280+N280+O280+IF(P280="",0,P280*サマリー!$B$9)+IF(Q280="",0,IF(Q280=200,サマリー!$B$10,IF(Q280=100,サマリー!$B$11,0)))+IF(R280="",0,R280*サマリー!$B$12)</f>
        <v>0</v>
      </c>
      <c r="D280" s="26">
        <f>S280+T280+U280+V280+W280+IF(X280="",0,X280*サマリー!$B$9)+IF(Y280="",0,IF(Y280=200,サマリー!$B$10,IF(Y280=100,サマリー!$B$11,0)))+IF(Z280="",0,Z280*サマリー!$B$12)</f>
        <v>0</v>
      </c>
      <c r="E280" s="26">
        <f t="shared" si="23"/>
        <v>0</v>
      </c>
      <c r="I280" s="29"/>
      <c r="J280" s="29"/>
      <c r="K280" s="29"/>
      <c r="L280" s="29"/>
      <c r="M280" s="29"/>
      <c r="N280" s="29"/>
      <c r="O280" s="29"/>
      <c r="P280" s="30"/>
      <c r="Q280" s="30"/>
      <c r="R280" s="30"/>
      <c r="S280" s="31"/>
      <c r="T280" s="31"/>
      <c r="U280" s="31"/>
      <c r="V280" s="31"/>
      <c r="W280" s="31"/>
      <c r="X280" s="32"/>
      <c r="Y280" s="32"/>
      <c r="Z280" s="32"/>
    </row>
    <row r="281" spans="1:26">
      <c r="A281" s="28"/>
      <c r="B281" s="17">
        <f t="shared" si="22"/>
        <v>46289</v>
      </c>
      <c r="C281" s="26">
        <f>I281+J281+K281+L281+M281+N281+O281+IF(P281="",0,P281*サマリー!$B$9)+IF(Q281="",0,IF(Q281=200,サマリー!$B$10,IF(Q281=100,サマリー!$B$11,0)))+IF(R281="",0,R281*サマリー!$B$12)</f>
        <v>0</v>
      </c>
      <c r="D281" s="26">
        <f>S281+T281+U281+V281+W281+IF(X281="",0,X281*サマリー!$B$9)+IF(Y281="",0,IF(Y281=200,サマリー!$B$10,IF(Y281=100,サマリー!$B$11,0)))+IF(Z281="",0,Z281*サマリー!$B$12)</f>
        <v>0</v>
      </c>
      <c r="E281" s="26">
        <f t="shared" si="23"/>
        <v>0</v>
      </c>
      <c r="I281" s="29"/>
      <c r="J281" s="29"/>
      <c r="K281" s="29"/>
      <c r="L281" s="29"/>
      <c r="M281" s="29"/>
      <c r="N281" s="29"/>
      <c r="O281" s="29"/>
      <c r="P281" s="30"/>
      <c r="Q281" s="30"/>
      <c r="R281" s="30"/>
      <c r="S281" s="31"/>
      <c r="T281" s="31"/>
      <c r="U281" s="31"/>
      <c r="V281" s="31"/>
      <c r="W281" s="31"/>
      <c r="X281" s="32"/>
      <c r="Y281" s="32"/>
      <c r="Z281" s="32"/>
    </row>
    <row r="282" spans="1:26">
      <c r="A282" s="28"/>
      <c r="B282" s="17">
        <f t="shared" si="22"/>
        <v>46289</v>
      </c>
      <c r="C282" s="26">
        <f>I282+J282+K282+L282+M282+N282+O282+IF(P282="",0,P282*サマリー!$B$9)+IF(Q282="",0,IF(Q282=200,サマリー!$B$10,IF(Q282=100,サマリー!$B$11,0)))+IF(R282="",0,R282*サマリー!$B$12)</f>
        <v>0</v>
      </c>
      <c r="D282" s="26">
        <f>S282+T282+U282+V282+W282+IF(X282="",0,X282*サマリー!$B$9)+IF(Y282="",0,IF(Y282=200,サマリー!$B$10,IF(Y282=100,サマリー!$B$11,0)))+IF(Z282="",0,Z282*サマリー!$B$12)</f>
        <v>0</v>
      </c>
      <c r="E282" s="26">
        <f t="shared" si="23"/>
        <v>0</v>
      </c>
      <c r="I282" s="29"/>
      <c r="J282" s="29"/>
      <c r="K282" s="29"/>
      <c r="L282" s="29"/>
      <c r="M282" s="29"/>
      <c r="N282" s="29"/>
      <c r="O282" s="29"/>
      <c r="P282" s="30"/>
      <c r="Q282" s="30"/>
      <c r="R282" s="30"/>
      <c r="S282" s="31"/>
      <c r="T282" s="31"/>
      <c r="U282" s="31"/>
      <c r="V282" s="31"/>
      <c r="W282" s="31"/>
      <c r="X282" s="32"/>
      <c r="Y282" s="32"/>
      <c r="Z282" s="32"/>
    </row>
    <row r="283" spans="1:26">
      <c r="A283" s="28"/>
      <c r="B283" s="17">
        <f t="shared" si="22"/>
        <v>46289</v>
      </c>
      <c r="C283" s="26">
        <f>I283+J283+K283+L283+M283+N283+O283+IF(P283="",0,P283*サマリー!$B$9)+IF(Q283="",0,IF(Q283=200,サマリー!$B$10,IF(Q283=100,サマリー!$B$11,0)))+IF(R283="",0,R283*サマリー!$B$12)</f>
        <v>0</v>
      </c>
      <c r="D283" s="26">
        <f>S283+T283+U283+V283+W283+IF(X283="",0,X283*サマリー!$B$9)+IF(Y283="",0,IF(Y283=200,サマリー!$B$10,IF(Y283=100,サマリー!$B$11,0)))+IF(Z283="",0,Z283*サマリー!$B$12)</f>
        <v>0</v>
      </c>
      <c r="E283" s="26">
        <f t="shared" si="23"/>
        <v>0</v>
      </c>
      <c r="I283" s="29"/>
      <c r="J283" s="29"/>
      <c r="K283" s="29"/>
      <c r="L283" s="29"/>
      <c r="M283" s="29"/>
      <c r="N283" s="29"/>
      <c r="O283" s="29"/>
      <c r="P283" s="30"/>
      <c r="Q283" s="30"/>
      <c r="R283" s="30"/>
      <c r="S283" s="31"/>
      <c r="T283" s="31"/>
      <c r="U283" s="31"/>
      <c r="V283" s="31"/>
      <c r="W283" s="31"/>
      <c r="X283" s="32"/>
      <c r="Y283" s="32"/>
      <c r="Z283" s="32"/>
    </row>
    <row r="284" spans="1:26">
      <c r="A284" s="28"/>
      <c r="B284" s="17">
        <f t="shared" si="22"/>
        <v>46289</v>
      </c>
      <c r="C284" s="26">
        <f>I284+J284+K284+L284+M284+N284+O284+IF(P284="",0,P284*サマリー!$B$9)+IF(Q284="",0,IF(Q284=200,サマリー!$B$10,IF(Q284=100,サマリー!$B$11,0)))+IF(R284="",0,R284*サマリー!$B$12)</f>
        <v>0</v>
      </c>
      <c r="D284" s="26">
        <f>S284+T284+U284+V284+W284+IF(X284="",0,X284*サマリー!$B$9)+IF(Y284="",0,IF(Y284=200,サマリー!$B$10,IF(Y284=100,サマリー!$B$11,0)))+IF(Z284="",0,Z284*サマリー!$B$12)</f>
        <v>0</v>
      </c>
      <c r="E284" s="26">
        <f t="shared" si="23"/>
        <v>0</v>
      </c>
      <c r="I284" s="29"/>
      <c r="J284" s="29"/>
      <c r="K284" s="29"/>
      <c r="L284" s="29"/>
      <c r="M284" s="29"/>
      <c r="N284" s="29"/>
      <c r="O284" s="29"/>
      <c r="P284" s="30"/>
      <c r="Q284" s="30"/>
      <c r="R284" s="30"/>
      <c r="S284" s="31"/>
      <c r="T284" s="31"/>
      <c r="U284" s="31"/>
      <c r="V284" s="31"/>
      <c r="W284" s="31"/>
      <c r="X284" s="32"/>
      <c r="Y284" s="32"/>
      <c r="Z284" s="32"/>
    </row>
    <row r="285" spans="1:26">
      <c r="A285" s="28"/>
      <c r="B285" s="17">
        <f t="shared" si="22"/>
        <v>46289</v>
      </c>
      <c r="C285" s="26">
        <f>I285+J285+K285+L285+M285+N285+O285+IF(P285="",0,P285*サマリー!$B$9)+IF(Q285="",0,IF(Q285=200,サマリー!$B$10,IF(Q285=100,サマリー!$B$11,0)))+IF(R285="",0,R285*サマリー!$B$12)</f>
        <v>0</v>
      </c>
      <c r="D285" s="26">
        <f>S285+T285+U285+V285+W285+IF(X285="",0,X285*サマリー!$B$9)+IF(Y285="",0,IF(Y285=200,サマリー!$B$10,IF(Y285=100,サマリー!$B$11,0)))+IF(Z285="",0,Z285*サマリー!$B$12)</f>
        <v>0</v>
      </c>
      <c r="E285" s="26">
        <f t="shared" si="23"/>
        <v>0</v>
      </c>
      <c r="I285" s="29"/>
      <c r="J285" s="29"/>
      <c r="K285" s="29"/>
      <c r="L285" s="29"/>
      <c r="M285" s="29"/>
      <c r="N285" s="29"/>
      <c r="O285" s="29"/>
      <c r="P285" s="30"/>
      <c r="Q285" s="30"/>
      <c r="R285" s="30"/>
      <c r="S285" s="31"/>
      <c r="T285" s="31"/>
      <c r="U285" s="31"/>
      <c r="V285" s="31"/>
      <c r="W285" s="31"/>
      <c r="X285" s="32"/>
      <c r="Y285" s="32"/>
      <c r="Z285" s="32"/>
    </row>
    <row r="286" spans="1:26">
      <c r="A286" s="28"/>
      <c r="B286" s="17">
        <f t="shared" si="22"/>
        <v>46289</v>
      </c>
      <c r="C286" s="26">
        <f>I286+J286+K286+L286+M286+N286+O286+IF(P286="",0,P286*サマリー!$B$9)+IF(Q286="",0,IF(Q286=200,サマリー!$B$10,IF(Q286=100,サマリー!$B$11,0)))+IF(R286="",0,R286*サマリー!$B$12)</f>
        <v>0</v>
      </c>
      <c r="D286" s="26">
        <f>S286+T286+U286+V286+W286+IF(X286="",0,X286*サマリー!$B$9)+IF(Y286="",0,IF(Y286=200,サマリー!$B$10,IF(Y286=100,サマリー!$B$11,0)))+IF(Z286="",0,Z286*サマリー!$B$12)</f>
        <v>0</v>
      </c>
      <c r="E286" s="26">
        <f t="shared" si="23"/>
        <v>0</v>
      </c>
      <c r="I286" s="29"/>
      <c r="J286" s="29"/>
      <c r="K286" s="29"/>
      <c r="L286" s="29"/>
      <c r="M286" s="29"/>
      <c r="N286" s="29"/>
      <c r="O286" s="29"/>
      <c r="P286" s="30"/>
      <c r="Q286" s="30"/>
      <c r="R286" s="30"/>
      <c r="S286" s="31"/>
      <c r="T286" s="31"/>
      <c r="U286" s="31"/>
      <c r="V286" s="31"/>
      <c r="W286" s="31"/>
      <c r="X286" s="32"/>
      <c r="Y286" s="32"/>
      <c r="Z286" s="32"/>
    </row>
    <row r="287" spans="1:26">
      <c r="A287" s="28"/>
      <c r="B287" s="17">
        <f t="shared" si="22"/>
        <v>46289</v>
      </c>
      <c r="C287" s="26">
        <f>I287+J287+K287+L287+M287+N287+O287+IF(P287="",0,P287*サマリー!$B$9)+IF(Q287="",0,IF(Q287=200,サマリー!$B$10,IF(Q287=100,サマリー!$B$11,0)))+IF(R287="",0,R287*サマリー!$B$12)</f>
        <v>0</v>
      </c>
      <c r="D287" s="26">
        <f>S287+T287+U287+V287+W287+IF(X287="",0,X287*サマリー!$B$9)+IF(Y287="",0,IF(Y287=200,サマリー!$B$10,IF(Y287=100,サマリー!$B$11,0)))+IF(Z287="",0,Z287*サマリー!$B$12)</f>
        <v>0</v>
      </c>
      <c r="E287" s="26">
        <f t="shared" si="23"/>
        <v>0</v>
      </c>
      <c r="I287" s="29"/>
      <c r="J287" s="29"/>
      <c r="K287" s="29"/>
      <c r="L287" s="29"/>
      <c r="M287" s="29"/>
      <c r="N287" s="29"/>
      <c r="O287" s="29"/>
      <c r="P287" s="30"/>
      <c r="Q287" s="30"/>
      <c r="R287" s="30"/>
      <c r="S287" s="31"/>
      <c r="T287" s="31"/>
      <c r="U287" s="31"/>
      <c r="V287" s="31"/>
      <c r="W287" s="31"/>
      <c r="X287" s="32"/>
      <c r="Y287" s="32"/>
      <c r="Z287" s="32"/>
    </row>
    <row r="288" spans="1:26">
      <c r="A288" s="28"/>
      <c r="B288" s="17">
        <f t="shared" si="22"/>
        <v>46289</v>
      </c>
      <c r="C288" s="26">
        <f>I288+J288+K288+L288+M288+N288+O288+IF(P288="",0,P288*サマリー!$B$9)+IF(Q288="",0,IF(Q288=200,サマリー!$B$10,IF(Q288=100,サマリー!$B$11,0)))+IF(R288="",0,R288*サマリー!$B$12)</f>
        <v>0</v>
      </c>
      <c r="D288" s="26">
        <f>S288+T288+U288+V288+W288+IF(X288="",0,X288*サマリー!$B$9)+IF(Y288="",0,IF(Y288=200,サマリー!$B$10,IF(Y288=100,サマリー!$B$11,0)))+IF(Z288="",0,Z288*サマリー!$B$12)</f>
        <v>0</v>
      </c>
      <c r="E288" s="26">
        <f t="shared" si="23"/>
        <v>0</v>
      </c>
      <c r="I288" s="29"/>
      <c r="J288" s="29"/>
      <c r="K288" s="29"/>
      <c r="L288" s="29"/>
      <c r="M288" s="29"/>
      <c r="N288" s="29"/>
      <c r="O288" s="29"/>
      <c r="P288" s="30"/>
      <c r="Q288" s="30"/>
      <c r="R288" s="30"/>
      <c r="S288" s="31"/>
      <c r="T288" s="31"/>
      <c r="U288" s="31"/>
      <c r="V288" s="31"/>
      <c r="W288" s="31"/>
      <c r="X288" s="32"/>
      <c r="Y288" s="32"/>
      <c r="Z288" s="32"/>
    </row>
    <row r="289" spans="1:26">
      <c r="A289" s="28"/>
      <c r="B289" s="17">
        <f t="shared" si="22"/>
        <v>46289</v>
      </c>
      <c r="C289" s="26">
        <f>I289+J289+K289+L289+M289+N289+O289+IF(P289="",0,P289*サマリー!$B$9)+IF(Q289="",0,IF(Q289=200,サマリー!$B$10,IF(Q289=100,サマリー!$B$11,0)))+IF(R289="",0,R289*サマリー!$B$12)</f>
        <v>0</v>
      </c>
      <c r="D289" s="26">
        <f>S289+T289+U289+V289+W289+IF(X289="",0,X289*サマリー!$B$9)+IF(Y289="",0,IF(Y289=200,サマリー!$B$10,IF(Y289=100,サマリー!$B$11,0)))+IF(Z289="",0,Z289*サマリー!$B$12)</f>
        <v>0</v>
      </c>
      <c r="E289" s="26">
        <f t="shared" si="23"/>
        <v>0</v>
      </c>
      <c r="I289" s="29"/>
      <c r="J289" s="29"/>
      <c r="K289" s="29"/>
      <c r="L289" s="29"/>
      <c r="M289" s="29"/>
      <c r="N289" s="29"/>
      <c r="O289" s="29"/>
      <c r="P289" s="30"/>
      <c r="Q289" s="30"/>
      <c r="R289" s="30"/>
      <c r="S289" s="31"/>
      <c r="T289" s="31"/>
      <c r="U289" s="31"/>
      <c r="V289" s="31"/>
      <c r="W289" s="31"/>
      <c r="X289" s="32"/>
      <c r="Y289" s="32"/>
      <c r="Z289" s="32"/>
    </row>
    <row r="290" spans="1:26">
      <c r="A290" s="28"/>
      <c r="B290" s="17">
        <f t="shared" si="22"/>
        <v>46289</v>
      </c>
      <c r="C290" s="26">
        <f>I290+J290+K290+L290+M290+N290+O290+IF(P290="",0,P290*サマリー!$B$9)+IF(Q290="",0,IF(Q290=200,サマリー!$B$10,IF(Q290=100,サマリー!$B$11,0)))+IF(R290="",0,R290*サマリー!$B$12)</f>
        <v>0</v>
      </c>
      <c r="D290" s="26">
        <f>S290+T290+U290+V290+W290+IF(X290="",0,X290*サマリー!$B$9)+IF(Y290="",0,IF(Y290=200,サマリー!$B$10,IF(Y290=100,サマリー!$B$11,0)))+IF(Z290="",0,Z290*サマリー!$B$12)</f>
        <v>0</v>
      </c>
      <c r="E290" s="26">
        <f t="shared" si="23"/>
        <v>0</v>
      </c>
      <c r="I290" s="29"/>
      <c r="J290" s="29"/>
      <c r="K290" s="29"/>
      <c r="L290" s="29"/>
      <c r="M290" s="29"/>
      <c r="N290" s="29"/>
      <c r="O290" s="29"/>
      <c r="P290" s="30"/>
      <c r="Q290" s="30"/>
      <c r="R290" s="30"/>
      <c r="S290" s="31"/>
      <c r="T290" s="31"/>
      <c r="U290" s="31"/>
      <c r="V290" s="31"/>
      <c r="W290" s="31"/>
      <c r="X290" s="32"/>
      <c r="Y290" s="32"/>
      <c r="Z290" s="32"/>
    </row>
    <row r="291" spans="1:26">
      <c r="A291" s="28"/>
      <c r="B291" s="17">
        <f t="shared" si="22"/>
        <v>46289</v>
      </c>
      <c r="C291" s="26">
        <f>I291+J291+K291+L291+M291+N291+O291+IF(P291="",0,P291*サマリー!$B$9)+IF(Q291="",0,IF(Q291=200,サマリー!$B$10,IF(Q291=100,サマリー!$B$11,0)))+IF(R291="",0,R291*サマリー!$B$12)</f>
        <v>0</v>
      </c>
      <c r="D291" s="26">
        <f>S291+T291+U291+V291+W291+IF(X291="",0,X291*サマリー!$B$9)+IF(Y291="",0,IF(Y291=200,サマリー!$B$10,IF(Y291=100,サマリー!$B$11,0)))+IF(Z291="",0,Z291*サマリー!$B$12)</f>
        <v>0</v>
      </c>
      <c r="E291" s="26">
        <f t="shared" si="23"/>
        <v>0</v>
      </c>
      <c r="I291" s="29"/>
      <c r="J291" s="29"/>
      <c r="K291" s="29"/>
      <c r="L291" s="29"/>
      <c r="M291" s="29"/>
      <c r="N291" s="29"/>
      <c r="O291" s="29"/>
      <c r="P291" s="30"/>
      <c r="Q291" s="30"/>
      <c r="R291" s="30"/>
      <c r="S291" s="31"/>
      <c r="T291" s="31"/>
      <c r="U291" s="31"/>
      <c r="V291" s="31"/>
      <c r="W291" s="31"/>
      <c r="X291" s="32"/>
      <c r="Y291" s="32"/>
      <c r="Z291" s="32"/>
    </row>
    <row r="292" spans="1:26">
      <c r="A292" s="28"/>
      <c r="B292" s="17">
        <f t="shared" si="22"/>
        <v>46289</v>
      </c>
      <c r="C292" s="26">
        <f>I292+J292+K292+L292+M292+N292+O292+IF(P292="",0,P292*サマリー!$B$9)+IF(Q292="",0,IF(Q292=200,サマリー!$B$10,IF(Q292=100,サマリー!$B$11,0)))+IF(R292="",0,R292*サマリー!$B$12)</f>
        <v>0</v>
      </c>
      <c r="D292" s="26">
        <f>S292+T292+U292+V292+W292+IF(X292="",0,X292*サマリー!$B$9)+IF(Y292="",0,IF(Y292=200,サマリー!$B$10,IF(Y292=100,サマリー!$B$11,0)))+IF(Z292="",0,Z292*サマリー!$B$12)</f>
        <v>0</v>
      </c>
      <c r="E292" s="26">
        <f t="shared" si="23"/>
        <v>0</v>
      </c>
      <c r="I292" s="29"/>
      <c r="J292" s="29"/>
      <c r="K292" s="29"/>
      <c r="L292" s="29"/>
      <c r="M292" s="29"/>
      <c r="N292" s="29"/>
      <c r="O292" s="29"/>
      <c r="P292" s="30"/>
      <c r="Q292" s="30"/>
      <c r="R292" s="30"/>
      <c r="S292" s="31"/>
      <c r="T292" s="31"/>
      <c r="U292" s="31"/>
      <c r="V292" s="31"/>
      <c r="W292" s="31"/>
      <c r="X292" s="32"/>
      <c r="Y292" s="32"/>
      <c r="Z292" s="32"/>
    </row>
    <row r="293" spans="1:26">
      <c r="A293" s="28"/>
      <c r="B293" s="17">
        <f t="shared" si="22"/>
        <v>46289</v>
      </c>
      <c r="C293" s="26">
        <f>I293+J293+K293+L293+M293+N293+O293+IF(P293="",0,P293*サマリー!$B$9)+IF(Q293="",0,IF(Q293=200,サマリー!$B$10,IF(Q293=100,サマリー!$B$11,0)))+IF(R293="",0,R293*サマリー!$B$12)</f>
        <v>0</v>
      </c>
      <c r="D293" s="26">
        <f>S293+T293+U293+V293+W293+IF(X293="",0,X293*サマリー!$B$9)+IF(Y293="",0,IF(Y293=200,サマリー!$B$10,IF(Y293=100,サマリー!$B$11,0)))+IF(Z293="",0,Z293*サマリー!$B$12)</f>
        <v>0</v>
      </c>
      <c r="E293" s="26">
        <f t="shared" si="23"/>
        <v>0</v>
      </c>
      <c r="I293" s="29"/>
      <c r="J293" s="29"/>
      <c r="K293" s="29"/>
      <c r="L293" s="29"/>
      <c r="M293" s="29"/>
      <c r="N293" s="29"/>
      <c r="O293" s="29"/>
      <c r="P293" s="30"/>
      <c r="Q293" s="30"/>
      <c r="R293" s="30"/>
      <c r="S293" s="31"/>
      <c r="T293" s="31"/>
      <c r="U293" s="31"/>
      <c r="V293" s="31"/>
      <c r="W293" s="31"/>
      <c r="X293" s="32"/>
      <c r="Y293" s="32"/>
      <c r="Z293" s="32"/>
    </row>
    <row r="294" spans="1:26">
      <c r="A294" s="28"/>
      <c r="B294" s="17">
        <f t="shared" si="22"/>
        <v>46289</v>
      </c>
      <c r="C294" s="26">
        <f>I294+J294+K294+L294+M294+N294+O294+IF(P294="",0,P294*サマリー!$B$9)+IF(Q294="",0,IF(Q294=200,サマリー!$B$10,IF(Q294=100,サマリー!$B$11,0)))+IF(R294="",0,R294*サマリー!$B$12)</f>
        <v>0</v>
      </c>
      <c r="D294" s="26">
        <f>S294+T294+U294+V294+W294+IF(X294="",0,X294*サマリー!$B$9)+IF(Y294="",0,IF(Y294=200,サマリー!$B$10,IF(Y294=100,サマリー!$B$11,0)))+IF(Z294="",0,Z294*サマリー!$B$12)</f>
        <v>0</v>
      </c>
      <c r="E294" s="26">
        <f t="shared" si="23"/>
        <v>0</v>
      </c>
      <c r="I294" s="29"/>
      <c r="J294" s="29"/>
      <c r="K294" s="29"/>
      <c r="L294" s="29"/>
      <c r="M294" s="29"/>
      <c r="N294" s="29"/>
      <c r="O294" s="29"/>
      <c r="P294" s="30"/>
      <c r="Q294" s="30"/>
      <c r="R294" s="30"/>
      <c r="S294" s="31"/>
      <c r="T294" s="31"/>
      <c r="U294" s="31"/>
      <c r="V294" s="31"/>
      <c r="W294" s="31"/>
      <c r="X294" s="32"/>
      <c r="Y294" s="32"/>
      <c r="Z294" s="32"/>
    </row>
    <row r="295" spans="1:26">
      <c r="A295" s="28"/>
      <c r="B295" s="17">
        <f t="shared" si="22"/>
        <v>46289</v>
      </c>
      <c r="C295" s="26">
        <f>I295+J295+K295+L295+M295+N295+O295+IF(P295="",0,P295*サマリー!$B$9)+IF(Q295="",0,IF(Q295=200,サマリー!$B$10,IF(Q295=100,サマリー!$B$11,0)))+IF(R295="",0,R295*サマリー!$B$12)</f>
        <v>0</v>
      </c>
      <c r="D295" s="26">
        <f>S295+T295+U295+V295+W295+IF(X295="",0,X295*サマリー!$B$9)+IF(Y295="",0,IF(Y295=200,サマリー!$B$10,IF(Y295=100,サマリー!$B$11,0)))+IF(Z295="",0,Z295*サマリー!$B$12)</f>
        <v>0</v>
      </c>
      <c r="E295" s="26">
        <f t="shared" si="23"/>
        <v>0</v>
      </c>
      <c r="I295" s="29"/>
      <c r="J295" s="29"/>
      <c r="K295" s="29"/>
      <c r="L295" s="29"/>
      <c r="M295" s="29"/>
      <c r="N295" s="29"/>
      <c r="O295" s="29"/>
      <c r="P295" s="30"/>
      <c r="Q295" s="30"/>
      <c r="R295" s="30"/>
      <c r="S295" s="31"/>
      <c r="T295" s="31"/>
      <c r="U295" s="31"/>
      <c r="V295" s="31"/>
      <c r="W295" s="31"/>
      <c r="X295" s="32"/>
      <c r="Y295" s="32"/>
      <c r="Z295" s="32"/>
    </row>
    <row r="296" spans="1:26">
      <c r="A296" s="28"/>
      <c r="B296" s="17">
        <f t="shared" si="22"/>
        <v>46289</v>
      </c>
      <c r="C296" s="26">
        <f>I296+J296+K296+L296+M296+N296+O296+IF(P296="",0,P296*サマリー!$B$9)+IF(Q296="",0,IF(Q296=200,サマリー!$B$10,IF(Q296=100,サマリー!$B$11,0)))+IF(R296="",0,R296*サマリー!$B$12)</f>
        <v>0</v>
      </c>
      <c r="D296" s="26">
        <f>S296+T296+U296+V296+W296+IF(X296="",0,X296*サマリー!$B$9)+IF(Y296="",0,IF(Y296=200,サマリー!$B$10,IF(Y296=100,サマリー!$B$11,0)))+IF(Z296="",0,Z296*サマリー!$B$12)</f>
        <v>0</v>
      </c>
      <c r="E296" s="26">
        <f t="shared" si="23"/>
        <v>0</v>
      </c>
      <c r="I296" s="29"/>
      <c r="J296" s="29"/>
      <c r="K296" s="29"/>
      <c r="L296" s="29"/>
      <c r="M296" s="29"/>
      <c r="N296" s="29"/>
      <c r="O296" s="29"/>
      <c r="P296" s="30"/>
      <c r="Q296" s="30"/>
      <c r="R296" s="30"/>
      <c r="S296" s="31"/>
      <c r="T296" s="31"/>
      <c r="U296" s="31"/>
      <c r="V296" s="31"/>
      <c r="W296" s="31"/>
      <c r="X296" s="32"/>
      <c r="Y296" s="32"/>
      <c r="Z296" s="32"/>
    </row>
    <row r="297" spans="1:26">
      <c r="A297" s="28"/>
      <c r="B297" s="17">
        <f t="shared" si="22"/>
        <v>46289</v>
      </c>
      <c r="C297" s="26">
        <f>I297+J297+K297+L297+M297+N297+O297+IF(P297="",0,P297*サマリー!$B$9)+IF(Q297="",0,IF(Q297=200,サマリー!$B$10,IF(Q297=100,サマリー!$B$11,0)))+IF(R297="",0,R297*サマリー!$B$12)</f>
        <v>0</v>
      </c>
      <c r="D297" s="26">
        <f>S297+T297+U297+V297+W297+IF(X297="",0,X297*サマリー!$B$9)+IF(Y297="",0,IF(Y297=200,サマリー!$B$10,IF(Y297=100,サマリー!$B$11,0)))+IF(Z297="",0,Z297*サマリー!$B$12)</f>
        <v>0</v>
      </c>
      <c r="E297" s="26">
        <f t="shared" si="23"/>
        <v>0</v>
      </c>
      <c r="I297" s="29"/>
      <c r="J297" s="29"/>
      <c r="K297" s="29"/>
      <c r="L297" s="29"/>
      <c r="M297" s="29"/>
      <c r="N297" s="29"/>
      <c r="O297" s="29"/>
      <c r="P297" s="30"/>
      <c r="Q297" s="30"/>
      <c r="R297" s="30"/>
      <c r="S297" s="31"/>
      <c r="T297" s="31"/>
      <c r="U297" s="31"/>
      <c r="V297" s="31"/>
      <c r="W297" s="31"/>
      <c r="X297" s="32"/>
      <c r="Y297" s="32"/>
      <c r="Z297" s="32"/>
    </row>
    <row r="298" spans="1:26">
      <c r="A298" s="28"/>
      <c r="B298" s="17">
        <f t="shared" si="22"/>
        <v>46289</v>
      </c>
      <c r="C298" s="26">
        <f>I298+J298+K298+L298+M298+N298+O298+IF(P298="",0,P298*サマリー!$B$9)+IF(Q298="",0,IF(Q298=200,サマリー!$B$10,IF(Q298=100,サマリー!$B$11,0)))+IF(R298="",0,R298*サマリー!$B$12)</f>
        <v>0</v>
      </c>
      <c r="D298" s="26">
        <f>S298+T298+U298+V298+W298+IF(X298="",0,X298*サマリー!$B$9)+IF(Y298="",0,IF(Y298=200,サマリー!$B$10,IF(Y298=100,サマリー!$B$11,0)))+IF(Z298="",0,Z298*サマリー!$B$12)</f>
        <v>0</v>
      </c>
      <c r="E298" s="26">
        <f t="shared" si="23"/>
        <v>0</v>
      </c>
      <c r="I298" s="29"/>
      <c r="J298" s="29"/>
      <c r="K298" s="29"/>
      <c r="L298" s="29"/>
      <c r="M298" s="29"/>
      <c r="N298" s="29"/>
      <c r="O298" s="29"/>
      <c r="P298" s="30"/>
      <c r="Q298" s="30"/>
      <c r="R298" s="30"/>
      <c r="S298" s="31"/>
      <c r="T298" s="31"/>
      <c r="U298" s="31"/>
      <c r="V298" s="31"/>
      <c r="W298" s="31"/>
      <c r="X298" s="32"/>
      <c r="Y298" s="32"/>
      <c r="Z298" s="32"/>
    </row>
    <row r="299" spans="1:26">
      <c r="A299" s="28"/>
      <c r="B299" s="17">
        <f t="shared" si="22"/>
        <v>46289</v>
      </c>
      <c r="C299" s="26">
        <f>I299+J299+K299+L299+M299+N299+O299+IF(P299="",0,P299*サマリー!$B$9)+IF(Q299="",0,IF(Q299=200,サマリー!$B$10,IF(Q299=100,サマリー!$B$11,0)))+IF(R299="",0,R299*サマリー!$B$12)</f>
        <v>0</v>
      </c>
      <c r="D299" s="26">
        <f>S299+T299+U299+V299+W299+IF(X299="",0,X299*サマリー!$B$9)+IF(Y299="",0,IF(Y299=200,サマリー!$B$10,IF(Y299=100,サマリー!$B$11,0)))+IF(Z299="",0,Z299*サマリー!$B$12)</f>
        <v>0</v>
      </c>
      <c r="E299" s="26">
        <f t="shared" si="23"/>
        <v>0</v>
      </c>
      <c r="I299" s="29"/>
      <c r="J299" s="29"/>
      <c r="K299" s="29"/>
      <c r="L299" s="29"/>
      <c r="M299" s="29"/>
      <c r="N299" s="29"/>
      <c r="O299" s="29"/>
      <c r="P299" s="30"/>
      <c r="Q299" s="30"/>
      <c r="R299" s="30"/>
      <c r="S299" s="31"/>
      <c r="T299" s="31"/>
      <c r="U299" s="31"/>
      <c r="V299" s="31"/>
      <c r="W299" s="31"/>
      <c r="X299" s="32"/>
      <c r="Y299" s="32"/>
      <c r="Z299" s="32"/>
    </row>
    <row r="300" spans="1:26">
      <c r="A300" s="28"/>
      <c r="B300" s="17">
        <f t="shared" si="22"/>
        <v>46289</v>
      </c>
      <c r="C300" s="26">
        <f>I300+J300+K300+L300+M300+N300+O300+IF(P300="",0,P300*サマリー!$B$9)+IF(Q300="",0,IF(Q300=200,サマリー!$B$10,IF(Q300=100,サマリー!$B$11,0)))+IF(R300="",0,R300*サマリー!$B$12)</f>
        <v>0</v>
      </c>
      <c r="D300" s="26">
        <f>S300+T300+U300+V300+W300+IF(X300="",0,X300*サマリー!$B$9)+IF(Y300="",0,IF(Y300=200,サマリー!$B$10,IF(Y300=100,サマリー!$B$11,0)))+IF(Z300="",0,Z300*サマリー!$B$12)</f>
        <v>0</v>
      </c>
      <c r="E300" s="26">
        <f t="shared" si="23"/>
        <v>0</v>
      </c>
      <c r="I300" s="29"/>
      <c r="J300" s="29"/>
      <c r="K300" s="29"/>
      <c r="L300" s="29"/>
      <c r="M300" s="29"/>
      <c r="N300" s="29"/>
      <c r="O300" s="29"/>
      <c r="P300" s="30"/>
      <c r="Q300" s="30"/>
      <c r="R300" s="30"/>
      <c r="S300" s="31"/>
      <c r="T300" s="31"/>
      <c r="U300" s="31"/>
      <c r="V300" s="31"/>
      <c r="W300" s="31"/>
      <c r="X300" s="32"/>
      <c r="Y300" s="32"/>
      <c r="Z300" s="32"/>
    </row>
    <row r="301" spans="1:26">
      <c r="A301" s="28"/>
      <c r="B301" s="17">
        <f t="shared" si="22"/>
        <v>46289</v>
      </c>
      <c r="C301" s="26">
        <f>I301+J301+K301+L301+M301+N301+O301+IF(P301="",0,P301*サマリー!$B$9)+IF(Q301="",0,IF(Q301=200,サマリー!$B$10,IF(Q301=100,サマリー!$B$11,0)))+IF(R301="",0,R301*サマリー!$B$12)</f>
        <v>0</v>
      </c>
      <c r="D301" s="26">
        <f>S301+T301+U301+V301+W301+IF(X301="",0,X301*サマリー!$B$9)+IF(Y301="",0,IF(Y301=200,サマリー!$B$10,IF(Y301=100,サマリー!$B$11,0)))+IF(Z301="",0,Z301*サマリー!$B$12)</f>
        <v>0</v>
      </c>
      <c r="E301" s="26">
        <f t="shared" si="23"/>
        <v>0</v>
      </c>
      <c r="I301" s="29"/>
      <c r="J301" s="29"/>
      <c r="K301" s="29"/>
      <c r="L301" s="29"/>
      <c r="M301" s="29"/>
      <c r="N301" s="29"/>
      <c r="O301" s="29"/>
      <c r="P301" s="30"/>
      <c r="Q301" s="30"/>
      <c r="R301" s="30"/>
      <c r="S301" s="31"/>
      <c r="T301" s="31"/>
      <c r="U301" s="31"/>
      <c r="V301" s="31"/>
      <c r="W301" s="31"/>
      <c r="X301" s="32"/>
      <c r="Y301" s="32"/>
      <c r="Z301" s="32"/>
    </row>
    <row r="302" spans="1:26">
      <c r="A302" s="28"/>
      <c r="B302" s="17">
        <f t="shared" si="22"/>
        <v>46289</v>
      </c>
      <c r="C302" s="26">
        <f>I302+J302+K302+L302+M302+N302+O302+IF(P302="",0,P302*サマリー!$B$9)+IF(Q302="",0,IF(Q302=200,サマリー!$B$10,IF(Q302=100,サマリー!$B$11,0)))+IF(R302="",0,R302*サマリー!$B$12)</f>
        <v>0</v>
      </c>
      <c r="D302" s="26">
        <f>S302+T302+U302+V302+W302+IF(X302="",0,X302*サマリー!$B$9)+IF(Y302="",0,IF(Y302=200,サマリー!$B$10,IF(Y302=100,サマリー!$B$11,0)))+IF(Z302="",0,Z302*サマリー!$B$12)</f>
        <v>0</v>
      </c>
      <c r="E302" s="26">
        <f t="shared" si="23"/>
        <v>0</v>
      </c>
      <c r="I302" s="29"/>
      <c r="J302" s="29"/>
      <c r="K302" s="29"/>
      <c r="L302" s="29"/>
      <c r="M302" s="29"/>
      <c r="N302" s="29"/>
      <c r="O302" s="29"/>
      <c r="P302" s="30"/>
      <c r="Q302" s="30"/>
      <c r="R302" s="30"/>
      <c r="S302" s="31"/>
      <c r="T302" s="31"/>
      <c r="U302" s="31"/>
      <c r="V302" s="31"/>
      <c r="W302" s="31"/>
      <c r="X302" s="32"/>
      <c r="Y302" s="32"/>
      <c r="Z302" s="32"/>
    </row>
    <row r="303" spans="1:26">
      <c r="A303" s="28"/>
      <c r="B303" s="17">
        <f t="shared" si="22"/>
        <v>46289</v>
      </c>
      <c r="C303" s="26">
        <f>I303+J303+K303+L303+M303+N303+O303+IF(P303="",0,P303*サマリー!$B$9)+IF(Q303="",0,IF(Q303=200,サマリー!$B$10,IF(Q303=100,サマリー!$B$11,0)))+IF(R303="",0,R303*サマリー!$B$12)</f>
        <v>0</v>
      </c>
      <c r="D303" s="26">
        <f>S303+T303+U303+V303+W303+IF(X303="",0,X303*サマリー!$B$9)+IF(Y303="",0,IF(Y303=200,サマリー!$B$10,IF(Y303=100,サマリー!$B$11,0)))+IF(Z303="",0,Z303*サマリー!$B$12)</f>
        <v>0</v>
      </c>
      <c r="E303" s="26">
        <f t="shared" si="23"/>
        <v>0</v>
      </c>
      <c r="I303" s="29"/>
      <c r="J303" s="29"/>
      <c r="K303" s="29"/>
      <c r="L303" s="29"/>
      <c r="M303" s="29"/>
      <c r="N303" s="29"/>
      <c r="O303" s="29"/>
      <c r="P303" s="30"/>
      <c r="Q303" s="30"/>
      <c r="R303" s="30"/>
      <c r="S303" s="31"/>
      <c r="T303" s="31"/>
      <c r="U303" s="31"/>
      <c r="V303" s="31"/>
      <c r="W303" s="31"/>
      <c r="X303" s="32"/>
      <c r="Y303" s="32"/>
      <c r="Z303" s="32"/>
    </row>
    <row r="304" spans="1:26">
      <c r="A304" s="28"/>
      <c r="B304" s="17">
        <f t="shared" si="22"/>
        <v>46289</v>
      </c>
      <c r="C304" s="26">
        <f>I304+J304+K304+L304+M304+N304+O304+IF(P304="",0,P304*サマリー!$B$9)+IF(Q304="",0,IF(Q304=200,サマリー!$B$10,IF(Q304=100,サマリー!$B$11,0)))+IF(R304="",0,R304*サマリー!$B$12)</f>
        <v>0</v>
      </c>
      <c r="D304" s="26">
        <f>S304+T304+U304+V304+W304+IF(X304="",0,X304*サマリー!$B$9)+IF(Y304="",0,IF(Y304=200,サマリー!$B$10,IF(Y304=100,サマリー!$B$11,0)))+IF(Z304="",0,Z304*サマリー!$B$12)</f>
        <v>0</v>
      </c>
      <c r="E304" s="26">
        <f t="shared" si="23"/>
        <v>0</v>
      </c>
      <c r="I304" s="29"/>
      <c r="J304" s="29"/>
      <c r="K304" s="29"/>
      <c r="L304" s="29"/>
      <c r="M304" s="29"/>
      <c r="N304" s="29"/>
      <c r="O304" s="29"/>
      <c r="P304" s="30"/>
      <c r="Q304" s="30"/>
      <c r="R304" s="30"/>
      <c r="S304" s="31"/>
      <c r="T304" s="31"/>
      <c r="U304" s="31"/>
      <c r="V304" s="31"/>
      <c r="W304" s="31"/>
      <c r="X304" s="32"/>
      <c r="Y304" s="32"/>
      <c r="Z304" s="32"/>
    </row>
    <row r="305" spans="1:26">
      <c r="A305" s="28"/>
      <c r="B305" s="17">
        <f t="shared" si="22"/>
        <v>46289</v>
      </c>
      <c r="C305" s="26">
        <f>I305+J305+K305+L305+M305+N305+O305+IF(P305="",0,P305*サマリー!$B$9)+IF(Q305="",0,IF(Q305=200,サマリー!$B$10,IF(Q305=100,サマリー!$B$11,0)))+IF(R305="",0,R305*サマリー!$B$12)</f>
        <v>0</v>
      </c>
      <c r="D305" s="26">
        <f>S305+T305+U305+V305+W305+IF(X305="",0,X305*サマリー!$B$9)+IF(Y305="",0,IF(Y305=200,サマリー!$B$10,IF(Y305=100,サマリー!$B$11,0)))+IF(Z305="",0,Z305*サマリー!$B$12)</f>
        <v>0</v>
      </c>
      <c r="E305" s="26">
        <f t="shared" si="23"/>
        <v>0</v>
      </c>
      <c r="I305" s="29"/>
      <c r="J305" s="29"/>
      <c r="K305" s="29"/>
      <c r="L305" s="29"/>
      <c r="M305" s="29"/>
      <c r="N305" s="29"/>
      <c r="O305" s="29"/>
      <c r="P305" s="30"/>
      <c r="Q305" s="30"/>
      <c r="R305" s="30"/>
      <c r="S305" s="31"/>
      <c r="T305" s="31"/>
      <c r="U305" s="31"/>
      <c r="V305" s="31"/>
      <c r="W305" s="31"/>
      <c r="X305" s="32"/>
      <c r="Y305" s="32"/>
      <c r="Z305" s="32"/>
    </row>
    <row r="306" spans="1:26">
      <c r="A306" s="28"/>
      <c r="B306" s="17">
        <f t="shared" si="22"/>
        <v>46289</v>
      </c>
      <c r="C306" s="26">
        <f>I306+J306+K306+L306+M306+N306+O306+IF(P306="",0,P306*サマリー!$B$9)+IF(Q306="",0,IF(Q306=200,サマリー!$B$10,IF(Q306=100,サマリー!$B$11,0)))+IF(R306="",0,R306*サマリー!$B$12)</f>
        <v>0</v>
      </c>
      <c r="D306" s="26">
        <f>S306+T306+U306+V306+W306+IF(X306="",0,X306*サマリー!$B$9)+IF(Y306="",0,IF(Y306=200,サマリー!$B$10,IF(Y306=100,サマリー!$B$11,0)))+IF(Z306="",0,Z306*サマリー!$B$12)</f>
        <v>0</v>
      </c>
      <c r="E306" s="26">
        <f t="shared" si="23"/>
        <v>0</v>
      </c>
      <c r="I306" s="29"/>
      <c r="J306" s="29"/>
      <c r="K306" s="29"/>
      <c r="L306" s="29"/>
      <c r="M306" s="29"/>
      <c r="N306" s="29"/>
      <c r="O306" s="29"/>
      <c r="P306" s="30"/>
      <c r="Q306" s="30"/>
      <c r="R306" s="30"/>
      <c r="S306" s="31"/>
      <c r="T306" s="31"/>
      <c r="U306" s="31"/>
      <c r="V306" s="31"/>
      <c r="W306" s="31"/>
      <c r="X306" s="32"/>
      <c r="Y306" s="32"/>
      <c r="Z306" s="32"/>
    </row>
    <row r="307" spans="1:26">
      <c r="A307" s="28"/>
      <c r="B307" s="17">
        <f t="shared" si="22"/>
        <v>46289</v>
      </c>
      <c r="C307" s="26">
        <f>I307+J307+K307+L307+M307+N307+O307+IF(P307="",0,P307*サマリー!$B$9)+IF(Q307="",0,IF(Q307=200,サマリー!$B$10,IF(Q307=100,サマリー!$B$11,0)))+IF(R307="",0,R307*サマリー!$B$12)</f>
        <v>0</v>
      </c>
      <c r="D307" s="26">
        <f>S307+T307+U307+V307+W307+IF(X307="",0,X307*サマリー!$B$9)+IF(Y307="",0,IF(Y307=200,サマリー!$B$10,IF(Y307=100,サマリー!$B$11,0)))+IF(Z307="",0,Z307*サマリー!$B$12)</f>
        <v>0</v>
      </c>
      <c r="E307" s="26">
        <f t="shared" si="23"/>
        <v>0</v>
      </c>
      <c r="I307" s="29"/>
      <c r="J307" s="29"/>
      <c r="K307" s="29"/>
      <c r="L307" s="29"/>
      <c r="M307" s="29"/>
      <c r="N307" s="29"/>
      <c r="O307" s="29"/>
      <c r="P307" s="30"/>
      <c r="Q307" s="30"/>
      <c r="R307" s="30"/>
      <c r="S307" s="31"/>
      <c r="T307" s="31"/>
      <c r="U307" s="31"/>
      <c r="V307" s="31"/>
      <c r="W307" s="31"/>
      <c r="X307" s="32"/>
      <c r="Y307" s="32"/>
      <c r="Z307" s="32"/>
    </row>
    <row r="308" spans="1:26">
      <c r="A308" s="28"/>
      <c r="B308" s="17">
        <f t="shared" si="22"/>
        <v>46289</v>
      </c>
      <c r="C308" s="26">
        <f>I308+J308+K308+L308+M308+N308+O308+IF(P308="",0,P308*サマリー!$B$9)+IF(Q308="",0,IF(Q308=200,サマリー!$B$10,IF(Q308=100,サマリー!$B$11,0)))+IF(R308="",0,R308*サマリー!$B$12)</f>
        <v>0</v>
      </c>
      <c r="D308" s="26">
        <f>S308+T308+U308+V308+W308+IF(X308="",0,X308*サマリー!$B$9)+IF(Y308="",0,IF(Y308=200,サマリー!$B$10,IF(Y308=100,サマリー!$B$11,0)))+IF(Z308="",0,Z308*サマリー!$B$12)</f>
        <v>0</v>
      </c>
      <c r="E308" s="26">
        <f t="shared" si="23"/>
        <v>0</v>
      </c>
      <c r="I308" s="29"/>
      <c r="J308" s="29"/>
      <c r="K308" s="29"/>
      <c r="L308" s="29"/>
      <c r="M308" s="29"/>
      <c r="N308" s="29"/>
      <c r="O308" s="29"/>
      <c r="P308" s="30"/>
      <c r="Q308" s="30"/>
      <c r="R308" s="30"/>
      <c r="S308" s="31"/>
      <c r="T308" s="31"/>
      <c r="U308" s="31"/>
      <c r="V308" s="31"/>
      <c r="W308" s="31"/>
      <c r="X308" s="32"/>
      <c r="Y308" s="32"/>
      <c r="Z308" s="32"/>
    </row>
    <row r="309" spans="1:26">
      <c r="A309" s="28"/>
      <c r="B309" s="17">
        <f t="shared" ref="B309:B372" si="24">IF(A309="",B308,IF(A309&lt;DAY(B308),DATE(YEAR(B308),MONTH(B308)+1,A309),DATE(YEAR(B308),MONTH(B308),A309)))</f>
        <v>46289</v>
      </c>
      <c r="C309" s="26">
        <f>I309+J309+K309+L309+M309+N309+O309+IF(P309="",0,P309*サマリー!$B$9)+IF(Q309="",0,IF(Q309=200,サマリー!$B$10,IF(Q309=100,サマリー!$B$11,0)))+IF(R309="",0,R309*サマリー!$B$12)</f>
        <v>0</v>
      </c>
      <c r="D309" s="26">
        <f>S309+T309+U309+V309+W309+IF(X309="",0,X309*サマリー!$B$9)+IF(Y309="",0,IF(Y309=200,サマリー!$B$10,IF(Y309=100,サマリー!$B$11,0)))+IF(Z309="",0,Z309*サマリー!$B$12)</f>
        <v>0</v>
      </c>
      <c r="E309" s="26">
        <f t="shared" ref="E309:E372" si="25">C309+D309</f>
        <v>0</v>
      </c>
      <c r="I309" s="29"/>
      <c r="J309" s="29"/>
      <c r="K309" s="29"/>
      <c r="L309" s="29"/>
      <c r="M309" s="29"/>
      <c r="N309" s="29"/>
      <c r="O309" s="29"/>
      <c r="P309" s="30"/>
      <c r="Q309" s="30"/>
      <c r="R309" s="30"/>
      <c r="S309" s="31"/>
      <c r="T309" s="31"/>
      <c r="U309" s="31"/>
      <c r="V309" s="31"/>
      <c r="W309" s="31"/>
      <c r="X309" s="32"/>
      <c r="Y309" s="32"/>
      <c r="Z309" s="32"/>
    </row>
    <row r="310" spans="1:26">
      <c r="A310" s="28"/>
      <c r="B310" s="17">
        <f t="shared" si="24"/>
        <v>46289</v>
      </c>
      <c r="C310" s="26">
        <f>I310+J310+K310+L310+M310+N310+O310+IF(P310="",0,P310*サマリー!$B$9)+IF(Q310="",0,IF(Q310=200,サマリー!$B$10,IF(Q310=100,サマリー!$B$11,0)))+IF(R310="",0,R310*サマリー!$B$12)</f>
        <v>0</v>
      </c>
      <c r="D310" s="26">
        <f>S310+T310+U310+V310+W310+IF(X310="",0,X310*サマリー!$B$9)+IF(Y310="",0,IF(Y310=200,サマリー!$B$10,IF(Y310=100,サマリー!$B$11,0)))+IF(Z310="",0,Z310*サマリー!$B$12)</f>
        <v>0</v>
      </c>
      <c r="E310" s="26">
        <f t="shared" si="25"/>
        <v>0</v>
      </c>
      <c r="I310" s="29"/>
      <c r="J310" s="29"/>
      <c r="K310" s="29"/>
      <c r="L310" s="29"/>
      <c r="M310" s="29"/>
      <c r="N310" s="29"/>
      <c r="O310" s="29"/>
      <c r="P310" s="30"/>
      <c r="Q310" s="30"/>
      <c r="R310" s="30"/>
      <c r="S310" s="31"/>
      <c r="T310" s="31"/>
      <c r="U310" s="31"/>
      <c r="V310" s="31"/>
      <c r="W310" s="31"/>
      <c r="X310" s="32"/>
      <c r="Y310" s="32"/>
      <c r="Z310" s="32"/>
    </row>
    <row r="311" spans="1:26">
      <c r="A311" s="28"/>
      <c r="B311" s="17">
        <f t="shared" si="24"/>
        <v>46289</v>
      </c>
      <c r="C311" s="26">
        <f>I311+J311+K311+L311+M311+N311+O311+IF(P311="",0,P311*サマリー!$B$9)+IF(Q311="",0,IF(Q311=200,サマリー!$B$10,IF(Q311=100,サマリー!$B$11,0)))+IF(R311="",0,R311*サマリー!$B$12)</f>
        <v>0</v>
      </c>
      <c r="D311" s="26">
        <f>S311+T311+U311+V311+W311+IF(X311="",0,X311*サマリー!$B$9)+IF(Y311="",0,IF(Y311=200,サマリー!$B$10,IF(Y311=100,サマリー!$B$11,0)))+IF(Z311="",0,Z311*サマリー!$B$12)</f>
        <v>0</v>
      </c>
      <c r="E311" s="26">
        <f t="shared" si="25"/>
        <v>0</v>
      </c>
      <c r="I311" s="29"/>
      <c r="J311" s="29"/>
      <c r="K311" s="29"/>
      <c r="L311" s="29"/>
      <c r="M311" s="29"/>
      <c r="N311" s="29"/>
      <c r="O311" s="29"/>
      <c r="P311" s="30"/>
      <c r="Q311" s="30"/>
      <c r="R311" s="30"/>
      <c r="S311" s="31"/>
      <c r="T311" s="31"/>
      <c r="U311" s="31"/>
      <c r="V311" s="31"/>
      <c r="W311" s="31"/>
      <c r="X311" s="32"/>
      <c r="Y311" s="32"/>
      <c r="Z311" s="32"/>
    </row>
    <row r="312" spans="1:26">
      <c r="A312" s="28"/>
      <c r="B312" s="17">
        <f t="shared" si="24"/>
        <v>46289</v>
      </c>
      <c r="C312" s="26">
        <f>I312+J312+K312+L312+M312+N312+O312+IF(P312="",0,P312*サマリー!$B$9)+IF(Q312="",0,IF(Q312=200,サマリー!$B$10,IF(Q312=100,サマリー!$B$11,0)))+IF(R312="",0,R312*サマリー!$B$12)</f>
        <v>0</v>
      </c>
      <c r="D312" s="26">
        <f>S312+T312+U312+V312+W312+IF(X312="",0,X312*サマリー!$B$9)+IF(Y312="",0,IF(Y312=200,サマリー!$B$10,IF(Y312=100,サマリー!$B$11,0)))+IF(Z312="",0,Z312*サマリー!$B$12)</f>
        <v>0</v>
      </c>
      <c r="E312" s="26">
        <f t="shared" si="25"/>
        <v>0</v>
      </c>
      <c r="I312" s="29"/>
      <c r="J312" s="29"/>
      <c r="K312" s="29"/>
      <c r="L312" s="29"/>
      <c r="M312" s="29"/>
      <c r="N312" s="29"/>
      <c r="O312" s="29"/>
      <c r="P312" s="30"/>
      <c r="Q312" s="30"/>
      <c r="R312" s="30"/>
      <c r="S312" s="31"/>
      <c r="T312" s="31"/>
      <c r="U312" s="31"/>
      <c r="V312" s="31"/>
      <c r="W312" s="31"/>
      <c r="X312" s="32"/>
      <c r="Y312" s="32"/>
      <c r="Z312" s="32"/>
    </row>
    <row r="313" spans="1:26">
      <c r="A313" s="28"/>
      <c r="B313" s="17">
        <f t="shared" si="24"/>
        <v>46289</v>
      </c>
      <c r="C313" s="26">
        <f>I313+J313+K313+L313+M313+N313+O313+IF(P313="",0,P313*サマリー!$B$9)+IF(Q313="",0,IF(Q313=200,サマリー!$B$10,IF(Q313=100,サマリー!$B$11,0)))+IF(R313="",0,R313*サマリー!$B$12)</f>
        <v>0</v>
      </c>
      <c r="D313" s="26">
        <f>S313+T313+U313+V313+W313+IF(X313="",0,X313*サマリー!$B$9)+IF(Y313="",0,IF(Y313=200,サマリー!$B$10,IF(Y313=100,サマリー!$B$11,0)))+IF(Z313="",0,Z313*サマリー!$B$12)</f>
        <v>0</v>
      </c>
      <c r="E313" s="26">
        <f t="shared" si="25"/>
        <v>0</v>
      </c>
      <c r="I313" s="29"/>
      <c r="J313" s="29"/>
      <c r="K313" s="29"/>
      <c r="L313" s="29"/>
      <c r="M313" s="29"/>
      <c r="N313" s="29"/>
      <c r="O313" s="29"/>
      <c r="P313" s="30"/>
      <c r="Q313" s="30"/>
      <c r="R313" s="30"/>
      <c r="S313" s="31"/>
      <c r="T313" s="31"/>
      <c r="U313" s="31"/>
      <c r="V313" s="31"/>
      <c r="W313" s="31"/>
      <c r="X313" s="32"/>
      <c r="Y313" s="32"/>
      <c r="Z313" s="32"/>
    </row>
    <row r="314" spans="1:26">
      <c r="A314" s="28"/>
      <c r="B314" s="17">
        <f t="shared" si="24"/>
        <v>46289</v>
      </c>
      <c r="C314" s="26">
        <f>I314+J314+K314+L314+M314+N314+O314+IF(P314="",0,P314*サマリー!$B$9)+IF(Q314="",0,IF(Q314=200,サマリー!$B$10,IF(Q314=100,サマリー!$B$11,0)))+IF(R314="",0,R314*サマリー!$B$12)</f>
        <v>0</v>
      </c>
      <c r="D314" s="26">
        <f>S314+T314+U314+V314+W314+IF(X314="",0,X314*サマリー!$B$9)+IF(Y314="",0,IF(Y314=200,サマリー!$B$10,IF(Y314=100,サマリー!$B$11,0)))+IF(Z314="",0,Z314*サマリー!$B$12)</f>
        <v>0</v>
      </c>
      <c r="E314" s="26">
        <f t="shared" si="25"/>
        <v>0</v>
      </c>
      <c r="I314" s="29"/>
      <c r="J314" s="29"/>
      <c r="K314" s="29"/>
      <c r="L314" s="29"/>
      <c r="M314" s="29"/>
      <c r="N314" s="29"/>
      <c r="O314" s="29"/>
      <c r="P314" s="30"/>
      <c r="Q314" s="30"/>
      <c r="R314" s="30"/>
      <c r="S314" s="31"/>
      <c r="T314" s="31"/>
      <c r="U314" s="31"/>
      <c r="V314" s="31"/>
      <c r="W314" s="31"/>
      <c r="X314" s="32"/>
      <c r="Y314" s="32"/>
      <c r="Z314" s="32"/>
    </row>
    <row r="315" spans="1:26">
      <c r="A315" s="28"/>
      <c r="B315" s="17">
        <f t="shared" si="24"/>
        <v>46289</v>
      </c>
      <c r="C315" s="26">
        <f>I315+J315+K315+L315+M315+N315+O315+IF(P315="",0,P315*サマリー!$B$9)+IF(Q315="",0,IF(Q315=200,サマリー!$B$10,IF(Q315=100,サマリー!$B$11,0)))+IF(R315="",0,R315*サマリー!$B$12)</f>
        <v>0</v>
      </c>
      <c r="D315" s="26">
        <f>S315+T315+U315+V315+W315+IF(X315="",0,X315*サマリー!$B$9)+IF(Y315="",0,IF(Y315=200,サマリー!$B$10,IF(Y315=100,サマリー!$B$11,0)))+IF(Z315="",0,Z315*サマリー!$B$12)</f>
        <v>0</v>
      </c>
      <c r="E315" s="26">
        <f t="shared" si="25"/>
        <v>0</v>
      </c>
      <c r="I315" s="29"/>
      <c r="J315" s="29"/>
      <c r="K315" s="29"/>
      <c r="L315" s="29"/>
      <c r="M315" s="29"/>
      <c r="N315" s="29"/>
      <c r="O315" s="29"/>
      <c r="P315" s="30"/>
      <c r="Q315" s="30"/>
      <c r="R315" s="30"/>
      <c r="S315" s="31"/>
      <c r="T315" s="31"/>
      <c r="U315" s="31"/>
      <c r="V315" s="31"/>
      <c r="W315" s="31"/>
      <c r="X315" s="32"/>
      <c r="Y315" s="32"/>
      <c r="Z315" s="32"/>
    </row>
    <row r="316" spans="1:26">
      <c r="A316" s="28"/>
      <c r="B316" s="17">
        <f t="shared" si="24"/>
        <v>46289</v>
      </c>
      <c r="C316" s="26">
        <f>I316+J316+K316+L316+M316+N316+O316+IF(P316="",0,P316*サマリー!$B$9)+IF(Q316="",0,IF(Q316=200,サマリー!$B$10,IF(Q316=100,サマリー!$B$11,0)))+IF(R316="",0,R316*サマリー!$B$12)</f>
        <v>0</v>
      </c>
      <c r="D316" s="26">
        <f>S316+T316+U316+V316+W316+IF(X316="",0,X316*サマリー!$B$9)+IF(Y316="",0,IF(Y316=200,サマリー!$B$10,IF(Y316=100,サマリー!$B$11,0)))+IF(Z316="",0,Z316*サマリー!$B$12)</f>
        <v>0</v>
      </c>
      <c r="E316" s="26">
        <f t="shared" si="25"/>
        <v>0</v>
      </c>
      <c r="I316" s="29"/>
      <c r="J316" s="29"/>
      <c r="K316" s="29"/>
      <c r="L316" s="29"/>
      <c r="M316" s="29"/>
      <c r="N316" s="29"/>
      <c r="O316" s="29"/>
      <c r="P316" s="30"/>
      <c r="Q316" s="30"/>
      <c r="R316" s="30"/>
      <c r="S316" s="31"/>
      <c r="T316" s="31"/>
      <c r="U316" s="31"/>
      <c r="V316" s="31"/>
      <c r="W316" s="31"/>
      <c r="X316" s="32"/>
      <c r="Y316" s="32"/>
      <c r="Z316" s="32"/>
    </row>
    <row r="317" spans="1:26">
      <c r="A317" s="28"/>
      <c r="B317" s="17">
        <f t="shared" si="24"/>
        <v>46289</v>
      </c>
      <c r="C317" s="26">
        <f>I317+J317+K317+L317+M317+N317+O317+IF(P317="",0,P317*サマリー!$B$9)+IF(Q317="",0,IF(Q317=200,サマリー!$B$10,IF(Q317=100,サマリー!$B$11,0)))+IF(R317="",0,R317*サマリー!$B$12)</f>
        <v>0</v>
      </c>
      <c r="D317" s="26">
        <f>S317+T317+U317+V317+W317+IF(X317="",0,X317*サマリー!$B$9)+IF(Y317="",0,IF(Y317=200,サマリー!$B$10,IF(Y317=100,サマリー!$B$11,0)))+IF(Z317="",0,Z317*サマリー!$B$12)</f>
        <v>0</v>
      </c>
      <c r="E317" s="26">
        <f t="shared" si="25"/>
        <v>0</v>
      </c>
      <c r="I317" s="29"/>
      <c r="J317" s="29"/>
      <c r="K317" s="29"/>
      <c r="L317" s="29"/>
      <c r="M317" s="29"/>
      <c r="N317" s="29"/>
      <c r="O317" s="29"/>
      <c r="P317" s="30"/>
      <c r="Q317" s="30"/>
      <c r="R317" s="30"/>
      <c r="S317" s="31"/>
      <c r="T317" s="31"/>
      <c r="U317" s="31"/>
      <c r="V317" s="31"/>
      <c r="W317" s="31"/>
      <c r="X317" s="32"/>
      <c r="Y317" s="32"/>
      <c r="Z317" s="32"/>
    </row>
    <row r="318" spans="1:26">
      <c r="A318" s="28"/>
      <c r="B318" s="17">
        <f t="shared" si="24"/>
        <v>46289</v>
      </c>
      <c r="C318" s="26">
        <f>I318+J318+K318+L318+M318+N318+O318+IF(P318="",0,P318*サマリー!$B$9)+IF(Q318="",0,IF(Q318=200,サマリー!$B$10,IF(Q318=100,サマリー!$B$11,0)))+IF(R318="",0,R318*サマリー!$B$12)</f>
        <v>0</v>
      </c>
      <c r="D318" s="26">
        <f>S318+T318+U318+V318+W318+IF(X318="",0,X318*サマリー!$B$9)+IF(Y318="",0,IF(Y318=200,サマリー!$B$10,IF(Y318=100,サマリー!$B$11,0)))+IF(Z318="",0,Z318*サマリー!$B$12)</f>
        <v>0</v>
      </c>
      <c r="E318" s="26">
        <f t="shared" si="25"/>
        <v>0</v>
      </c>
      <c r="I318" s="29"/>
      <c r="J318" s="29"/>
      <c r="K318" s="29"/>
      <c r="L318" s="29"/>
      <c r="M318" s="29"/>
      <c r="N318" s="29"/>
      <c r="O318" s="29"/>
      <c r="P318" s="30"/>
      <c r="Q318" s="30"/>
      <c r="R318" s="30"/>
      <c r="S318" s="31"/>
      <c r="T318" s="31"/>
      <c r="U318" s="31"/>
      <c r="V318" s="31"/>
      <c r="W318" s="31"/>
      <c r="X318" s="32"/>
      <c r="Y318" s="32"/>
      <c r="Z318" s="32"/>
    </row>
    <row r="319" spans="1:26">
      <c r="A319" s="28"/>
      <c r="B319" s="17">
        <f t="shared" si="24"/>
        <v>46289</v>
      </c>
      <c r="C319" s="26">
        <f>I319+J319+K319+L319+M319+N319+O319+IF(P319="",0,P319*サマリー!$B$9)+IF(Q319="",0,IF(Q319=200,サマリー!$B$10,IF(Q319=100,サマリー!$B$11,0)))+IF(R319="",0,R319*サマリー!$B$12)</f>
        <v>0</v>
      </c>
      <c r="D319" s="26">
        <f>S319+T319+U319+V319+W319+IF(X319="",0,X319*サマリー!$B$9)+IF(Y319="",0,IF(Y319=200,サマリー!$B$10,IF(Y319=100,サマリー!$B$11,0)))+IF(Z319="",0,Z319*サマリー!$B$12)</f>
        <v>0</v>
      </c>
      <c r="E319" s="26">
        <f t="shared" si="25"/>
        <v>0</v>
      </c>
      <c r="I319" s="29"/>
      <c r="J319" s="29"/>
      <c r="K319" s="29"/>
      <c r="L319" s="29"/>
      <c r="M319" s="29"/>
      <c r="N319" s="29"/>
      <c r="O319" s="29"/>
      <c r="P319" s="30"/>
      <c r="Q319" s="30"/>
      <c r="R319" s="30"/>
      <c r="S319" s="31"/>
      <c r="T319" s="31"/>
      <c r="U319" s="31"/>
      <c r="V319" s="31"/>
      <c r="W319" s="31"/>
      <c r="X319" s="32"/>
      <c r="Y319" s="32"/>
      <c r="Z319" s="32"/>
    </row>
    <row r="320" spans="1:26">
      <c r="A320" s="28"/>
      <c r="B320" s="17">
        <f t="shared" si="24"/>
        <v>46289</v>
      </c>
      <c r="C320" s="26">
        <f>I320+J320+K320+L320+M320+N320+O320+IF(P320="",0,P320*サマリー!$B$9)+IF(Q320="",0,IF(Q320=200,サマリー!$B$10,IF(Q320=100,サマリー!$B$11,0)))+IF(R320="",0,R320*サマリー!$B$12)</f>
        <v>0</v>
      </c>
      <c r="D320" s="26">
        <f>S320+T320+U320+V320+W320+IF(X320="",0,X320*サマリー!$B$9)+IF(Y320="",0,IF(Y320=200,サマリー!$B$10,IF(Y320=100,サマリー!$B$11,0)))+IF(Z320="",0,Z320*サマリー!$B$12)</f>
        <v>0</v>
      </c>
      <c r="E320" s="26">
        <f t="shared" si="25"/>
        <v>0</v>
      </c>
      <c r="I320" s="29"/>
      <c r="J320" s="29"/>
      <c r="K320" s="29"/>
      <c r="L320" s="29"/>
      <c r="M320" s="29"/>
      <c r="N320" s="29"/>
      <c r="O320" s="29"/>
      <c r="P320" s="30"/>
      <c r="Q320" s="30"/>
      <c r="R320" s="30"/>
      <c r="S320" s="31"/>
      <c r="T320" s="31"/>
      <c r="U320" s="31"/>
      <c r="V320" s="31"/>
      <c r="W320" s="31"/>
      <c r="X320" s="32"/>
      <c r="Y320" s="32"/>
      <c r="Z320" s="32"/>
    </row>
    <row r="321" spans="1:26">
      <c r="A321" s="28"/>
      <c r="B321" s="17">
        <f t="shared" si="24"/>
        <v>46289</v>
      </c>
      <c r="C321" s="26">
        <f>I321+J321+K321+L321+M321+N321+O321+IF(P321="",0,P321*サマリー!$B$9)+IF(Q321="",0,IF(Q321=200,サマリー!$B$10,IF(Q321=100,サマリー!$B$11,0)))+IF(R321="",0,R321*サマリー!$B$12)</f>
        <v>0</v>
      </c>
      <c r="D321" s="26">
        <f>S321+T321+U321+V321+W321+IF(X321="",0,X321*サマリー!$B$9)+IF(Y321="",0,IF(Y321=200,サマリー!$B$10,IF(Y321=100,サマリー!$B$11,0)))+IF(Z321="",0,Z321*サマリー!$B$12)</f>
        <v>0</v>
      </c>
      <c r="E321" s="26">
        <f t="shared" si="25"/>
        <v>0</v>
      </c>
      <c r="I321" s="29"/>
      <c r="J321" s="29"/>
      <c r="K321" s="29"/>
      <c r="L321" s="29"/>
      <c r="M321" s="29"/>
      <c r="N321" s="29"/>
      <c r="O321" s="29"/>
      <c r="P321" s="30"/>
      <c r="Q321" s="30"/>
      <c r="R321" s="30"/>
      <c r="S321" s="31"/>
      <c r="T321" s="31"/>
      <c r="U321" s="31"/>
      <c r="V321" s="31"/>
      <c r="W321" s="31"/>
      <c r="X321" s="32"/>
      <c r="Y321" s="32"/>
      <c r="Z321" s="32"/>
    </row>
    <row r="322" spans="1:26">
      <c r="A322" s="28"/>
      <c r="B322" s="17">
        <f t="shared" si="24"/>
        <v>46289</v>
      </c>
      <c r="C322" s="26">
        <f>I322+J322+K322+L322+M322+N322+O322+IF(P322="",0,P322*サマリー!$B$9)+IF(Q322="",0,IF(Q322=200,サマリー!$B$10,IF(Q322=100,サマリー!$B$11,0)))+IF(R322="",0,R322*サマリー!$B$12)</f>
        <v>0</v>
      </c>
      <c r="D322" s="26">
        <f>S322+T322+U322+V322+W322+IF(X322="",0,X322*サマリー!$B$9)+IF(Y322="",0,IF(Y322=200,サマリー!$B$10,IF(Y322=100,サマリー!$B$11,0)))+IF(Z322="",0,Z322*サマリー!$B$12)</f>
        <v>0</v>
      </c>
      <c r="E322" s="26">
        <f t="shared" si="25"/>
        <v>0</v>
      </c>
      <c r="I322" s="29"/>
      <c r="J322" s="29"/>
      <c r="K322" s="29"/>
      <c r="L322" s="29"/>
      <c r="M322" s="29"/>
      <c r="N322" s="29"/>
      <c r="O322" s="29"/>
      <c r="P322" s="30"/>
      <c r="Q322" s="30"/>
      <c r="R322" s="30"/>
      <c r="S322" s="31"/>
      <c r="T322" s="31"/>
      <c r="U322" s="31"/>
      <c r="V322" s="31"/>
      <c r="W322" s="31"/>
      <c r="X322" s="32"/>
      <c r="Y322" s="32"/>
      <c r="Z322" s="32"/>
    </row>
    <row r="323" spans="1:26">
      <c r="A323" s="28"/>
      <c r="B323" s="17">
        <f t="shared" si="24"/>
        <v>46289</v>
      </c>
      <c r="C323" s="26">
        <f>I323+J323+K323+L323+M323+N323+O323+IF(P323="",0,P323*サマリー!$B$9)+IF(Q323="",0,IF(Q323=200,サマリー!$B$10,IF(Q323=100,サマリー!$B$11,0)))+IF(R323="",0,R323*サマリー!$B$12)</f>
        <v>0</v>
      </c>
      <c r="D323" s="26">
        <f>S323+T323+U323+V323+W323+IF(X323="",0,X323*サマリー!$B$9)+IF(Y323="",0,IF(Y323=200,サマリー!$B$10,IF(Y323=100,サマリー!$B$11,0)))+IF(Z323="",0,Z323*サマリー!$B$12)</f>
        <v>0</v>
      </c>
      <c r="E323" s="26">
        <f t="shared" si="25"/>
        <v>0</v>
      </c>
      <c r="I323" s="29"/>
      <c r="J323" s="29"/>
      <c r="K323" s="29"/>
      <c r="L323" s="29"/>
      <c r="M323" s="29"/>
      <c r="N323" s="29"/>
      <c r="O323" s="29"/>
      <c r="P323" s="30"/>
      <c r="Q323" s="30"/>
      <c r="R323" s="30"/>
      <c r="S323" s="31"/>
      <c r="T323" s="31"/>
      <c r="U323" s="31"/>
      <c r="V323" s="31"/>
      <c r="W323" s="31"/>
      <c r="X323" s="32"/>
      <c r="Y323" s="32"/>
      <c r="Z323" s="32"/>
    </row>
    <row r="324" spans="1:26">
      <c r="A324" s="28"/>
      <c r="B324" s="17">
        <f t="shared" si="24"/>
        <v>46289</v>
      </c>
      <c r="C324" s="26">
        <f>I324+J324+K324+L324+M324+N324+O324+IF(P324="",0,P324*サマリー!$B$9)+IF(Q324="",0,IF(Q324=200,サマリー!$B$10,IF(Q324=100,サマリー!$B$11,0)))+IF(R324="",0,R324*サマリー!$B$12)</f>
        <v>0</v>
      </c>
      <c r="D324" s="26">
        <f>S324+T324+U324+V324+W324+IF(X324="",0,X324*サマリー!$B$9)+IF(Y324="",0,IF(Y324=200,サマリー!$B$10,IF(Y324=100,サマリー!$B$11,0)))+IF(Z324="",0,Z324*サマリー!$B$12)</f>
        <v>0</v>
      </c>
      <c r="E324" s="26">
        <f t="shared" si="25"/>
        <v>0</v>
      </c>
      <c r="I324" s="29"/>
      <c r="J324" s="29"/>
      <c r="K324" s="29"/>
      <c r="L324" s="29"/>
      <c r="M324" s="29"/>
      <c r="N324" s="29"/>
      <c r="O324" s="29"/>
      <c r="P324" s="30"/>
      <c r="Q324" s="30"/>
      <c r="R324" s="30"/>
      <c r="S324" s="31"/>
      <c r="T324" s="31"/>
      <c r="U324" s="31"/>
      <c r="V324" s="31"/>
      <c r="W324" s="31"/>
      <c r="X324" s="32"/>
      <c r="Y324" s="32"/>
      <c r="Z324" s="32"/>
    </row>
    <row r="325" spans="1:26">
      <c r="A325" s="28"/>
      <c r="B325" s="17">
        <f t="shared" si="24"/>
        <v>46289</v>
      </c>
      <c r="C325" s="26">
        <f>I325+J325+K325+L325+M325+N325+O325+IF(P325="",0,P325*サマリー!$B$9)+IF(Q325="",0,IF(Q325=200,サマリー!$B$10,IF(Q325=100,サマリー!$B$11,0)))+IF(R325="",0,R325*サマリー!$B$12)</f>
        <v>0</v>
      </c>
      <c r="D325" s="26">
        <f>S325+T325+U325+V325+W325+IF(X325="",0,X325*サマリー!$B$9)+IF(Y325="",0,IF(Y325=200,サマリー!$B$10,IF(Y325=100,サマリー!$B$11,0)))+IF(Z325="",0,Z325*サマリー!$B$12)</f>
        <v>0</v>
      </c>
      <c r="E325" s="26">
        <f t="shared" si="25"/>
        <v>0</v>
      </c>
      <c r="I325" s="29"/>
      <c r="J325" s="29"/>
      <c r="K325" s="29"/>
      <c r="L325" s="29"/>
      <c r="M325" s="29"/>
      <c r="N325" s="29"/>
      <c r="O325" s="29"/>
      <c r="P325" s="30"/>
      <c r="Q325" s="30"/>
      <c r="R325" s="30"/>
      <c r="S325" s="31"/>
      <c r="T325" s="31"/>
      <c r="U325" s="31"/>
      <c r="V325" s="31"/>
      <c r="W325" s="31"/>
      <c r="X325" s="32"/>
      <c r="Y325" s="32"/>
      <c r="Z325" s="32"/>
    </row>
    <row r="326" spans="1:26">
      <c r="A326" s="28"/>
      <c r="B326" s="17">
        <f t="shared" si="24"/>
        <v>46289</v>
      </c>
      <c r="C326" s="26">
        <f>I326+J326+K326+L326+M326+N326+O326+IF(P326="",0,P326*サマリー!$B$9)+IF(Q326="",0,IF(Q326=200,サマリー!$B$10,IF(Q326=100,サマリー!$B$11,0)))+IF(R326="",0,R326*サマリー!$B$12)</f>
        <v>0</v>
      </c>
      <c r="D326" s="26">
        <f>S326+T326+U326+V326+W326+IF(X326="",0,X326*サマリー!$B$9)+IF(Y326="",0,IF(Y326=200,サマリー!$B$10,IF(Y326=100,サマリー!$B$11,0)))+IF(Z326="",0,Z326*サマリー!$B$12)</f>
        <v>0</v>
      </c>
      <c r="E326" s="26">
        <f t="shared" si="25"/>
        <v>0</v>
      </c>
      <c r="I326" s="29"/>
      <c r="J326" s="29"/>
      <c r="K326" s="29"/>
      <c r="L326" s="29"/>
      <c r="M326" s="29"/>
      <c r="N326" s="29"/>
      <c r="O326" s="29"/>
      <c r="P326" s="30"/>
      <c r="Q326" s="30"/>
      <c r="R326" s="30"/>
      <c r="S326" s="31"/>
      <c r="T326" s="31"/>
      <c r="U326" s="31"/>
      <c r="V326" s="31"/>
      <c r="W326" s="31"/>
      <c r="X326" s="32"/>
      <c r="Y326" s="32"/>
      <c r="Z326" s="32"/>
    </row>
    <row r="327" spans="1:26">
      <c r="A327" s="28"/>
      <c r="B327" s="17">
        <f t="shared" si="24"/>
        <v>46289</v>
      </c>
      <c r="C327" s="26">
        <f>I327+J327+K327+L327+M327+N327+O327+IF(P327="",0,P327*サマリー!$B$9)+IF(Q327="",0,IF(Q327=200,サマリー!$B$10,IF(Q327=100,サマリー!$B$11,0)))+IF(R327="",0,R327*サマリー!$B$12)</f>
        <v>0</v>
      </c>
      <c r="D327" s="26">
        <f>S327+T327+U327+V327+W327+IF(X327="",0,X327*サマリー!$B$9)+IF(Y327="",0,IF(Y327=200,サマリー!$B$10,IF(Y327=100,サマリー!$B$11,0)))+IF(Z327="",0,Z327*サマリー!$B$12)</f>
        <v>0</v>
      </c>
      <c r="E327" s="26">
        <f t="shared" si="25"/>
        <v>0</v>
      </c>
      <c r="I327" s="29"/>
      <c r="J327" s="29"/>
      <c r="K327" s="29"/>
      <c r="L327" s="29"/>
      <c r="M327" s="29"/>
      <c r="N327" s="29"/>
      <c r="O327" s="29"/>
      <c r="P327" s="30"/>
      <c r="Q327" s="30"/>
      <c r="R327" s="30"/>
      <c r="S327" s="31"/>
      <c r="T327" s="31"/>
      <c r="U327" s="31"/>
      <c r="V327" s="31"/>
      <c r="W327" s="31"/>
      <c r="X327" s="32"/>
      <c r="Y327" s="32"/>
      <c r="Z327" s="32"/>
    </row>
    <row r="328" spans="1:26">
      <c r="A328" s="28"/>
      <c r="B328" s="17">
        <f t="shared" si="24"/>
        <v>46289</v>
      </c>
      <c r="C328" s="26">
        <f>I328+J328+K328+L328+M328+N328+O328+IF(P328="",0,P328*サマリー!$B$9)+IF(Q328="",0,IF(Q328=200,サマリー!$B$10,IF(Q328=100,サマリー!$B$11,0)))+IF(R328="",0,R328*サマリー!$B$12)</f>
        <v>0</v>
      </c>
      <c r="D328" s="26">
        <f>S328+T328+U328+V328+W328+IF(X328="",0,X328*サマリー!$B$9)+IF(Y328="",0,IF(Y328=200,サマリー!$B$10,IF(Y328=100,サマリー!$B$11,0)))+IF(Z328="",0,Z328*サマリー!$B$12)</f>
        <v>0</v>
      </c>
      <c r="E328" s="26">
        <f t="shared" si="25"/>
        <v>0</v>
      </c>
      <c r="I328" s="29"/>
      <c r="J328" s="29"/>
      <c r="K328" s="29"/>
      <c r="L328" s="29"/>
      <c r="M328" s="29"/>
      <c r="N328" s="29"/>
      <c r="O328" s="29"/>
      <c r="P328" s="30"/>
      <c r="Q328" s="30"/>
      <c r="R328" s="30"/>
      <c r="S328" s="31"/>
      <c r="T328" s="31"/>
      <c r="U328" s="31"/>
      <c r="V328" s="31"/>
      <c r="W328" s="31"/>
      <c r="X328" s="32"/>
      <c r="Y328" s="32"/>
      <c r="Z328" s="32"/>
    </row>
    <row r="329" spans="1:26">
      <c r="A329" s="28"/>
      <c r="B329" s="17">
        <f t="shared" si="24"/>
        <v>46289</v>
      </c>
      <c r="C329" s="26">
        <f>I329+J329+K329+L329+M329+N329+O329+IF(P329="",0,P329*サマリー!$B$9)+IF(Q329="",0,IF(Q329=200,サマリー!$B$10,IF(Q329=100,サマリー!$B$11,0)))+IF(R329="",0,R329*サマリー!$B$12)</f>
        <v>0</v>
      </c>
      <c r="D329" s="26">
        <f>S329+T329+U329+V329+W329+IF(X329="",0,X329*サマリー!$B$9)+IF(Y329="",0,IF(Y329=200,サマリー!$B$10,IF(Y329=100,サマリー!$B$11,0)))+IF(Z329="",0,Z329*サマリー!$B$12)</f>
        <v>0</v>
      </c>
      <c r="E329" s="26">
        <f t="shared" si="25"/>
        <v>0</v>
      </c>
      <c r="I329" s="29"/>
      <c r="J329" s="29"/>
      <c r="K329" s="29"/>
      <c r="L329" s="29"/>
      <c r="M329" s="29"/>
      <c r="N329" s="29"/>
      <c r="O329" s="29"/>
      <c r="P329" s="30"/>
      <c r="Q329" s="30"/>
      <c r="R329" s="30"/>
      <c r="S329" s="31"/>
      <c r="T329" s="31"/>
      <c r="U329" s="31"/>
      <c r="V329" s="31"/>
      <c r="W329" s="31"/>
      <c r="X329" s="32"/>
      <c r="Y329" s="32"/>
      <c r="Z329" s="32"/>
    </row>
    <row r="330" spans="1:26">
      <c r="A330" s="28"/>
      <c r="B330" s="17">
        <f t="shared" si="24"/>
        <v>46289</v>
      </c>
      <c r="C330" s="26">
        <f>I330+J330+K330+L330+M330+N330+O330+IF(P330="",0,P330*サマリー!$B$9)+IF(Q330="",0,IF(Q330=200,サマリー!$B$10,IF(Q330=100,サマリー!$B$11,0)))+IF(R330="",0,R330*サマリー!$B$12)</f>
        <v>0</v>
      </c>
      <c r="D330" s="26">
        <f>S330+T330+U330+V330+W330+IF(X330="",0,X330*サマリー!$B$9)+IF(Y330="",0,IF(Y330=200,サマリー!$B$10,IF(Y330=100,サマリー!$B$11,0)))+IF(Z330="",0,Z330*サマリー!$B$12)</f>
        <v>0</v>
      </c>
      <c r="E330" s="26">
        <f t="shared" si="25"/>
        <v>0</v>
      </c>
      <c r="I330" s="29"/>
      <c r="J330" s="29"/>
      <c r="K330" s="29"/>
      <c r="L330" s="29"/>
      <c r="M330" s="29"/>
      <c r="N330" s="29"/>
      <c r="O330" s="29"/>
      <c r="P330" s="30"/>
      <c r="Q330" s="30"/>
      <c r="R330" s="30"/>
      <c r="S330" s="31"/>
      <c r="T330" s="31"/>
      <c r="U330" s="31"/>
      <c r="V330" s="31"/>
      <c r="W330" s="31"/>
      <c r="X330" s="32"/>
      <c r="Y330" s="32"/>
      <c r="Z330" s="32"/>
    </row>
    <row r="331" spans="1:26">
      <c r="A331" s="28"/>
      <c r="B331" s="17">
        <f t="shared" si="24"/>
        <v>46289</v>
      </c>
      <c r="C331" s="26">
        <f>I331+J331+K331+L331+M331+N331+O331+IF(P331="",0,P331*サマリー!$B$9)+IF(Q331="",0,IF(Q331=200,サマリー!$B$10,IF(Q331=100,サマリー!$B$11,0)))+IF(R331="",0,R331*サマリー!$B$12)</f>
        <v>0</v>
      </c>
      <c r="D331" s="26">
        <f>S331+T331+U331+V331+W331+IF(X331="",0,X331*サマリー!$B$9)+IF(Y331="",0,IF(Y331=200,サマリー!$B$10,IF(Y331=100,サマリー!$B$11,0)))+IF(Z331="",0,Z331*サマリー!$B$12)</f>
        <v>0</v>
      </c>
      <c r="E331" s="26">
        <f t="shared" si="25"/>
        <v>0</v>
      </c>
      <c r="I331" s="29"/>
      <c r="J331" s="29"/>
      <c r="K331" s="29"/>
      <c r="L331" s="29"/>
      <c r="M331" s="29"/>
      <c r="N331" s="29"/>
      <c r="O331" s="29"/>
      <c r="P331" s="30"/>
      <c r="Q331" s="30"/>
      <c r="R331" s="30"/>
      <c r="S331" s="31"/>
      <c r="T331" s="31"/>
      <c r="U331" s="31"/>
      <c r="V331" s="31"/>
      <c r="W331" s="31"/>
      <c r="X331" s="32"/>
      <c r="Y331" s="32"/>
      <c r="Z331" s="32"/>
    </row>
    <row r="332" spans="1:26">
      <c r="A332" s="28"/>
      <c r="B332" s="17">
        <f t="shared" si="24"/>
        <v>46289</v>
      </c>
      <c r="C332" s="26">
        <f>I332+J332+K332+L332+M332+N332+O332+IF(P332="",0,P332*サマリー!$B$9)+IF(Q332="",0,IF(Q332=200,サマリー!$B$10,IF(Q332=100,サマリー!$B$11,0)))+IF(R332="",0,R332*サマリー!$B$12)</f>
        <v>0</v>
      </c>
      <c r="D332" s="26">
        <f>S332+T332+U332+V332+W332+IF(X332="",0,X332*サマリー!$B$9)+IF(Y332="",0,IF(Y332=200,サマリー!$B$10,IF(Y332=100,サマリー!$B$11,0)))+IF(Z332="",0,Z332*サマリー!$B$12)</f>
        <v>0</v>
      </c>
      <c r="E332" s="26">
        <f t="shared" si="25"/>
        <v>0</v>
      </c>
      <c r="I332" s="29"/>
      <c r="J332" s="29"/>
      <c r="K332" s="29"/>
      <c r="L332" s="29"/>
      <c r="M332" s="29"/>
      <c r="N332" s="29"/>
      <c r="O332" s="29"/>
      <c r="P332" s="30"/>
      <c r="Q332" s="30"/>
      <c r="R332" s="30"/>
      <c r="S332" s="31"/>
      <c r="T332" s="31"/>
      <c r="U332" s="31"/>
      <c r="V332" s="31"/>
      <c r="W332" s="31"/>
      <c r="X332" s="32"/>
      <c r="Y332" s="32"/>
      <c r="Z332" s="32"/>
    </row>
    <row r="333" spans="1:26">
      <c r="A333" s="28"/>
      <c r="B333" s="17">
        <f t="shared" si="24"/>
        <v>46289</v>
      </c>
      <c r="C333" s="26">
        <f>I333+J333+K333+L333+M333+N333+O333+IF(P333="",0,P333*サマリー!$B$9)+IF(Q333="",0,IF(Q333=200,サマリー!$B$10,IF(Q333=100,サマリー!$B$11,0)))+IF(R333="",0,R333*サマリー!$B$12)</f>
        <v>0</v>
      </c>
      <c r="D333" s="26">
        <f>S333+T333+U333+V333+W333+IF(X333="",0,X333*サマリー!$B$9)+IF(Y333="",0,IF(Y333=200,サマリー!$B$10,IF(Y333=100,サマリー!$B$11,0)))+IF(Z333="",0,Z333*サマリー!$B$12)</f>
        <v>0</v>
      </c>
      <c r="E333" s="26">
        <f t="shared" si="25"/>
        <v>0</v>
      </c>
      <c r="I333" s="29"/>
      <c r="J333" s="29"/>
      <c r="K333" s="29"/>
      <c r="L333" s="29"/>
      <c r="M333" s="29"/>
      <c r="N333" s="29"/>
      <c r="O333" s="29"/>
      <c r="P333" s="30"/>
      <c r="Q333" s="30"/>
      <c r="R333" s="30"/>
      <c r="S333" s="31"/>
      <c r="T333" s="31"/>
      <c r="U333" s="31"/>
      <c r="V333" s="31"/>
      <c r="W333" s="31"/>
      <c r="X333" s="32"/>
      <c r="Y333" s="32"/>
      <c r="Z333" s="32"/>
    </row>
    <row r="334" spans="1:26">
      <c r="A334" s="28"/>
      <c r="B334" s="17">
        <f t="shared" si="24"/>
        <v>46289</v>
      </c>
      <c r="C334" s="26">
        <f>I334+J334+K334+L334+M334+N334+O334+IF(P334="",0,P334*サマリー!$B$9)+IF(Q334="",0,IF(Q334=200,サマリー!$B$10,IF(Q334=100,サマリー!$B$11,0)))+IF(R334="",0,R334*サマリー!$B$12)</f>
        <v>0</v>
      </c>
      <c r="D334" s="26">
        <f>S334+T334+U334+V334+W334+IF(X334="",0,X334*サマリー!$B$9)+IF(Y334="",0,IF(Y334=200,サマリー!$B$10,IF(Y334=100,サマリー!$B$11,0)))+IF(Z334="",0,Z334*サマリー!$B$12)</f>
        <v>0</v>
      </c>
      <c r="E334" s="26">
        <f t="shared" si="25"/>
        <v>0</v>
      </c>
      <c r="I334" s="29"/>
      <c r="J334" s="29"/>
      <c r="K334" s="29"/>
      <c r="L334" s="29"/>
      <c r="M334" s="29"/>
      <c r="N334" s="29"/>
      <c r="O334" s="29"/>
      <c r="P334" s="30"/>
      <c r="Q334" s="30"/>
      <c r="R334" s="30"/>
      <c r="S334" s="31"/>
      <c r="T334" s="31"/>
      <c r="U334" s="31"/>
      <c r="V334" s="31"/>
      <c r="W334" s="31"/>
      <c r="X334" s="32"/>
      <c r="Y334" s="32"/>
      <c r="Z334" s="32"/>
    </row>
    <row r="335" spans="1:26">
      <c r="A335" s="28"/>
      <c r="B335" s="17">
        <f t="shared" si="24"/>
        <v>46289</v>
      </c>
      <c r="C335" s="26">
        <f>I335+J335+K335+L335+M335+N335+O335+IF(P335="",0,P335*サマリー!$B$9)+IF(Q335="",0,IF(Q335=200,サマリー!$B$10,IF(Q335=100,サマリー!$B$11,0)))+IF(R335="",0,R335*サマリー!$B$12)</f>
        <v>0</v>
      </c>
      <c r="D335" s="26">
        <f>S335+T335+U335+V335+W335+IF(X335="",0,X335*サマリー!$B$9)+IF(Y335="",0,IF(Y335=200,サマリー!$B$10,IF(Y335=100,サマリー!$B$11,0)))+IF(Z335="",0,Z335*サマリー!$B$12)</f>
        <v>0</v>
      </c>
      <c r="E335" s="26">
        <f t="shared" si="25"/>
        <v>0</v>
      </c>
      <c r="I335" s="29"/>
      <c r="J335" s="29"/>
      <c r="K335" s="29"/>
      <c r="L335" s="29"/>
      <c r="M335" s="29"/>
      <c r="N335" s="29"/>
      <c r="O335" s="29"/>
      <c r="P335" s="30"/>
      <c r="Q335" s="30"/>
      <c r="R335" s="30"/>
      <c r="S335" s="31"/>
      <c r="T335" s="31"/>
      <c r="U335" s="31"/>
      <c r="V335" s="31"/>
      <c r="W335" s="31"/>
      <c r="X335" s="32"/>
      <c r="Y335" s="32"/>
      <c r="Z335" s="32"/>
    </row>
    <row r="336" spans="1:26">
      <c r="A336" s="28"/>
      <c r="B336" s="17">
        <f t="shared" si="24"/>
        <v>46289</v>
      </c>
      <c r="C336" s="26">
        <f>I336+J336+K336+L336+M336+N336+O336+IF(P336="",0,P336*サマリー!$B$9)+IF(Q336="",0,IF(Q336=200,サマリー!$B$10,IF(Q336=100,サマリー!$B$11,0)))+IF(R336="",0,R336*サマリー!$B$12)</f>
        <v>0</v>
      </c>
      <c r="D336" s="26">
        <f>S336+T336+U336+V336+W336+IF(X336="",0,X336*サマリー!$B$9)+IF(Y336="",0,IF(Y336=200,サマリー!$B$10,IF(Y336=100,サマリー!$B$11,0)))+IF(Z336="",0,Z336*サマリー!$B$12)</f>
        <v>0</v>
      </c>
      <c r="E336" s="26">
        <f t="shared" si="25"/>
        <v>0</v>
      </c>
      <c r="I336" s="29"/>
      <c r="J336" s="29"/>
      <c r="K336" s="29"/>
      <c r="L336" s="29"/>
      <c r="M336" s="29"/>
      <c r="N336" s="29"/>
      <c r="O336" s="29"/>
      <c r="P336" s="30"/>
      <c r="Q336" s="30"/>
      <c r="R336" s="30"/>
      <c r="S336" s="31"/>
      <c r="T336" s="31"/>
      <c r="U336" s="31"/>
      <c r="V336" s="31"/>
      <c r="W336" s="31"/>
      <c r="X336" s="32"/>
      <c r="Y336" s="32"/>
      <c r="Z336" s="32"/>
    </row>
    <row r="337" spans="1:26">
      <c r="A337" s="28"/>
      <c r="B337" s="17">
        <f t="shared" si="24"/>
        <v>46289</v>
      </c>
      <c r="C337" s="26">
        <f>I337+J337+K337+L337+M337+N337+O337+IF(P337="",0,P337*サマリー!$B$9)+IF(Q337="",0,IF(Q337=200,サマリー!$B$10,IF(Q337=100,サマリー!$B$11,0)))+IF(R337="",0,R337*サマリー!$B$12)</f>
        <v>0</v>
      </c>
      <c r="D337" s="26">
        <f>S337+T337+U337+V337+W337+IF(X337="",0,X337*サマリー!$B$9)+IF(Y337="",0,IF(Y337=200,サマリー!$B$10,IF(Y337=100,サマリー!$B$11,0)))+IF(Z337="",0,Z337*サマリー!$B$12)</f>
        <v>0</v>
      </c>
      <c r="E337" s="26">
        <f t="shared" si="25"/>
        <v>0</v>
      </c>
      <c r="I337" s="29"/>
      <c r="J337" s="29"/>
      <c r="K337" s="29"/>
      <c r="L337" s="29"/>
      <c r="M337" s="29"/>
      <c r="N337" s="29"/>
      <c r="O337" s="29"/>
      <c r="P337" s="30"/>
      <c r="Q337" s="30"/>
      <c r="R337" s="30"/>
      <c r="S337" s="31"/>
      <c r="T337" s="31"/>
      <c r="U337" s="31"/>
      <c r="V337" s="31"/>
      <c r="W337" s="31"/>
      <c r="X337" s="32"/>
      <c r="Y337" s="32"/>
      <c r="Z337" s="32"/>
    </row>
    <row r="338" spans="1:26">
      <c r="A338" s="28"/>
      <c r="B338" s="17">
        <f t="shared" si="24"/>
        <v>46289</v>
      </c>
      <c r="C338" s="26">
        <f>I338+J338+K338+L338+M338+N338+O338+IF(P338="",0,P338*サマリー!$B$9)+IF(Q338="",0,IF(Q338=200,サマリー!$B$10,IF(Q338=100,サマリー!$B$11,0)))+IF(R338="",0,R338*サマリー!$B$12)</f>
        <v>0</v>
      </c>
      <c r="D338" s="26">
        <f>S338+T338+U338+V338+W338+IF(X338="",0,X338*サマリー!$B$9)+IF(Y338="",0,IF(Y338=200,サマリー!$B$10,IF(Y338=100,サマリー!$B$11,0)))+IF(Z338="",0,Z338*サマリー!$B$12)</f>
        <v>0</v>
      </c>
      <c r="E338" s="26">
        <f t="shared" si="25"/>
        <v>0</v>
      </c>
      <c r="I338" s="29"/>
      <c r="J338" s="29"/>
      <c r="K338" s="29"/>
      <c r="L338" s="29"/>
      <c r="M338" s="29"/>
      <c r="N338" s="29"/>
      <c r="O338" s="29"/>
      <c r="P338" s="30"/>
      <c r="Q338" s="30"/>
      <c r="R338" s="30"/>
      <c r="S338" s="31"/>
      <c r="T338" s="31"/>
      <c r="U338" s="31"/>
      <c r="V338" s="31"/>
      <c r="W338" s="31"/>
      <c r="X338" s="32"/>
      <c r="Y338" s="32"/>
      <c r="Z338" s="32"/>
    </row>
    <row r="339" spans="1:26">
      <c r="A339" s="28"/>
      <c r="B339" s="17">
        <f t="shared" si="24"/>
        <v>46289</v>
      </c>
      <c r="C339" s="26">
        <f>I339+J339+K339+L339+M339+N339+O339+IF(P339="",0,P339*サマリー!$B$9)+IF(Q339="",0,IF(Q339=200,サマリー!$B$10,IF(Q339=100,サマリー!$B$11,0)))+IF(R339="",0,R339*サマリー!$B$12)</f>
        <v>0</v>
      </c>
      <c r="D339" s="26">
        <f>S339+T339+U339+V339+W339+IF(X339="",0,X339*サマリー!$B$9)+IF(Y339="",0,IF(Y339=200,サマリー!$B$10,IF(Y339=100,サマリー!$B$11,0)))+IF(Z339="",0,Z339*サマリー!$B$12)</f>
        <v>0</v>
      </c>
      <c r="E339" s="26">
        <f t="shared" si="25"/>
        <v>0</v>
      </c>
      <c r="I339" s="29"/>
      <c r="J339" s="29"/>
      <c r="K339" s="29"/>
      <c r="L339" s="29"/>
      <c r="M339" s="29"/>
      <c r="N339" s="29"/>
      <c r="O339" s="29"/>
      <c r="P339" s="30"/>
      <c r="Q339" s="30"/>
      <c r="R339" s="30"/>
      <c r="S339" s="31"/>
      <c r="T339" s="31"/>
      <c r="U339" s="31"/>
      <c r="V339" s="31"/>
      <c r="W339" s="31"/>
      <c r="X339" s="32"/>
      <c r="Y339" s="32"/>
      <c r="Z339" s="32"/>
    </row>
    <row r="340" spans="1:26">
      <c r="A340" s="28"/>
      <c r="B340" s="17">
        <f t="shared" si="24"/>
        <v>46289</v>
      </c>
      <c r="C340" s="26">
        <f>I340+J340+K340+L340+M340+N340+O340+IF(P340="",0,P340*サマリー!$B$9)+IF(Q340="",0,IF(Q340=200,サマリー!$B$10,IF(Q340=100,サマリー!$B$11,0)))+IF(R340="",0,R340*サマリー!$B$12)</f>
        <v>0</v>
      </c>
      <c r="D340" s="26">
        <f>S340+T340+U340+V340+W340+IF(X340="",0,X340*サマリー!$B$9)+IF(Y340="",0,IF(Y340=200,サマリー!$B$10,IF(Y340=100,サマリー!$B$11,0)))+IF(Z340="",0,Z340*サマリー!$B$12)</f>
        <v>0</v>
      </c>
      <c r="E340" s="26">
        <f t="shared" si="25"/>
        <v>0</v>
      </c>
      <c r="I340" s="29"/>
      <c r="J340" s="29"/>
      <c r="K340" s="29"/>
      <c r="L340" s="29"/>
      <c r="M340" s="29"/>
      <c r="N340" s="29"/>
      <c r="O340" s="29"/>
      <c r="P340" s="30"/>
      <c r="Q340" s="30"/>
      <c r="R340" s="30"/>
      <c r="S340" s="31"/>
      <c r="T340" s="31"/>
      <c r="U340" s="31"/>
      <c r="V340" s="31"/>
      <c r="W340" s="31"/>
      <c r="X340" s="32"/>
      <c r="Y340" s="32"/>
      <c r="Z340" s="32"/>
    </row>
    <row r="341" spans="1:26">
      <c r="A341" s="28"/>
      <c r="B341" s="17">
        <f t="shared" si="24"/>
        <v>46289</v>
      </c>
      <c r="C341" s="26">
        <f>I341+J341+K341+L341+M341+N341+O341+IF(P341="",0,P341*サマリー!$B$9)+IF(Q341="",0,IF(Q341=200,サマリー!$B$10,IF(Q341=100,サマリー!$B$11,0)))+IF(R341="",0,R341*サマリー!$B$12)</f>
        <v>0</v>
      </c>
      <c r="D341" s="26">
        <f>S341+T341+U341+V341+W341+IF(X341="",0,X341*サマリー!$B$9)+IF(Y341="",0,IF(Y341=200,サマリー!$B$10,IF(Y341=100,サマリー!$B$11,0)))+IF(Z341="",0,Z341*サマリー!$B$12)</f>
        <v>0</v>
      </c>
      <c r="E341" s="26">
        <f t="shared" si="25"/>
        <v>0</v>
      </c>
      <c r="I341" s="29"/>
      <c r="J341" s="29"/>
      <c r="K341" s="29"/>
      <c r="L341" s="29"/>
      <c r="M341" s="29"/>
      <c r="N341" s="29"/>
      <c r="O341" s="29"/>
      <c r="P341" s="30"/>
      <c r="Q341" s="30"/>
      <c r="R341" s="30"/>
      <c r="S341" s="31"/>
      <c r="T341" s="31"/>
      <c r="U341" s="31"/>
      <c r="V341" s="31"/>
      <c r="W341" s="31"/>
      <c r="X341" s="32"/>
      <c r="Y341" s="32"/>
      <c r="Z341" s="32"/>
    </row>
    <row r="342" spans="1:26">
      <c r="A342" s="28"/>
      <c r="B342" s="17">
        <f t="shared" si="24"/>
        <v>46289</v>
      </c>
      <c r="C342" s="26">
        <f>I342+J342+K342+L342+M342+N342+O342+IF(P342="",0,P342*サマリー!$B$9)+IF(Q342="",0,IF(Q342=200,サマリー!$B$10,IF(Q342=100,サマリー!$B$11,0)))+IF(R342="",0,R342*サマリー!$B$12)</f>
        <v>0</v>
      </c>
      <c r="D342" s="26">
        <f>S342+T342+U342+V342+W342+IF(X342="",0,X342*サマリー!$B$9)+IF(Y342="",0,IF(Y342=200,サマリー!$B$10,IF(Y342=100,サマリー!$B$11,0)))+IF(Z342="",0,Z342*サマリー!$B$12)</f>
        <v>0</v>
      </c>
      <c r="E342" s="26">
        <f t="shared" si="25"/>
        <v>0</v>
      </c>
      <c r="I342" s="29"/>
      <c r="J342" s="29"/>
      <c r="K342" s="29"/>
      <c r="L342" s="29"/>
      <c r="M342" s="29"/>
      <c r="N342" s="29"/>
      <c r="O342" s="29"/>
      <c r="P342" s="30"/>
      <c r="Q342" s="30"/>
      <c r="R342" s="30"/>
      <c r="S342" s="31"/>
      <c r="T342" s="31"/>
      <c r="U342" s="31"/>
      <c r="V342" s="31"/>
      <c r="W342" s="31"/>
      <c r="X342" s="32"/>
      <c r="Y342" s="32"/>
      <c r="Z342" s="32"/>
    </row>
    <row r="343" spans="1:26">
      <c r="A343" s="28"/>
      <c r="B343" s="17">
        <f t="shared" si="24"/>
        <v>46289</v>
      </c>
      <c r="C343" s="26">
        <f>I343+J343+K343+L343+M343+N343+O343+IF(P343="",0,P343*サマリー!$B$9)+IF(Q343="",0,IF(Q343=200,サマリー!$B$10,IF(Q343=100,サマリー!$B$11,0)))+IF(R343="",0,R343*サマリー!$B$12)</f>
        <v>0</v>
      </c>
      <c r="D343" s="26">
        <f>S343+T343+U343+V343+W343+IF(X343="",0,X343*サマリー!$B$9)+IF(Y343="",0,IF(Y343=200,サマリー!$B$10,IF(Y343=100,サマリー!$B$11,0)))+IF(Z343="",0,Z343*サマリー!$B$12)</f>
        <v>0</v>
      </c>
      <c r="E343" s="26">
        <f t="shared" si="25"/>
        <v>0</v>
      </c>
      <c r="I343" s="29"/>
      <c r="J343" s="29"/>
      <c r="K343" s="29"/>
      <c r="L343" s="29"/>
      <c r="M343" s="29"/>
      <c r="N343" s="29"/>
      <c r="O343" s="29"/>
      <c r="P343" s="30"/>
      <c r="Q343" s="30"/>
      <c r="R343" s="30"/>
      <c r="S343" s="31"/>
      <c r="T343" s="31"/>
      <c r="U343" s="31"/>
      <c r="V343" s="31"/>
      <c r="W343" s="31"/>
      <c r="X343" s="32"/>
      <c r="Y343" s="32"/>
      <c r="Z343" s="32"/>
    </row>
    <row r="344" spans="1:26">
      <c r="A344" s="28"/>
      <c r="B344" s="17">
        <f t="shared" si="24"/>
        <v>46289</v>
      </c>
      <c r="C344" s="26">
        <f>I344+J344+K344+L344+M344+N344+O344+IF(P344="",0,P344*サマリー!$B$9)+IF(Q344="",0,IF(Q344=200,サマリー!$B$10,IF(Q344=100,サマリー!$B$11,0)))+IF(R344="",0,R344*サマリー!$B$12)</f>
        <v>0</v>
      </c>
      <c r="D344" s="26">
        <f>S344+T344+U344+V344+W344+IF(X344="",0,X344*サマリー!$B$9)+IF(Y344="",0,IF(Y344=200,サマリー!$B$10,IF(Y344=100,サマリー!$B$11,0)))+IF(Z344="",0,Z344*サマリー!$B$12)</f>
        <v>0</v>
      </c>
      <c r="E344" s="26">
        <f t="shared" si="25"/>
        <v>0</v>
      </c>
      <c r="I344" s="29"/>
      <c r="J344" s="29"/>
      <c r="K344" s="29"/>
      <c r="L344" s="29"/>
      <c r="M344" s="29"/>
      <c r="N344" s="29"/>
      <c r="O344" s="29"/>
      <c r="P344" s="30"/>
      <c r="Q344" s="30"/>
      <c r="R344" s="30"/>
      <c r="S344" s="31"/>
      <c r="T344" s="31"/>
      <c r="U344" s="31"/>
      <c r="V344" s="31"/>
      <c r="W344" s="31"/>
      <c r="X344" s="32"/>
      <c r="Y344" s="32"/>
      <c r="Z344" s="32"/>
    </row>
    <row r="345" spans="1:26">
      <c r="A345" s="28"/>
      <c r="B345" s="17">
        <f t="shared" si="24"/>
        <v>46289</v>
      </c>
      <c r="C345" s="26">
        <f>I345+J345+K345+L345+M345+N345+O345+IF(P345="",0,P345*サマリー!$B$9)+IF(Q345="",0,IF(Q345=200,サマリー!$B$10,IF(Q345=100,サマリー!$B$11,0)))+IF(R345="",0,R345*サマリー!$B$12)</f>
        <v>0</v>
      </c>
      <c r="D345" s="26">
        <f>S345+T345+U345+V345+W345+IF(X345="",0,X345*サマリー!$B$9)+IF(Y345="",0,IF(Y345=200,サマリー!$B$10,IF(Y345=100,サマリー!$B$11,0)))+IF(Z345="",0,Z345*サマリー!$B$12)</f>
        <v>0</v>
      </c>
      <c r="E345" s="26">
        <f t="shared" si="25"/>
        <v>0</v>
      </c>
      <c r="I345" s="29"/>
      <c r="J345" s="29"/>
      <c r="K345" s="29"/>
      <c r="L345" s="29"/>
      <c r="M345" s="29"/>
      <c r="N345" s="29"/>
      <c r="O345" s="29"/>
      <c r="P345" s="30"/>
      <c r="Q345" s="30"/>
      <c r="R345" s="30"/>
      <c r="S345" s="31"/>
      <c r="T345" s="31"/>
      <c r="U345" s="31"/>
      <c r="V345" s="31"/>
      <c r="W345" s="31"/>
      <c r="X345" s="32"/>
      <c r="Y345" s="32"/>
      <c r="Z345" s="32"/>
    </row>
    <row r="346" spans="1:26">
      <c r="A346" s="28"/>
      <c r="B346" s="17">
        <f t="shared" si="24"/>
        <v>46289</v>
      </c>
      <c r="C346" s="26">
        <f>I346+J346+K346+L346+M346+N346+O346+IF(P346="",0,P346*サマリー!$B$9)+IF(Q346="",0,IF(Q346=200,サマリー!$B$10,IF(Q346=100,サマリー!$B$11,0)))+IF(R346="",0,R346*サマリー!$B$12)</f>
        <v>0</v>
      </c>
      <c r="D346" s="26">
        <f>S346+T346+U346+V346+W346+IF(X346="",0,X346*サマリー!$B$9)+IF(Y346="",0,IF(Y346=200,サマリー!$B$10,IF(Y346=100,サマリー!$B$11,0)))+IF(Z346="",0,Z346*サマリー!$B$12)</f>
        <v>0</v>
      </c>
      <c r="E346" s="26">
        <f t="shared" si="25"/>
        <v>0</v>
      </c>
      <c r="I346" s="29"/>
      <c r="J346" s="29"/>
      <c r="K346" s="29"/>
      <c r="L346" s="29"/>
      <c r="M346" s="29"/>
      <c r="N346" s="29"/>
      <c r="O346" s="29"/>
      <c r="P346" s="30"/>
      <c r="Q346" s="30"/>
      <c r="R346" s="30"/>
      <c r="S346" s="31"/>
      <c r="T346" s="31"/>
      <c r="U346" s="31"/>
      <c r="V346" s="31"/>
      <c r="W346" s="31"/>
      <c r="X346" s="32"/>
      <c r="Y346" s="32"/>
      <c r="Z346" s="32"/>
    </row>
    <row r="347" spans="1:26">
      <c r="A347" s="28"/>
      <c r="B347" s="17">
        <f t="shared" si="24"/>
        <v>46289</v>
      </c>
      <c r="C347" s="26">
        <f>I347+J347+K347+L347+M347+N347+O347+IF(P347="",0,P347*サマリー!$B$9)+IF(Q347="",0,IF(Q347=200,サマリー!$B$10,IF(Q347=100,サマリー!$B$11,0)))+IF(R347="",0,R347*サマリー!$B$12)</f>
        <v>0</v>
      </c>
      <c r="D347" s="26">
        <f>S347+T347+U347+V347+W347+IF(X347="",0,X347*サマリー!$B$9)+IF(Y347="",0,IF(Y347=200,サマリー!$B$10,IF(Y347=100,サマリー!$B$11,0)))+IF(Z347="",0,Z347*サマリー!$B$12)</f>
        <v>0</v>
      </c>
      <c r="E347" s="26">
        <f t="shared" si="25"/>
        <v>0</v>
      </c>
      <c r="I347" s="29"/>
      <c r="J347" s="29"/>
      <c r="K347" s="29"/>
      <c r="L347" s="29"/>
      <c r="M347" s="29"/>
      <c r="N347" s="29"/>
      <c r="O347" s="29"/>
      <c r="P347" s="30"/>
      <c r="Q347" s="30"/>
      <c r="R347" s="30"/>
      <c r="S347" s="31"/>
      <c r="T347" s="31"/>
      <c r="U347" s="31"/>
      <c r="V347" s="31"/>
      <c r="W347" s="31"/>
      <c r="X347" s="32"/>
      <c r="Y347" s="32"/>
      <c r="Z347" s="32"/>
    </row>
    <row r="348" spans="1:26">
      <c r="A348" s="28"/>
      <c r="B348" s="17">
        <f t="shared" si="24"/>
        <v>46289</v>
      </c>
      <c r="C348" s="26">
        <f>I348+J348+K348+L348+M348+N348+O348+IF(P348="",0,P348*サマリー!$B$9)+IF(Q348="",0,IF(Q348=200,サマリー!$B$10,IF(Q348=100,サマリー!$B$11,0)))+IF(R348="",0,R348*サマリー!$B$12)</f>
        <v>0</v>
      </c>
      <c r="D348" s="26">
        <f>S348+T348+U348+V348+W348+IF(X348="",0,X348*サマリー!$B$9)+IF(Y348="",0,IF(Y348=200,サマリー!$B$10,IF(Y348=100,サマリー!$B$11,0)))+IF(Z348="",0,Z348*サマリー!$B$12)</f>
        <v>0</v>
      </c>
      <c r="E348" s="26">
        <f t="shared" si="25"/>
        <v>0</v>
      </c>
      <c r="I348" s="29"/>
      <c r="J348" s="29"/>
      <c r="K348" s="29"/>
      <c r="L348" s="29"/>
      <c r="M348" s="29"/>
      <c r="N348" s="29"/>
      <c r="O348" s="29"/>
      <c r="P348" s="30"/>
      <c r="Q348" s="30"/>
      <c r="R348" s="30"/>
      <c r="S348" s="31"/>
      <c r="T348" s="31"/>
      <c r="U348" s="31"/>
      <c r="V348" s="31"/>
      <c r="W348" s="31"/>
      <c r="X348" s="32"/>
      <c r="Y348" s="32"/>
      <c r="Z348" s="32"/>
    </row>
    <row r="349" spans="1:26">
      <c r="A349" s="28"/>
      <c r="B349" s="17">
        <f t="shared" si="24"/>
        <v>46289</v>
      </c>
      <c r="C349" s="26">
        <f>I349+J349+K349+L349+M349+N349+O349+IF(P349="",0,P349*サマリー!$B$9)+IF(Q349="",0,IF(Q349=200,サマリー!$B$10,IF(Q349=100,サマリー!$B$11,0)))+IF(R349="",0,R349*サマリー!$B$12)</f>
        <v>0</v>
      </c>
      <c r="D349" s="26">
        <f>S349+T349+U349+V349+W349+IF(X349="",0,X349*サマリー!$B$9)+IF(Y349="",0,IF(Y349=200,サマリー!$B$10,IF(Y349=100,サマリー!$B$11,0)))+IF(Z349="",0,Z349*サマリー!$B$12)</f>
        <v>0</v>
      </c>
      <c r="E349" s="26">
        <f t="shared" si="25"/>
        <v>0</v>
      </c>
      <c r="I349" s="29"/>
      <c r="J349" s="29"/>
      <c r="K349" s="29"/>
      <c r="L349" s="29"/>
      <c r="M349" s="29"/>
      <c r="N349" s="29"/>
      <c r="O349" s="29"/>
      <c r="P349" s="30"/>
      <c r="Q349" s="30"/>
      <c r="R349" s="30"/>
      <c r="S349" s="31"/>
      <c r="T349" s="31"/>
      <c r="U349" s="31"/>
      <c r="V349" s="31"/>
      <c r="W349" s="31"/>
      <c r="X349" s="32"/>
      <c r="Y349" s="32"/>
      <c r="Z349" s="32"/>
    </row>
    <row r="350" spans="1:26">
      <c r="A350" s="28"/>
      <c r="B350" s="17">
        <f t="shared" si="24"/>
        <v>46289</v>
      </c>
      <c r="C350" s="26">
        <f>I350+J350+K350+L350+M350+N350+O350+IF(P350="",0,P350*サマリー!$B$9)+IF(Q350="",0,IF(Q350=200,サマリー!$B$10,IF(Q350=100,サマリー!$B$11,0)))+IF(R350="",0,R350*サマリー!$B$12)</f>
        <v>0</v>
      </c>
      <c r="D350" s="26">
        <f>S350+T350+U350+V350+W350+IF(X350="",0,X350*サマリー!$B$9)+IF(Y350="",0,IF(Y350=200,サマリー!$B$10,IF(Y350=100,サマリー!$B$11,0)))+IF(Z350="",0,Z350*サマリー!$B$12)</f>
        <v>0</v>
      </c>
      <c r="E350" s="26">
        <f t="shared" si="25"/>
        <v>0</v>
      </c>
      <c r="I350" s="29"/>
      <c r="J350" s="29"/>
      <c r="K350" s="29"/>
      <c r="L350" s="29"/>
      <c r="M350" s="29"/>
      <c r="N350" s="29"/>
      <c r="O350" s="29"/>
      <c r="P350" s="30"/>
      <c r="Q350" s="30"/>
      <c r="R350" s="30"/>
      <c r="S350" s="31"/>
      <c r="T350" s="31"/>
      <c r="U350" s="31"/>
      <c r="V350" s="31"/>
      <c r="W350" s="31"/>
      <c r="X350" s="32"/>
      <c r="Y350" s="32"/>
      <c r="Z350" s="32"/>
    </row>
    <row r="351" spans="1:26">
      <c r="A351" s="28"/>
      <c r="B351" s="17">
        <f t="shared" si="24"/>
        <v>46289</v>
      </c>
      <c r="C351" s="26">
        <f>I351+J351+K351+L351+M351+N351+O351+IF(P351="",0,P351*サマリー!$B$9)+IF(Q351="",0,IF(Q351=200,サマリー!$B$10,IF(Q351=100,サマリー!$B$11,0)))+IF(R351="",0,R351*サマリー!$B$12)</f>
        <v>0</v>
      </c>
      <c r="D351" s="26">
        <f>S351+T351+U351+V351+W351+IF(X351="",0,X351*サマリー!$B$9)+IF(Y351="",0,IF(Y351=200,サマリー!$B$10,IF(Y351=100,サマリー!$B$11,0)))+IF(Z351="",0,Z351*サマリー!$B$12)</f>
        <v>0</v>
      </c>
      <c r="E351" s="26">
        <f t="shared" si="25"/>
        <v>0</v>
      </c>
      <c r="I351" s="29"/>
      <c r="J351" s="29"/>
      <c r="K351" s="29"/>
      <c r="L351" s="29"/>
      <c r="M351" s="29"/>
      <c r="N351" s="29"/>
      <c r="O351" s="29"/>
      <c r="P351" s="30"/>
      <c r="Q351" s="30"/>
      <c r="R351" s="30"/>
      <c r="S351" s="31"/>
      <c r="T351" s="31"/>
      <c r="U351" s="31"/>
      <c r="V351" s="31"/>
      <c r="W351" s="31"/>
      <c r="X351" s="32"/>
      <c r="Y351" s="32"/>
      <c r="Z351" s="32"/>
    </row>
    <row r="352" spans="1:26">
      <c r="A352" s="28"/>
      <c r="B352" s="17">
        <f t="shared" si="24"/>
        <v>46289</v>
      </c>
      <c r="C352" s="26">
        <f>I352+J352+K352+L352+M352+N352+O352+IF(P352="",0,P352*サマリー!$B$9)+IF(Q352="",0,IF(Q352=200,サマリー!$B$10,IF(Q352=100,サマリー!$B$11,0)))+IF(R352="",0,R352*サマリー!$B$12)</f>
        <v>0</v>
      </c>
      <c r="D352" s="26">
        <f>S352+T352+U352+V352+W352+IF(X352="",0,X352*サマリー!$B$9)+IF(Y352="",0,IF(Y352=200,サマリー!$B$10,IF(Y352=100,サマリー!$B$11,0)))+IF(Z352="",0,Z352*サマリー!$B$12)</f>
        <v>0</v>
      </c>
      <c r="E352" s="26">
        <f t="shared" si="25"/>
        <v>0</v>
      </c>
      <c r="I352" s="29"/>
      <c r="J352" s="29"/>
      <c r="K352" s="29"/>
      <c r="L352" s="29"/>
      <c r="M352" s="29"/>
      <c r="N352" s="29"/>
      <c r="O352" s="29"/>
      <c r="P352" s="30"/>
      <c r="Q352" s="30"/>
      <c r="R352" s="30"/>
      <c r="S352" s="31"/>
      <c r="T352" s="31"/>
      <c r="U352" s="31"/>
      <c r="V352" s="31"/>
      <c r="W352" s="31"/>
      <c r="X352" s="32"/>
      <c r="Y352" s="32"/>
      <c r="Z352" s="32"/>
    </row>
    <row r="353" spans="1:26">
      <c r="A353" s="28"/>
      <c r="B353" s="17">
        <f t="shared" si="24"/>
        <v>46289</v>
      </c>
      <c r="C353" s="26">
        <f>I353+J353+K353+L353+M353+N353+O353+IF(P353="",0,P353*サマリー!$B$9)+IF(Q353="",0,IF(Q353=200,サマリー!$B$10,IF(Q353=100,サマリー!$B$11,0)))+IF(R353="",0,R353*サマリー!$B$12)</f>
        <v>0</v>
      </c>
      <c r="D353" s="26">
        <f>S353+T353+U353+V353+W353+IF(X353="",0,X353*サマリー!$B$9)+IF(Y353="",0,IF(Y353=200,サマリー!$B$10,IF(Y353=100,サマリー!$B$11,0)))+IF(Z353="",0,Z353*サマリー!$B$12)</f>
        <v>0</v>
      </c>
      <c r="E353" s="26">
        <f t="shared" si="25"/>
        <v>0</v>
      </c>
      <c r="I353" s="29"/>
      <c r="J353" s="29"/>
      <c r="K353" s="29"/>
      <c r="L353" s="29"/>
      <c r="M353" s="29"/>
      <c r="N353" s="29"/>
      <c r="O353" s="29"/>
      <c r="P353" s="30"/>
      <c r="Q353" s="30"/>
      <c r="R353" s="30"/>
      <c r="S353" s="31"/>
      <c r="T353" s="31"/>
      <c r="U353" s="31"/>
      <c r="V353" s="31"/>
      <c r="W353" s="31"/>
      <c r="X353" s="32"/>
      <c r="Y353" s="32"/>
      <c r="Z353" s="32"/>
    </row>
    <row r="354" spans="1:26">
      <c r="A354" s="28"/>
      <c r="B354" s="17">
        <f t="shared" si="24"/>
        <v>46289</v>
      </c>
      <c r="C354" s="26">
        <f>I354+J354+K354+L354+M354+N354+O354+IF(P354="",0,P354*サマリー!$B$9)+IF(Q354="",0,IF(Q354=200,サマリー!$B$10,IF(Q354=100,サマリー!$B$11,0)))+IF(R354="",0,R354*サマリー!$B$12)</f>
        <v>0</v>
      </c>
      <c r="D354" s="26">
        <f>S354+T354+U354+V354+W354+IF(X354="",0,X354*サマリー!$B$9)+IF(Y354="",0,IF(Y354=200,サマリー!$B$10,IF(Y354=100,サマリー!$B$11,0)))+IF(Z354="",0,Z354*サマリー!$B$12)</f>
        <v>0</v>
      </c>
      <c r="E354" s="26">
        <f t="shared" si="25"/>
        <v>0</v>
      </c>
      <c r="I354" s="29"/>
      <c r="J354" s="29"/>
      <c r="K354" s="29"/>
      <c r="L354" s="29"/>
      <c r="M354" s="29"/>
      <c r="N354" s="29"/>
      <c r="O354" s="29"/>
      <c r="P354" s="30"/>
      <c r="Q354" s="30"/>
      <c r="R354" s="30"/>
      <c r="S354" s="31"/>
      <c r="T354" s="31"/>
      <c r="U354" s="31"/>
      <c r="V354" s="31"/>
      <c r="W354" s="31"/>
      <c r="X354" s="32"/>
      <c r="Y354" s="32"/>
      <c r="Z354" s="32"/>
    </row>
    <row r="355" spans="1:26">
      <c r="A355" s="28"/>
      <c r="B355" s="17">
        <f t="shared" si="24"/>
        <v>46289</v>
      </c>
      <c r="C355" s="26">
        <f>I355+J355+K355+L355+M355+N355+O355+IF(P355="",0,P355*サマリー!$B$9)+IF(Q355="",0,IF(Q355=200,サマリー!$B$10,IF(Q355=100,サマリー!$B$11,0)))+IF(R355="",0,R355*サマリー!$B$12)</f>
        <v>0</v>
      </c>
      <c r="D355" s="26">
        <f>S355+T355+U355+V355+W355+IF(X355="",0,X355*サマリー!$B$9)+IF(Y355="",0,IF(Y355=200,サマリー!$B$10,IF(Y355=100,サマリー!$B$11,0)))+IF(Z355="",0,Z355*サマリー!$B$12)</f>
        <v>0</v>
      </c>
      <c r="E355" s="26">
        <f t="shared" si="25"/>
        <v>0</v>
      </c>
      <c r="I355" s="29"/>
      <c r="J355" s="29"/>
      <c r="K355" s="29"/>
      <c r="L355" s="29"/>
      <c r="M355" s="29"/>
      <c r="N355" s="29"/>
      <c r="O355" s="29"/>
      <c r="P355" s="30"/>
      <c r="Q355" s="30"/>
      <c r="R355" s="30"/>
      <c r="S355" s="31"/>
      <c r="T355" s="31"/>
      <c r="U355" s="31"/>
      <c r="V355" s="31"/>
      <c r="W355" s="31"/>
      <c r="X355" s="32"/>
      <c r="Y355" s="32"/>
      <c r="Z355" s="32"/>
    </row>
    <row r="356" spans="1:26">
      <c r="A356" s="28"/>
      <c r="B356" s="17">
        <f t="shared" si="24"/>
        <v>46289</v>
      </c>
      <c r="C356" s="26">
        <f>I356+J356+K356+L356+M356+N356+O356+IF(P356="",0,P356*サマリー!$B$9)+IF(Q356="",0,IF(Q356=200,サマリー!$B$10,IF(Q356=100,サマリー!$B$11,0)))+IF(R356="",0,R356*サマリー!$B$12)</f>
        <v>0</v>
      </c>
      <c r="D356" s="26">
        <f>S356+T356+U356+V356+W356+IF(X356="",0,X356*サマリー!$B$9)+IF(Y356="",0,IF(Y356=200,サマリー!$B$10,IF(Y356=100,サマリー!$B$11,0)))+IF(Z356="",0,Z356*サマリー!$B$12)</f>
        <v>0</v>
      </c>
      <c r="E356" s="26">
        <f t="shared" si="25"/>
        <v>0</v>
      </c>
      <c r="I356" s="29"/>
      <c r="J356" s="29"/>
      <c r="K356" s="29"/>
      <c r="L356" s="29"/>
      <c r="M356" s="29"/>
      <c r="N356" s="29"/>
      <c r="O356" s="29"/>
      <c r="P356" s="30"/>
      <c r="Q356" s="30"/>
      <c r="R356" s="30"/>
      <c r="S356" s="31"/>
      <c r="T356" s="31"/>
      <c r="U356" s="31"/>
      <c r="V356" s="31"/>
      <c r="W356" s="31"/>
      <c r="X356" s="32"/>
      <c r="Y356" s="32"/>
      <c r="Z356" s="32"/>
    </row>
    <row r="357" spans="1:26">
      <c r="A357" s="28"/>
      <c r="B357" s="17">
        <f t="shared" si="24"/>
        <v>46289</v>
      </c>
      <c r="C357" s="26">
        <f>I357+J357+K357+L357+M357+N357+O357+IF(P357="",0,P357*サマリー!$B$9)+IF(Q357="",0,IF(Q357=200,サマリー!$B$10,IF(Q357=100,サマリー!$B$11,0)))+IF(R357="",0,R357*サマリー!$B$12)</f>
        <v>0</v>
      </c>
      <c r="D357" s="26">
        <f>S357+T357+U357+V357+W357+IF(X357="",0,X357*サマリー!$B$9)+IF(Y357="",0,IF(Y357=200,サマリー!$B$10,IF(Y357=100,サマリー!$B$11,0)))+IF(Z357="",0,Z357*サマリー!$B$12)</f>
        <v>0</v>
      </c>
      <c r="E357" s="26">
        <f t="shared" si="25"/>
        <v>0</v>
      </c>
      <c r="I357" s="29"/>
      <c r="J357" s="29"/>
      <c r="K357" s="29"/>
      <c r="L357" s="29"/>
      <c r="M357" s="29"/>
      <c r="N357" s="29"/>
      <c r="O357" s="29"/>
      <c r="P357" s="30"/>
      <c r="Q357" s="30"/>
      <c r="R357" s="30"/>
      <c r="S357" s="31"/>
      <c r="T357" s="31"/>
      <c r="U357" s="31"/>
      <c r="V357" s="31"/>
      <c r="W357" s="31"/>
      <c r="X357" s="32"/>
      <c r="Y357" s="32"/>
      <c r="Z357" s="32"/>
    </row>
    <row r="358" spans="1:26">
      <c r="A358" s="28"/>
      <c r="B358" s="17">
        <f t="shared" si="24"/>
        <v>46289</v>
      </c>
      <c r="C358" s="26">
        <f>I358+J358+K358+L358+M358+N358+O358+IF(P358="",0,P358*サマリー!$B$9)+IF(Q358="",0,IF(Q358=200,サマリー!$B$10,IF(Q358=100,サマリー!$B$11,0)))+IF(R358="",0,R358*サマリー!$B$12)</f>
        <v>0</v>
      </c>
      <c r="D358" s="26">
        <f>S358+T358+U358+V358+W358+IF(X358="",0,X358*サマリー!$B$9)+IF(Y358="",0,IF(Y358=200,サマリー!$B$10,IF(Y358=100,サマリー!$B$11,0)))+IF(Z358="",0,Z358*サマリー!$B$12)</f>
        <v>0</v>
      </c>
      <c r="E358" s="26">
        <f t="shared" si="25"/>
        <v>0</v>
      </c>
      <c r="I358" s="29"/>
      <c r="J358" s="29"/>
      <c r="K358" s="29"/>
      <c r="L358" s="29"/>
      <c r="M358" s="29"/>
      <c r="N358" s="29"/>
      <c r="O358" s="29"/>
      <c r="P358" s="30"/>
      <c r="Q358" s="30"/>
      <c r="R358" s="30"/>
      <c r="S358" s="31"/>
      <c r="T358" s="31"/>
      <c r="U358" s="31"/>
      <c r="V358" s="31"/>
      <c r="W358" s="31"/>
      <c r="X358" s="32"/>
      <c r="Y358" s="32"/>
      <c r="Z358" s="32"/>
    </row>
    <row r="359" spans="1:26">
      <c r="A359" s="28"/>
      <c r="B359" s="17">
        <f t="shared" si="24"/>
        <v>46289</v>
      </c>
      <c r="C359" s="26">
        <f>I359+J359+K359+L359+M359+N359+O359+IF(P359="",0,P359*サマリー!$B$9)+IF(Q359="",0,IF(Q359=200,サマリー!$B$10,IF(Q359=100,サマリー!$B$11,0)))+IF(R359="",0,R359*サマリー!$B$12)</f>
        <v>0</v>
      </c>
      <c r="D359" s="26">
        <f>S359+T359+U359+V359+W359+IF(X359="",0,X359*サマリー!$B$9)+IF(Y359="",0,IF(Y359=200,サマリー!$B$10,IF(Y359=100,サマリー!$B$11,0)))+IF(Z359="",0,Z359*サマリー!$B$12)</f>
        <v>0</v>
      </c>
      <c r="E359" s="26">
        <f t="shared" si="25"/>
        <v>0</v>
      </c>
      <c r="I359" s="29"/>
      <c r="J359" s="29"/>
      <c r="K359" s="29"/>
      <c r="L359" s="29"/>
      <c r="M359" s="29"/>
      <c r="N359" s="29"/>
      <c r="O359" s="29"/>
      <c r="P359" s="30"/>
      <c r="Q359" s="30"/>
      <c r="R359" s="30"/>
      <c r="S359" s="31"/>
      <c r="T359" s="31"/>
      <c r="U359" s="31"/>
      <c r="V359" s="31"/>
      <c r="W359" s="31"/>
      <c r="X359" s="32"/>
      <c r="Y359" s="32"/>
      <c r="Z359" s="32"/>
    </row>
    <row r="360" spans="1:26">
      <c r="A360" s="28"/>
      <c r="B360" s="17">
        <f t="shared" si="24"/>
        <v>46289</v>
      </c>
      <c r="C360" s="26">
        <f>I360+J360+K360+L360+M360+N360+O360+IF(P360="",0,P360*サマリー!$B$9)+IF(Q360="",0,IF(Q360=200,サマリー!$B$10,IF(Q360=100,サマリー!$B$11,0)))+IF(R360="",0,R360*サマリー!$B$12)</f>
        <v>0</v>
      </c>
      <c r="D360" s="26">
        <f>S360+T360+U360+V360+W360+IF(X360="",0,X360*サマリー!$B$9)+IF(Y360="",0,IF(Y360=200,サマリー!$B$10,IF(Y360=100,サマリー!$B$11,0)))+IF(Z360="",0,Z360*サマリー!$B$12)</f>
        <v>0</v>
      </c>
      <c r="E360" s="26">
        <f t="shared" si="25"/>
        <v>0</v>
      </c>
      <c r="I360" s="29"/>
      <c r="J360" s="29"/>
      <c r="K360" s="29"/>
      <c r="L360" s="29"/>
      <c r="M360" s="29"/>
      <c r="N360" s="29"/>
      <c r="O360" s="29"/>
      <c r="P360" s="30"/>
      <c r="Q360" s="30"/>
      <c r="R360" s="30"/>
      <c r="S360" s="31"/>
      <c r="T360" s="31"/>
      <c r="U360" s="31"/>
      <c r="V360" s="31"/>
      <c r="W360" s="31"/>
      <c r="X360" s="32"/>
      <c r="Y360" s="32"/>
      <c r="Z360" s="32"/>
    </row>
    <row r="361" spans="1:26">
      <c r="A361" s="28"/>
      <c r="B361" s="17">
        <f t="shared" si="24"/>
        <v>46289</v>
      </c>
      <c r="C361" s="26">
        <f>I361+J361+K361+L361+M361+N361+O361+IF(P361="",0,P361*サマリー!$B$9)+IF(Q361="",0,IF(Q361=200,サマリー!$B$10,IF(Q361=100,サマリー!$B$11,0)))+IF(R361="",0,R361*サマリー!$B$12)</f>
        <v>0</v>
      </c>
      <c r="D361" s="26">
        <f>S361+T361+U361+V361+W361+IF(X361="",0,X361*サマリー!$B$9)+IF(Y361="",0,IF(Y361=200,サマリー!$B$10,IF(Y361=100,サマリー!$B$11,0)))+IF(Z361="",0,Z361*サマリー!$B$12)</f>
        <v>0</v>
      </c>
      <c r="E361" s="26">
        <f t="shared" si="25"/>
        <v>0</v>
      </c>
      <c r="I361" s="29"/>
      <c r="J361" s="29"/>
      <c r="K361" s="29"/>
      <c r="L361" s="29"/>
      <c r="M361" s="29"/>
      <c r="N361" s="29"/>
      <c r="O361" s="29"/>
      <c r="P361" s="30"/>
      <c r="Q361" s="30"/>
      <c r="R361" s="30"/>
      <c r="S361" s="31"/>
      <c r="T361" s="31"/>
      <c r="U361" s="31"/>
      <c r="V361" s="31"/>
      <c r="W361" s="31"/>
      <c r="X361" s="32"/>
      <c r="Y361" s="32"/>
      <c r="Z361" s="32"/>
    </row>
    <row r="362" spans="1:26">
      <c r="A362" s="28"/>
      <c r="B362" s="17">
        <f t="shared" si="24"/>
        <v>46289</v>
      </c>
      <c r="C362" s="26">
        <f>I362+J362+K362+L362+M362+N362+O362+IF(P362="",0,P362*サマリー!$B$9)+IF(Q362="",0,IF(Q362=200,サマリー!$B$10,IF(Q362=100,サマリー!$B$11,0)))+IF(R362="",0,R362*サマリー!$B$12)</f>
        <v>0</v>
      </c>
      <c r="D362" s="26">
        <f>S362+T362+U362+V362+W362+IF(X362="",0,X362*サマリー!$B$9)+IF(Y362="",0,IF(Y362=200,サマリー!$B$10,IF(Y362=100,サマリー!$B$11,0)))+IF(Z362="",0,Z362*サマリー!$B$12)</f>
        <v>0</v>
      </c>
      <c r="E362" s="26">
        <f t="shared" si="25"/>
        <v>0</v>
      </c>
      <c r="I362" s="29"/>
      <c r="J362" s="29"/>
      <c r="K362" s="29"/>
      <c r="L362" s="29"/>
      <c r="M362" s="29"/>
      <c r="N362" s="29"/>
      <c r="O362" s="29"/>
      <c r="P362" s="30"/>
      <c r="Q362" s="30"/>
      <c r="R362" s="30"/>
      <c r="S362" s="31"/>
      <c r="T362" s="31"/>
      <c r="U362" s="31"/>
      <c r="V362" s="31"/>
      <c r="W362" s="31"/>
      <c r="X362" s="32"/>
      <c r="Y362" s="32"/>
      <c r="Z362" s="32"/>
    </row>
    <row r="363" spans="1:26">
      <c r="A363" s="28"/>
      <c r="B363" s="17">
        <f t="shared" si="24"/>
        <v>46289</v>
      </c>
      <c r="C363" s="26">
        <f>I363+J363+K363+L363+M363+N363+O363+IF(P363="",0,P363*サマリー!$B$9)+IF(Q363="",0,IF(Q363=200,サマリー!$B$10,IF(Q363=100,サマリー!$B$11,0)))+IF(R363="",0,R363*サマリー!$B$12)</f>
        <v>0</v>
      </c>
      <c r="D363" s="26">
        <f>S363+T363+U363+V363+W363+IF(X363="",0,X363*サマリー!$B$9)+IF(Y363="",0,IF(Y363=200,サマリー!$B$10,IF(Y363=100,サマリー!$B$11,0)))+IF(Z363="",0,Z363*サマリー!$B$12)</f>
        <v>0</v>
      </c>
      <c r="E363" s="26">
        <f t="shared" si="25"/>
        <v>0</v>
      </c>
      <c r="I363" s="29"/>
      <c r="J363" s="29"/>
      <c r="K363" s="29"/>
      <c r="L363" s="29"/>
      <c r="M363" s="29"/>
      <c r="N363" s="29"/>
      <c r="O363" s="29"/>
      <c r="P363" s="30"/>
      <c r="Q363" s="30"/>
      <c r="R363" s="30"/>
      <c r="S363" s="31"/>
      <c r="T363" s="31"/>
      <c r="U363" s="31"/>
      <c r="V363" s="31"/>
      <c r="W363" s="31"/>
      <c r="X363" s="32"/>
      <c r="Y363" s="32"/>
      <c r="Z363" s="32"/>
    </row>
    <row r="364" spans="1:26">
      <c r="A364" s="28"/>
      <c r="B364" s="17">
        <f t="shared" si="24"/>
        <v>46289</v>
      </c>
      <c r="C364" s="26">
        <f>I364+J364+K364+L364+M364+N364+O364+IF(P364="",0,P364*サマリー!$B$9)+IF(Q364="",0,IF(Q364=200,サマリー!$B$10,IF(Q364=100,サマリー!$B$11,0)))+IF(R364="",0,R364*サマリー!$B$12)</f>
        <v>0</v>
      </c>
      <c r="D364" s="26">
        <f>S364+T364+U364+V364+W364+IF(X364="",0,X364*サマリー!$B$9)+IF(Y364="",0,IF(Y364=200,サマリー!$B$10,IF(Y364=100,サマリー!$B$11,0)))+IF(Z364="",0,Z364*サマリー!$B$12)</f>
        <v>0</v>
      </c>
      <c r="E364" s="26">
        <f t="shared" si="25"/>
        <v>0</v>
      </c>
      <c r="I364" s="29"/>
      <c r="J364" s="29"/>
      <c r="K364" s="29"/>
      <c r="L364" s="29"/>
      <c r="M364" s="29"/>
      <c r="N364" s="29"/>
      <c r="O364" s="29"/>
      <c r="P364" s="30"/>
      <c r="Q364" s="30"/>
      <c r="R364" s="30"/>
      <c r="S364" s="31"/>
      <c r="T364" s="31"/>
      <c r="U364" s="31"/>
      <c r="V364" s="31"/>
      <c r="W364" s="31"/>
      <c r="X364" s="32"/>
      <c r="Y364" s="32"/>
      <c r="Z364" s="32"/>
    </row>
    <row r="365" spans="1:26">
      <c r="A365" s="28"/>
      <c r="B365" s="17">
        <f t="shared" si="24"/>
        <v>46289</v>
      </c>
      <c r="C365" s="26">
        <f>I365+J365+K365+L365+M365+N365+O365+IF(P365="",0,P365*サマリー!$B$9)+IF(Q365="",0,IF(Q365=200,サマリー!$B$10,IF(Q365=100,サマリー!$B$11,0)))+IF(R365="",0,R365*サマリー!$B$12)</f>
        <v>0</v>
      </c>
      <c r="D365" s="26">
        <f>S365+T365+U365+V365+W365+IF(X365="",0,X365*サマリー!$B$9)+IF(Y365="",0,IF(Y365=200,サマリー!$B$10,IF(Y365=100,サマリー!$B$11,0)))+IF(Z365="",0,Z365*サマリー!$B$12)</f>
        <v>0</v>
      </c>
      <c r="E365" s="26">
        <f t="shared" si="25"/>
        <v>0</v>
      </c>
      <c r="I365" s="29"/>
      <c r="J365" s="29"/>
      <c r="K365" s="29"/>
      <c r="L365" s="29"/>
      <c r="M365" s="29"/>
      <c r="N365" s="29"/>
      <c r="O365" s="29"/>
      <c r="P365" s="30"/>
      <c r="Q365" s="30"/>
      <c r="R365" s="30"/>
      <c r="S365" s="31"/>
      <c r="T365" s="31"/>
      <c r="U365" s="31"/>
      <c r="V365" s="31"/>
      <c r="W365" s="31"/>
      <c r="X365" s="32"/>
      <c r="Y365" s="32"/>
      <c r="Z365" s="32"/>
    </row>
    <row r="366" spans="1:26">
      <c r="A366" s="28"/>
      <c r="B366" s="17">
        <f t="shared" si="24"/>
        <v>46289</v>
      </c>
      <c r="C366" s="26">
        <f>I366+J366+K366+L366+M366+N366+O366+IF(P366="",0,P366*サマリー!$B$9)+IF(Q366="",0,IF(Q366=200,サマリー!$B$10,IF(Q366=100,サマリー!$B$11,0)))+IF(R366="",0,R366*サマリー!$B$12)</f>
        <v>0</v>
      </c>
      <c r="D366" s="26">
        <f>S366+T366+U366+V366+W366+IF(X366="",0,X366*サマリー!$B$9)+IF(Y366="",0,IF(Y366=200,サマリー!$B$10,IF(Y366=100,サマリー!$B$11,0)))+IF(Z366="",0,Z366*サマリー!$B$12)</f>
        <v>0</v>
      </c>
      <c r="E366" s="26">
        <f t="shared" si="25"/>
        <v>0</v>
      </c>
      <c r="I366" s="29"/>
      <c r="J366" s="29"/>
      <c r="K366" s="29"/>
      <c r="L366" s="29"/>
      <c r="M366" s="29"/>
      <c r="N366" s="29"/>
      <c r="O366" s="29"/>
      <c r="P366" s="30"/>
      <c r="Q366" s="30"/>
      <c r="R366" s="30"/>
      <c r="S366" s="31"/>
      <c r="T366" s="31"/>
      <c r="U366" s="31"/>
      <c r="V366" s="31"/>
      <c r="W366" s="31"/>
      <c r="X366" s="32"/>
      <c r="Y366" s="32"/>
      <c r="Z366" s="32"/>
    </row>
    <row r="367" spans="1:26">
      <c r="A367" s="28"/>
      <c r="B367" s="17">
        <f t="shared" si="24"/>
        <v>46289</v>
      </c>
      <c r="C367" s="26">
        <f>I367+J367+K367+L367+M367+N367+O367+IF(P367="",0,P367*サマリー!$B$9)+IF(Q367="",0,IF(Q367=200,サマリー!$B$10,IF(Q367=100,サマリー!$B$11,0)))+IF(R367="",0,R367*サマリー!$B$12)</f>
        <v>0</v>
      </c>
      <c r="D367" s="26">
        <f>S367+T367+U367+V367+W367+IF(X367="",0,X367*サマリー!$B$9)+IF(Y367="",0,IF(Y367=200,サマリー!$B$10,IF(Y367=100,サマリー!$B$11,0)))+IF(Z367="",0,Z367*サマリー!$B$12)</f>
        <v>0</v>
      </c>
      <c r="E367" s="26">
        <f t="shared" si="25"/>
        <v>0</v>
      </c>
      <c r="I367" s="29"/>
      <c r="J367" s="29"/>
      <c r="K367" s="29"/>
      <c r="L367" s="29"/>
      <c r="M367" s="29"/>
      <c r="N367" s="29"/>
      <c r="O367" s="29"/>
      <c r="P367" s="30"/>
      <c r="Q367" s="30"/>
      <c r="R367" s="30"/>
      <c r="S367" s="31"/>
      <c r="T367" s="31"/>
      <c r="U367" s="31"/>
      <c r="V367" s="31"/>
      <c r="W367" s="31"/>
      <c r="X367" s="32"/>
      <c r="Y367" s="32"/>
      <c r="Z367" s="32"/>
    </row>
    <row r="368" spans="1:26">
      <c r="A368" s="28"/>
      <c r="B368" s="17">
        <f t="shared" si="24"/>
        <v>46289</v>
      </c>
      <c r="C368" s="26">
        <f>I368+J368+K368+L368+M368+N368+O368+IF(P368="",0,P368*サマリー!$B$9)+IF(Q368="",0,IF(Q368=200,サマリー!$B$10,IF(Q368=100,サマリー!$B$11,0)))+IF(R368="",0,R368*サマリー!$B$12)</f>
        <v>0</v>
      </c>
      <c r="D368" s="26">
        <f>S368+T368+U368+V368+W368+IF(X368="",0,X368*サマリー!$B$9)+IF(Y368="",0,IF(Y368=200,サマリー!$B$10,IF(Y368=100,サマリー!$B$11,0)))+IF(Z368="",0,Z368*サマリー!$B$12)</f>
        <v>0</v>
      </c>
      <c r="E368" s="26">
        <f t="shared" si="25"/>
        <v>0</v>
      </c>
      <c r="I368" s="29"/>
      <c r="J368" s="29"/>
      <c r="K368" s="29"/>
      <c r="L368" s="29"/>
      <c r="M368" s="29"/>
      <c r="N368" s="29"/>
      <c r="O368" s="29"/>
      <c r="P368" s="30"/>
      <c r="Q368" s="30"/>
      <c r="R368" s="30"/>
      <c r="S368" s="31"/>
      <c r="T368" s="31"/>
      <c r="U368" s="31"/>
      <c r="V368" s="31"/>
      <c r="W368" s="31"/>
      <c r="X368" s="32"/>
      <c r="Y368" s="32"/>
      <c r="Z368" s="32"/>
    </row>
    <row r="369" spans="1:26">
      <c r="A369" s="28"/>
      <c r="B369" s="17">
        <f t="shared" si="24"/>
        <v>46289</v>
      </c>
      <c r="C369" s="26">
        <f>I369+J369+K369+L369+M369+N369+O369+IF(P369="",0,P369*サマリー!$B$9)+IF(Q369="",0,IF(Q369=200,サマリー!$B$10,IF(Q369=100,サマリー!$B$11,0)))+IF(R369="",0,R369*サマリー!$B$12)</f>
        <v>0</v>
      </c>
      <c r="D369" s="26">
        <f>S369+T369+U369+V369+W369+IF(X369="",0,X369*サマリー!$B$9)+IF(Y369="",0,IF(Y369=200,サマリー!$B$10,IF(Y369=100,サマリー!$B$11,0)))+IF(Z369="",0,Z369*サマリー!$B$12)</f>
        <v>0</v>
      </c>
      <c r="E369" s="26">
        <f t="shared" si="25"/>
        <v>0</v>
      </c>
      <c r="I369" s="29"/>
      <c r="J369" s="29"/>
      <c r="K369" s="29"/>
      <c r="L369" s="29"/>
      <c r="M369" s="29"/>
      <c r="N369" s="29"/>
      <c r="O369" s="29"/>
      <c r="P369" s="30"/>
      <c r="Q369" s="30"/>
      <c r="R369" s="30"/>
      <c r="S369" s="31"/>
      <c r="T369" s="31"/>
      <c r="U369" s="31"/>
      <c r="V369" s="31"/>
      <c r="W369" s="31"/>
      <c r="X369" s="32"/>
      <c r="Y369" s="32"/>
      <c r="Z369" s="32"/>
    </row>
    <row r="370" spans="1:26">
      <c r="A370" s="28"/>
      <c r="B370" s="17">
        <f t="shared" si="24"/>
        <v>46289</v>
      </c>
      <c r="C370" s="26">
        <f>I370+J370+K370+L370+M370+N370+O370+IF(P370="",0,P370*サマリー!$B$9)+IF(Q370="",0,IF(Q370=200,サマリー!$B$10,IF(Q370=100,サマリー!$B$11,0)))+IF(R370="",0,R370*サマリー!$B$12)</f>
        <v>0</v>
      </c>
      <c r="D370" s="26">
        <f>S370+T370+U370+V370+W370+IF(X370="",0,X370*サマリー!$B$9)+IF(Y370="",0,IF(Y370=200,サマリー!$B$10,IF(Y370=100,サマリー!$B$11,0)))+IF(Z370="",0,Z370*サマリー!$B$12)</f>
        <v>0</v>
      </c>
      <c r="E370" s="26">
        <f t="shared" si="25"/>
        <v>0</v>
      </c>
      <c r="I370" s="29"/>
      <c r="J370" s="29"/>
      <c r="K370" s="29"/>
      <c r="L370" s="29"/>
      <c r="M370" s="29"/>
      <c r="N370" s="29"/>
      <c r="O370" s="29"/>
      <c r="P370" s="30"/>
      <c r="Q370" s="30"/>
      <c r="R370" s="30"/>
      <c r="S370" s="31"/>
      <c r="T370" s="31"/>
      <c r="U370" s="31"/>
      <c r="V370" s="31"/>
      <c r="W370" s="31"/>
      <c r="X370" s="32"/>
      <c r="Y370" s="32"/>
      <c r="Z370" s="32"/>
    </row>
    <row r="371" spans="1:26">
      <c r="A371" s="28"/>
      <c r="B371" s="17">
        <f t="shared" si="24"/>
        <v>46289</v>
      </c>
      <c r="C371" s="26">
        <f>I371+J371+K371+L371+M371+N371+O371+IF(P371="",0,P371*サマリー!$B$9)+IF(Q371="",0,IF(Q371=200,サマリー!$B$10,IF(Q371=100,サマリー!$B$11,0)))+IF(R371="",0,R371*サマリー!$B$12)</f>
        <v>0</v>
      </c>
      <c r="D371" s="26">
        <f>S371+T371+U371+V371+W371+IF(X371="",0,X371*サマリー!$B$9)+IF(Y371="",0,IF(Y371=200,サマリー!$B$10,IF(Y371=100,サマリー!$B$11,0)))+IF(Z371="",0,Z371*サマリー!$B$12)</f>
        <v>0</v>
      </c>
      <c r="E371" s="26">
        <f t="shared" si="25"/>
        <v>0</v>
      </c>
      <c r="I371" s="29"/>
      <c r="J371" s="29"/>
      <c r="K371" s="29"/>
      <c r="L371" s="29"/>
      <c r="M371" s="29"/>
      <c r="N371" s="29"/>
      <c r="O371" s="29"/>
      <c r="P371" s="30"/>
      <c r="Q371" s="30"/>
      <c r="R371" s="30"/>
      <c r="S371" s="31"/>
      <c r="T371" s="31"/>
      <c r="U371" s="31"/>
      <c r="V371" s="31"/>
      <c r="W371" s="31"/>
      <c r="X371" s="32"/>
      <c r="Y371" s="32"/>
      <c r="Z371" s="32"/>
    </row>
    <row r="372" spans="1:26">
      <c r="A372" s="28"/>
      <c r="B372" s="17">
        <f t="shared" si="24"/>
        <v>46289</v>
      </c>
      <c r="C372" s="26">
        <f>I372+J372+K372+L372+M372+N372+O372+IF(P372="",0,P372*サマリー!$B$9)+IF(Q372="",0,IF(Q372=200,サマリー!$B$10,IF(Q372=100,サマリー!$B$11,0)))+IF(R372="",0,R372*サマリー!$B$12)</f>
        <v>0</v>
      </c>
      <c r="D372" s="26">
        <f>S372+T372+U372+V372+W372+IF(X372="",0,X372*サマリー!$B$9)+IF(Y372="",0,IF(Y372=200,サマリー!$B$10,IF(Y372=100,サマリー!$B$11,0)))+IF(Z372="",0,Z372*サマリー!$B$12)</f>
        <v>0</v>
      </c>
      <c r="E372" s="26">
        <f t="shared" si="25"/>
        <v>0</v>
      </c>
      <c r="I372" s="29"/>
      <c r="J372" s="29"/>
      <c r="K372" s="29"/>
      <c r="L372" s="29"/>
      <c r="M372" s="29"/>
      <c r="N372" s="29"/>
      <c r="O372" s="29"/>
      <c r="P372" s="30"/>
      <c r="Q372" s="30"/>
      <c r="R372" s="30"/>
      <c r="S372" s="31"/>
      <c r="T372" s="31"/>
      <c r="U372" s="31"/>
      <c r="V372" s="31"/>
      <c r="W372" s="31"/>
      <c r="X372" s="32"/>
      <c r="Y372" s="32"/>
      <c r="Z372" s="32"/>
    </row>
    <row r="373" spans="1:26">
      <c r="A373" s="28"/>
      <c r="B373" s="17">
        <f t="shared" ref="B373:B375" si="26">IF(A373="",B372,IF(A373&lt;DAY(B372),DATE(YEAR(B372),MONTH(B372)+1,A373),DATE(YEAR(B372),MONTH(B372),A373)))</f>
        <v>46289</v>
      </c>
      <c r="C373" s="26">
        <f>I373+J373+K373+L373+M373+N373+O373+IF(P373="",0,P373*サマリー!$B$9)+IF(Q373="",0,IF(Q373=200,サマリー!$B$10,IF(Q373=100,サマリー!$B$11,0)))+IF(R373="",0,R373*サマリー!$B$12)</f>
        <v>0</v>
      </c>
      <c r="D373" s="26">
        <f>S373+T373+U373+V373+W373+IF(X373="",0,X373*サマリー!$B$9)+IF(Y373="",0,IF(Y373=200,サマリー!$B$10,IF(Y373=100,サマリー!$B$11,0)))+IF(Z373="",0,Z373*サマリー!$B$12)</f>
        <v>0</v>
      </c>
      <c r="E373" s="26">
        <f t="shared" ref="E373:E375" si="27">C373+D373</f>
        <v>0</v>
      </c>
      <c r="I373" s="29"/>
      <c r="J373" s="29"/>
      <c r="K373" s="29"/>
      <c r="L373" s="29"/>
      <c r="M373" s="29"/>
      <c r="N373" s="29"/>
      <c r="O373" s="29"/>
      <c r="P373" s="30"/>
      <c r="Q373" s="30"/>
      <c r="R373" s="30"/>
      <c r="S373" s="31"/>
      <c r="T373" s="31"/>
      <c r="U373" s="31"/>
      <c r="V373" s="31"/>
      <c r="W373" s="31"/>
      <c r="X373" s="32"/>
      <c r="Y373" s="32"/>
      <c r="Z373" s="32"/>
    </row>
    <row r="374" spans="1:26">
      <c r="A374" s="28"/>
      <c r="B374" s="17">
        <f t="shared" si="26"/>
        <v>46289</v>
      </c>
      <c r="C374" s="26">
        <f>I374+J374+K374+L374+M374+N374+O374+IF(P374="",0,P374*サマリー!$B$9)+IF(Q374="",0,IF(Q374=200,サマリー!$B$10,IF(Q374=100,サマリー!$B$11,0)))+IF(R374="",0,R374*サマリー!$B$12)</f>
        <v>0</v>
      </c>
      <c r="D374" s="26">
        <f>S374+T374+U374+V374+W374+IF(X374="",0,X374*サマリー!$B$9)+IF(Y374="",0,IF(Y374=200,サマリー!$B$10,IF(Y374=100,サマリー!$B$11,0)))+IF(Z374="",0,Z374*サマリー!$B$12)</f>
        <v>0</v>
      </c>
      <c r="E374" s="26">
        <f t="shared" si="27"/>
        <v>0</v>
      </c>
      <c r="I374" s="29"/>
      <c r="J374" s="29"/>
      <c r="K374" s="29"/>
      <c r="L374" s="29"/>
      <c r="M374" s="29"/>
      <c r="N374" s="29"/>
      <c r="O374" s="29"/>
      <c r="P374" s="30"/>
      <c r="Q374" s="30"/>
      <c r="R374" s="30"/>
      <c r="S374" s="31"/>
      <c r="T374" s="31"/>
      <c r="U374" s="31"/>
      <c r="V374" s="31"/>
      <c r="W374" s="31"/>
      <c r="X374" s="32"/>
      <c r="Y374" s="32"/>
      <c r="Z374" s="32"/>
    </row>
    <row r="375" spans="1:26">
      <c r="A375" s="28"/>
      <c r="B375" s="17">
        <f t="shared" si="26"/>
        <v>46289</v>
      </c>
      <c r="C375" s="26">
        <f>I375+J375+K375+L375+M375+N375+O375+IF(P375="",0,P375*サマリー!$B$9)+IF(Q375="",0,IF(Q375=200,サマリー!$B$10,IF(Q375=100,サマリー!$B$11,0)))+IF(R375="",0,R375*サマリー!$B$12)</f>
        <v>0</v>
      </c>
      <c r="D375" s="26">
        <f>S375+T375+U375+V375+W375+IF(X375="",0,X375*サマリー!$B$9)+IF(Y375="",0,IF(Y375=200,サマリー!$B$10,IF(Y375=100,サマリー!$B$11,0)))+IF(Z375="",0,Z375*サマリー!$B$12)</f>
        <v>0</v>
      </c>
      <c r="E375" s="26">
        <f t="shared" si="27"/>
        <v>0</v>
      </c>
      <c r="I375" s="29"/>
      <c r="J375" s="29"/>
      <c r="K375" s="29"/>
      <c r="L375" s="29"/>
      <c r="M375" s="29"/>
      <c r="N375" s="29"/>
      <c r="O375" s="29"/>
      <c r="P375" s="30"/>
      <c r="Q375" s="30"/>
      <c r="R375" s="30"/>
      <c r="S375" s="31"/>
      <c r="T375" s="31"/>
      <c r="U375" s="31"/>
      <c r="V375" s="31"/>
      <c r="W375" s="31"/>
      <c r="X375" s="32"/>
      <c r="Y375" s="32"/>
      <c r="Z375" s="32"/>
    </row>
  </sheetData>
  <mergeCells count="9">
    <mergeCell ref="A1:Z1"/>
    <mergeCell ref="I4:R4"/>
    <mergeCell ref="S4:Z4"/>
    <mergeCell ref="AB6:BA6"/>
    <mergeCell ref="AB1:BA1"/>
    <mergeCell ref="AB2:BA2"/>
    <mergeCell ref="AB3:BA3"/>
    <mergeCell ref="AB4:BA4"/>
    <mergeCell ref="AB5:BA5"/>
  </mergeCells>
  <phoneticPr fontId="21"/>
  <conditionalFormatting sqref="A6:Z375">
    <cfRule type="expression" dxfId="6" priority="7">
      <formula>AND(COUNTA($I6:$Z6)=0,COUNTA($I5:$Z5)&gt;0)</formula>
    </cfRule>
  </conditionalFormatting>
  <conditionalFormatting sqref="B6:B375">
    <cfRule type="expression" dxfId="5" priority="8">
      <formula>NOT(_xludf.isformula(B6))</formula>
    </cfRule>
  </conditionalFormatting>
  <conditionalFormatting sqref="B3:C3">
    <cfRule type="cellIs" dxfId="4" priority="2" operator="equal">
      <formula>0</formula>
    </cfRule>
    <cfRule type="cellIs" dxfId="3" priority="3" operator="greaterThan">
      <formula>0</formula>
    </cfRule>
  </conditionalFormatting>
  <conditionalFormatting sqref="E3">
    <cfRule type="cellIs" dxfId="2" priority="4" operator="equal">
      <formula>0</formula>
    </cfRule>
    <cfRule type="cellIs" dxfId="1" priority="5" operator="greaterThan">
      <formula>0</formula>
    </cfRule>
  </conditionalFormatting>
  <conditionalFormatting sqref="I6:Z375">
    <cfRule type="expression" dxfId="0" priority="6">
      <formula>NOT(ISBLANK(I6))</formula>
    </cfRule>
  </conditionalFormatting>
  <dataValidations count="5">
    <dataValidation type="whole" allowBlank="1" sqref="A6:A375" xr:uid="{00000000-0002-0000-0100-000000000000}">
      <formula1>1</formula1>
      <formula2>31</formula2>
    </dataValidation>
    <dataValidation type="list" allowBlank="1" sqref="P6:P375 X6:X375" xr:uid="{00000000-0002-0000-0100-000001000000}">
      <formula1>"1,2,3,4"</formula1>
      <formula2>0</formula2>
    </dataValidation>
    <dataValidation type="list" allowBlank="1" sqref="Q6:Q375 Y6:Y375" xr:uid="{00000000-0002-0000-0100-000002000000}">
      <formula1>"100,200"</formula1>
      <formula2>0</formula2>
    </dataValidation>
    <dataValidation type="decimal" operator="greaterThanOrEqual" allowBlank="1" sqref="I6:O375 S6:W375" xr:uid="{00000000-0002-0000-0100-000003000000}">
      <formula1>0</formula1>
      <formula2>0</formula2>
    </dataValidation>
    <dataValidation type="whole" operator="greaterThanOrEqual" allowBlank="1" sqref="R6:R375 Z6:Z375" xr:uid="{00000000-0002-0000-0100-000004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8"/>
  <sheetViews>
    <sheetView showGridLines="0" tabSelected="1" zoomScaleNormal="100" workbookViewId="0">
      <pane ySplit="2" topLeftCell="A12" activePane="bottomLeft" state="frozen"/>
      <selection pane="bottomLeft" activeCell="D25" sqref="D25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80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30" customHeight="1">
      <c r="A2" s="12" t="s">
        <v>81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2" t="s">
        <v>87</v>
      </c>
      <c r="H2" s="12" t="s">
        <v>88</v>
      </c>
      <c r="I2" s="12" t="s">
        <v>23</v>
      </c>
      <c r="J2" s="12" t="s">
        <v>89</v>
      </c>
      <c r="K2" s="12" t="s">
        <v>90</v>
      </c>
    </row>
    <row r="3" spans="1:11">
      <c r="A3" s="13">
        <v>1</v>
      </c>
      <c r="B3" s="17">
        <f>サマリー!$B$14-WEEKDAY(サマリー!$B$14,2)+1+(1-1)*7</f>
        <v>46139</v>
      </c>
      <c r="C3" s="17">
        <f t="shared" ref="C3:C34" si="0">B3+6</f>
        <v>46145</v>
      </c>
      <c r="D3" s="14">
        <f>SUMIFS(受注ログ!$C$4:$C$5000,受注ログ!$B$4:$B$5000,"&gt;="&amp;B3,受注ログ!$B$4:$B$5000,"&lt;="&amp;C3)</f>
        <v>0</v>
      </c>
      <c r="E3" s="14">
        <f>SUMIFS(受注ログ!$D$4:$D$5000,受注ログ!$B$4:$B$5000,"&gt;="&amp;B3,受注ログ!$B$4:$B$5000,"&lt;="&amp;C3)</f>
        <v>0</v>
      </c>
      <c r="F3" s="14">
        <f t="shared" ref="F3:F34" si="1">D3+E3</f>
        <v>0</v>
      </c>
      <c r="G3" s="14">
        <f>サマリー!$B$15</f>
        <v>500000</v>
      </c>
      <c r="H3" s="33">
        <f t="shared" ref="H3:H34" si="2">F3-G3</f>
        <v>-500000</v>
      </c>
      <c r="I3" s="15">
        <f t="shared" ref="I3:I34" si="3">IFERROR(F3/G3,0)</f>
        <v>0</v>
      </c>
      <c r="J3" s="15">
        <f>IFERROR(D3/サマリー!$B$7,0)</f>
        <v>0</v>
      </c>
      <c r="K3" s="15">
        <f>IFERROR(E3/サマリー!$B$7,0)</f>
        <v>0</v>
      </c>
    </row>
    <row r="4" spans="1:11">
      <c r="A4" s="13">
        <v>2</v>
      </c>
      <c r="B4" s="17">
        <f>サマリー!$B$14-WEEKDAY(サマリー!$B$14,2)+1+(2-1)*7</f>
        <v>46146</v>
      </c>
      <c r="C4" s="17">
        <f t="shared" si="0"/>
        <v>46152</v>
      </c>
      <c r="D4" s="14">
        <f>SUMIFS(受注ログ!$C$4:$C$5000,受注ログ!$B$4:$B$5000,"&gt;="&amp;B4,受注ログ!$B$4:$B$5000,"&lt;="&amp;C4)</f>
        <v>0</v>
      </c>
      <c r="E4" s="14">
        <f>SUMIFS(受注ログ!$D$4:$D$5000,受注ログ!$B$4:$B$5000,"&gt;="&amp;B4,受注ログ!$B$4:$B$5000,"&lt;="&amp;C4)</f>
        <v>0</v>
      </c>
      <c r="F4" s="14">
        <f t="shared" si="1"/>
        <v>0</v>
      </c>
      <c r="G4" s="14">
        <f>サマリー!$B$15</f>
        <v>500000</v>
      </c>
      <c r="H4" s="33">
        <f t="shared" si="2"/>
        <v>-500000</v>
      </c>
      <c r="I4" s="15">
        <f t="shared" si="3"/>
        <v>0</v>
      </c>
      <c r="J4" s="15">
        <f>IFERROR(D4/サマリー!$B$7,0)</f>
        <v>0</v>
      </c>
      <c r="K4" s="15">
        <f>IFERROR(E4/サマリー!$B$7,0)</f>
        <v>0</v>
      </c>
    </row>
    <row r="5" spans="1:11">
      <c r="A5" s="13">
        <v>3</v>
      </c>
      <c r="B5" s="17">
        <f>サマリー!$B$14-WEEKDAY(サマリー!$B$14,2)+1+(3-1)*7</f>
        <v>46153</v>
      </c>
      <c r="C5" s="17">
        <f t="shared" si="0"/>
        <v>46159</v>
      </c>
      <c r="D5" s="14">
        <f>SUMIFS(受注ログ!$C$4:$C$5000,受注ログ!$B$4:$B$5000,"&gt;="&amp;B5,受注ログ!$B$4:$B$5000,"&lt;="&amp;C5)</f>
        <v>0</v>
      </c>
      <c r="E5" s="14">
        <f>SUMIFS(受注ログ!$D$4:$D$5000,受注ログ!$B$4:$B$5000,"&gt;="&amp;B5,受注ログ!$B$4:$B$5000,"&lt;="&amp;C5)</f>
        <v>0</v>
      </c>
      <c r="F5" s="14">
        <f t="shared" si="1"/>
        <v>0</v>
      </c>
      <c r="G5" s="14">
        <f>サマリー!$B$15</f>
        <v>500000</v>
      </c>
      <c r="H5" s="33">
        <f t="shared" si="2"/>
        <v>-500000</v>
      </c>
      <c r="I5" s="15">
        <f t="shared" si="3"/>
        <v>0</v>
      </c>
      <c r="J5" s="15">
        <f>IFERROR(D5/サマリー!$B$7,0)</f>
        <v>0</v>
      </c>
      <c r="K5" s="15">
        <f>IFERROR(E5/サマリー!$B$7,0)</f>
        <v>0</v>
      </c>
    </row>
    <row r="6" spans="1:11">
      <c r="A6" s="13">
        <v>4</v>
      </c>
      <c r="B6" s="17">
        <f>サマリー!$B$14-WEEKDAY(サマリー!$B$14,2)+1+(4-1)*7</f>
        <v>46160</v>
      </c>
      <c r="C6" s="17">
        <f t="shared" si="0"/>
        <v>46166</v>
      </c>
      <c r="D6" s="14">
        <f>SUMIFS(受注ログ!$C$4:$C$5000,受注ログ!$B$4:$B$5000,"&gt;="&amp;B6,受注ログ!$B$4:$B$5000,"&lt;="&amp;C6)</f>
        <v>0</v>
      </c>
      <c r="E6" s="14">
        <f>SUMIFS(受注ログ!$D$4:$D$5000,受注ログ!$B$4:$B$5000,"&gt;="&amp;B6,受注ログ!$B$4:$B$5000,"&lt;="&amp;C6)</f>
        <v>0</v>
      </c>
      <c r="F6" s="14">
        <f t="shared" si="1"/>
        <v>0</v>
      </c>
      <c r="G6" s="14">
        <f>サマリー!$B$15</f>
        <v>500000</v>
      </c>
      <c r="H6" s="33">
        <f t="shared" si="2"/>
        <v>-500000</v>
      </c>
      <c r="I6" s="15">
        <f t="shared" si="3"/>
        <v>0</v>
      </c>
      <c r="J6" s="15">
        <f>IFERROR(D6/サマリー!$B$7,0)</f>
        <v>0</v>
      </c>
      <c r="K6" s="15">
        <f>IFERROR(E6/サマリー!$B$7,0)</f>
        <v>0</v>
      </c>
    </row>
    <row r="7" spans="1:11">
      <c r="A7" s="13">
        <v>5</v>
      </c>
      <c r="B7" s="17">
        <f>サマリー!$B$14-WEEKDAY(サマリー!$B$14,2)+1+(5-1)*7</f>
        <v>46167</v>
      </c>
      <c r="C7" s="17">
        <f t="shared" si="0"/>
        <v>46173</v>
      </c>
      <c r="D7" s="14">
        <f>SUMIFS(受注ログ!$C$4:$C$5000,受注ログ!$B$4:$B$5000,"&gt;="&amp;B7,受注ログ!$B$4:$B$5000,"&lt;="&amp;C7)</f>
        <v>0</v>
      </c>
      <c r="E7" s="14">
        <f>SUMIFS(受注ログ!$D$4:$D$5000,受注ログ!$B$4:$B$5000,"&gt;="&amp;B7,受注ログ!$B$4:$B$5000,"&lt;="&amp;C7)</f>
        <v>0</v>
      </c>
      <c r="F7" s="14">
        <f t="shared" si="1"/>
        <v>0</v>
      </c>
      <c r="G7" s="14">
        <f>サマリー!$B$15</f>
        <v>500000</v>
      </c>
      <c r="H7" s="33">
        <f t="shared" si="2"/>
        <v>-500000</v>
      </c>
      <c r="I7" s="15">
        <f t="shared" si="3"/>
        <v>0</v>
      </c>
      <c r="J7" s="15">
        <f>IFERROR(D7/サマリー!$B$7,0)</f>
        <v>0</v>
      </c>
      <c r="K7" s="15">
        <f>IFERROR(E7/サマリー!$B$7,0)</f>
        <v>0</v>
      </c>
    </row>
    <row r="8" spans="1:11">
      <c r="A8" s="13">
        <v>6</v>
      </c>
      <c r="B8" s="17">
        <f>サマリー!$B$14-WEEKDAY(サマリー!$B$14,2)+1+(6-1)*7</f>
        <v>46174</v>
      </c>
      <c r="C8" s="17">
        <f t="shared" si="0"/>
        <v>46180</v>
      </c>
      <c r="D8" s="14">
        <f>SUMIFS(受注ログ!$C$4:$C$5000,受注ログ!$B$4:$B$5000,"&gt;="&amp;B8,受注ログ!$B$4:$B$5000,"&lt;="&amp;C8)</f>
        <v>0</v>
      </c>
      <c r="E8" s="14">
        <f>SUMIFS(受注ログ!$D$4:$D$5000,受注ログ!$B$4:$B$5000,"&gt;="&amp;B8,受注ログ!$B$4:$B$5000,"&lt;="&amp;C8)</f>
        <v>0</v>
      </c>
      <c r="F8" s="14">
        <f t="shared" si="1"/>
        <v>0</v>
      </c>
      <c r="G8" s="14">
        <f>サマリー!$B$15</f>
        <v>500000</v>
      </c>
      <c r="H8" s="33">
        <f t="shared" si="2"/>
        <v>-500000</v>
      </c>
      <c r="I8" s="15">
        <f t="shared" si="3"/>
        <v>0</v>
      </c>
      <c r="J8" s="15">
        <f>IFERROR(D8/サマリー!$B$7,0)</f>
        <v>0</v>
      </c>
      <c r="K8" s="15">
        <f>IFERROR(E8/サマリー!$B$7,0)</f>
        <v>0</v>
      </c>
    </row>
    <row r="9" spans="1:11">
      <c r="A9" s="13">
        <v>7</v>
      </c>
      <c r="B9" s="17">
        <f>サマリー!$B$14-WEEKDAY(サマリー!$B$14,2)+1+(7-1)*7</f>
        <v>46181</v>
      </c>
      <c r="C9" s="17">
        <f t="shared" si="0"/>
        <v>46187</v>
      </c>
      <c r="D9" s="14">
        <f>SUMIFS(受注ログ!$C$4:$C$5000,受注ログ!$B$4:$B$5000,"&gt;="&amp;B9,受注ログ!$B$4:$B$5000,"&lt;="&amp;C9)</f>
        <v>0</v>
      </c>
      <c r="E9" s="14">
        <f>SUMIFS(受注ログ!$D$4:$D$5000,受注ログ!$B$4:$B$5000,"&gt;="&amp;B9,受注ログ!$B$4:$B$5000,"&lt;="&amp;C9)</f>
        <v>0</v>
      </c>
      <c r="F9" s="14">
        <f t="shared" si="1"/>
        <v>0</v>
      </c>
      <c r="G9" s="14">
        <f>サマリー!$B$15</f>
        <v>500000</v>
      </c>
      <c r="H9" s="33">
        <f t="shared" si="2"/>
        <v>-500000</v>
      </c>
      <c r="I9" s="15">
        <f t="shared" si="3"/>
        <v>0</v>
      </c>
      <c r="J9" s="15">
        <f>IFERROR(D9/サマリー!$B$7,0)</f>
        <v>0</v>
      </c>
      <c r="K9" s="15">
        <f>IFERROR(E9/サマリー!$B$7,0)</f>
        <v>0</v>
      </c>
    </row>
    <row r="10" spans="1:11">
      <c r="A10" s="13">
        <v>8</v>
      </c>
      <c r="B10" s="17">
        <f>サマリー!$B$14-WEEKDAY(サマリー!$B$14,2)+1+(8-1)*7</f>
        <v>46188</v>
      </c>
      <c r="C10" s="17">
        <f t="shared" si="0"/>
        <v>46194</v>
      </c>
      <c r="D10" s="14">
        <f>SUMIFS(受注ログ!$C$4:$C$5000,受注ログ!$B$4:$B$5000,"&gt;="&amp;B10,受注ログ!$B$4:$B$5000,"&lt;="&amp;C10)</f>
        <v>0</v>
      </c>
      <c r="E10" s="14">
        <f>SUMIFS(受注ログ!$D$4:$D$5000,受注ログ!$B$4:$B$5000,"&gt;="&amp;B10,受注ログ!$B$4:$B$5000,"&lt;="&amp;C10)</f>
        <v>0</v>
      </c>
      <c r="F10" s="14">
        <f t="shared" si="1"/>
        <v>0</v>
      </c>
      <c r="G10" s="14">
        <f>サマリー!$B$15</f>
        <v>500000</v>
      </c>
      <c r="H10" s="33">
        <f t="shared" si="2"/>
        <v>-500000</v>
      </c>
      <c r="I10" s="15">
        <f t="shared" si="3"/>
        <v>0</v>
      </c>
      <c r="J10" s="15">
        <f>IFERROR(D10/サマリー!$B$7,0)</f>
        <v>0</v>
      </c>
      <c r="K10" s="15">
        <f>IFERROR(E10/サマリー!$B$7,0)</f>
        <v>0</v>
      </c>
    </row>
    <row r="11" spans="1:11">
      <c r="A11" s="13">
        <v>9</v>
      </c>
      <c r="B11" s="17">
        <f>サマリー!$B$14-WEEKDAY(サマリー!$B$14,2)+1+(9-1)*7</f>
        <v>46195</v>
      </c>
      <c r="C11" s="17">
        <f t="shared" si="0"/>
        <v>46201</v>
      </c>
      <c r="D11" s="14">
        <f>SUMIFS(受注ログ!$C$4:$C$5000,受注ログ!$B$4:$B$5000,"&gt;="&amp;B11,受注ログ!$B$4:$B$5000,"&lt;="&amp;C11)</f>
        <v>0</v>
      </c>
      <c r="E11" s="14">
        <f>SUMIFS(受注ログ!$D$4:$D$5000,受注ログ!$B$4:$B$5000,"&gt;="&amp;B11,受注ログ!$B$4:$B$5000,"&lt;="&amp;C11)</f>
        <v>0</v>
      </c>
      <c r="F11" s="14">
        <f t="shared" si="1"/>
        <v>0</v>
      </c>
      <c r="G11" s="14">
        <f>サマリー!$B$15</f>
        <v>500000</v>
      </c>
      <c r="H11" s="33">
        <f t="shared" si="2"/>
        <v>-500000</v>
      </c>
      <c r="I11" s="15">
        <f t="shared" si="3"/>
        <v>0</v>
      </c>
      <c r="J11" s="15">
        <f>IFERROR(D11/サマリー!$B$7,0)</f>
        <v>0</v>
      </c>
      <c r="K11" s="15">
        <f>IFERROR(E11/サマリー!$B$7,0)</f>
        <v>0</v>
      </c>
    </row>
    <row r="12" spans="1:11">
      <c r="A12" s="13">
        <v>10</v>
      </c>
      <c r="B12" s="17">
        <f>サマリー!$B$14-WEEKDAY(サマリー!$B$14,2)+1+(10-1)*7</f>
        <v>46202</v>
      </c>
      <c r="C12" s="17">
        <f t="shared" si="0"/>
        <v>46208</v>
      </c>
      <c r="D12" s="14">
        <f>SUMIFS(受注ログ!$C$4:$C$5000,受注ログ!$B$4:$B$5000,"&gt;="&amp;B12,受注ログ!$B$4:$B$5000,"&lt;="&amp;C12)</f>
        <v>245666</v>
      </c>
      <c r="E12" s="14">
        <f>SUMIFS(受注ログ!$D$4:$D$5000,受注ログ!$B$4:$B$5000,"&gt;="&amp;B12,受注ログ!$B$4:$B$5000,"&lt;="&amp;C12)</f>
        <v>90837</v>
      </c>
      <c r="F12" s="14">
        <f t="shared" si="1"/>
        <v>336503</v>
      </c>
      <c r="G12" s="14">
        <f>サマリー!$B$15</f>
        <v>500000</v>
      </c>
      <c r="H12" s="33">
        <f t="shared" si="2"/>
        <v>-163497</v>
      </c>
      <c r="I12" s="15">
        <f t="shared" si="3"/>
        <v>0.67300599999999999</v>
      </c>
      <c r="J12" s="15">
        <f>IFERROR(D12/サマリー!$B$7,0)</f>
        <v>0.98266399999999998</v>
      </c>
      <c r="K12" s="15">
        <f>IFERROR(E12/サマリー!$B$7,0)</f>
        <v>0.363348</v>
      </c>
    </row>
    <row r="13" spans="1:11">
      <c r="A13" s="13">
        <v>11</v>
      </c>
      <c r="B13" s="17">
        <f>サマリー!$B$14-WEEKDAY(サマリー!$B$14,2)+1+(11-1)*7</f>
        <v>46209</v>
      </c>
      <c r="C13" s="17">
        <f t="shared" si="0"/>
        <v>46215</v>
      </c>
      <c r="D13" s="14">
        <f>SUMIFS(受注ログ!$C$4:$C$5000,受注ログ!$B$4:$B$5000,"&gt;="&amp;B13,受注ログ!$B$4:$B$5000,"&lt;="&amp;C13)</f>
        <v>134517</v>
      </c>
      <c r="E13" s="14">
        <f>SUMIFS(受注ログ!$D$4:$D$5000,受注ログ!$B$4:$B$5000,"&gt;="&amp;B13,受注ログ!$B$4:$B$5000,"&lt;="&amp;C13)</f>
        <v>172580</v>
      </c>
      <c r="F13" s="14">
        <f t="shared" si="1"/>
        <v>307097</v>
      </c>
      <c r="G13" s="14">
        <f>サマリー!$B$15</f>
        <v>500000</v>
      </c>
      <c r="H13" s="33">
        <f t="shared" si="2"/>
        <v>-192903</v>
      </c>
      <c r="I13" s="15">
        <f t="shared" si="3"/>
        <v>0.61419400000000002</v>
      </c>
      <c r="J13" s="15">
        <f>IFERROR(D13/サマリー!$B$7,0)</f>
        <v>0.53806799999999999</v>
      </c>
      <c r="K13" s="15">
        <f>IFERROR(E13/サマリー!$B$7,0)</f>
        <v>0.69032000000000004</v>
      </c>
    </row>
    <row r="14" spans="1:11">
      <c r="A14" s="13">
        <v>12</v>
      </c>
      <c r="B14" s="17">
        <f>サマリー!$B$14-WEEKDAY(サマリー!$B$14,2)+1+(12-1)*7</f>
        <v>46216</v>
      </c>
      <c r="C14" s="17">
        <f t="shared" si="0"/>
        <v>46222</v>
      </c>
      <c r="D14" s="14">
        <f>SUMIFS(受注ログ!$C$4:$C$5000,受注ログ!$B$4:$B$5000,"&gt;="&amp;B14,受注ログ!$B$4:$B$5000,"&lt;="&amp;C14)</f>
        <v>261339</v>
      </c>
      <c r="E14" s="14">
        <f>SUMIFS(受注ログ!$D$4:$D$5000,受注ログ!$B$4:$B$5000,"&gt;="&amp;B14,受注ログ!$B$4:$B$5000,"&lt;="&amp;C14)</f>
        <v>88808</v>
      </c>
      <c r="F14" s="14">
        <f t="shared" si="1"/>
        <v>350147</v>
      </c>
      <c r="G14" s="14">
        <f>サマリー!$B$15</f>
        <v>500000</v>
      </c>
      <c r="H14" s="33">
        <f t="shared" si="2"/>
        <v>-149853</v>
      </c>
      <c r="I14" s="15">
        <f t="shared" si="3"/>
        <v>0.70029399999999997</v>
      </c>
      <c r="J14" s="15">
        <f>IFERROR(D14/サマリー!$B$7,0)</f>
        <v>1.045356</v>
      </c>
      <c r="K14" s="15">
        <f>IFERROR(E14/サマリー!$B$7,0)</f>
        <v>0.35523199999999999</v>
      </c>
    </row>
    <row r="15" spans="1:11">
      <c r="A15" s="13">
        <v>13</v>
      </c>
      <c r="B15" s="17">
        <f>サマリー!$B$14-WEEKDAY(サマリー!$B$14,2)+1+(13-1)*7</f>
        <v>46223</v>
      </c>
      <c r="C15" s="17">
        <f t="shared" si="0"/>
        <v>46229</v>
      </c>
      <c r="D15" s="14">
        <f>SUMIFS(受注ログ!$C$4:$C$5000,受注ログ!$B$4:$B$5000,"&gt;="&amp;B15,受注ログ!$B$4:$B$5000,"&lt;="&amp;C15)</f>
        <v>292030</v>
      </c>
      <c r="E15" s="14">
        <f>SUMIFS(受注ログ!$D$4:$D$5000,受注ログ!$B$4:$B$5000,"&gt;="&amp;B15,受注ログ!$B$4:$B$5000,"&lt;="&amp;C15)</f>
        <v>206335</v>
      </c>
      <c r="F15" s="14">
        <f t="shared" si="1"/>
        <v>498365</v>
      </c>
      <c r="G15" s="14">
        <f>サマリー!$B$15</f>
        <v>500000</v>
      </c>
      <c r="H15" s="33">
        <f t="shared" si="2"/>
        <v>-1635</v>
      </c>
      <c r="I15" s="15">
        <f t="shared" si="3"/>
        <v>0.99673</v>
      </c>
      <c r="J15" s="15">
        <f>IFERROR(D15/サマリー!$B$7,0)</f>
        <v>1.16812</v>
      </c>
      <c r="K15" s="15">
        <f>IFERROR(E15/サマリー!$B$7,0)</f>
        <v>0.82533999999999996</v>
      </c>
    </row>
    <row r="16" spans="1:11">
      <c r="A16" s="13">
        <v>14</v>
      </c>
      <c r="B16" s="17">
        <f>サマリー!$B$14-WEEKDAY(サマリー!$B$14,2)+1+(14-1)*7</f>
        <v>46230</v>
      </c>
      <c r="C16" s="17">
        <f t="shared" si="0"/>
        <v>46236</v>
      </c>
      <c r="D16" s="14">
        <f>SUMIFS(受注ログ!$C$4:$C$5000,受注ログ!$B$4:$B$5000,"&gt;="&amp;B16,受注ログ!$B$4:$B$5000,"&lt;="&amp;C16)</f>
        <v>382208</v>
      </c>
      <c r="E16" s="14">
        <f>SUMIFS(受注ログ!$D$4:$D$5000,受注ログ!$B$4:$B$5000,"&gt;="&amp;B16,受注ログ!$B$4:$B$5000,"&lt;="&amp;C16)</f>
        <v>176366</v>
      </c>
      <c r="F16" s="14">
        <f t="shared" si="1"/>
        <v>558574</v>
      </c>
      <c r="G16" s="14">
        <f>サマリー!$B$15</f>
        <v>500000</v>
      </c>
      <c r="H16" s="33">
        <f t="shared" si="2"/>
        <v>58574</v>
      </c>
      <c r="I16" s="15">
        <f t="shared" si="3"/>
        <v>1.117148</v>
      </c>
      <c r="J16" s="15">
        <f>IFERROR(D16/サマリー!$B$7,0)</f>
        <v>1.528832</v>
      </c>
      <c r="K16" s="15">
        <f>IFERROR(E16/サマリー!$B$7,0)</f>
        <v>0.70546399999999998</v>
      </c>
    </row>
    <row r="17" spans="1:11">
      <c r="A17" s="13">
        <v>15</v>
      </c>
      <c r="B17" s="17">
        <f>サマリー!$B$14-WEEKDAY(サマリー!$B$14,2)+1+(15-1)*7</f>
        <v>46237</v>
      </c>
      <c r="C17" s="17">
        <f t="shared" si="0"/>
        <v>46243</v>
      </c>
      <c r="D17" s="14">
        <f>SUMIFS(受注ログ!$C$4:$C$5000,受注ログ!$B$4:$B$5000,"&gt;="&amp;B17,受注ログ!$B$4:$B$5000,"&lt;="&amp;C17)</f>
        <v>225230</v>
      </c>
      <c r="E17" s="14">
        <f>SUMIFS(受注ログ!$D$4:$D$5000,受注ログ!$B$4:$B$5000,"&gt;="&amp;B17,受注ログ!$B$4:$B$5000,"&lt;="&amp;C17)</f>
        <v>316208</v>
      </c>
      <c r="F17" s="14">
        <f t="shared" si="1"/>
        <v>541438</v>
      </c>
      <c r="G17" s="14">
        <f>サマリー!$B$15</f>
        <v>500000</v>
      </c>
      <c r="H17" s="33">
        <f t="shared" si="2"/>
        <v>41438</v>
      </c>
      <c r="I17" s="15">
        <f t="shared" si="3"/>
        <v>1.0828759999999999</v>
      </c>
      <c r="J17" s="15">
        <f>IFERROR(D17/サマリー!$B$7,0)</f>
        <v>0.90092000000000005</v>
      </c>
      <c r="K17" s="15">
        <f>IFERROR(E17/サマリー!$B$7,0)</f>
        <v>1.264832</v>
      </c>
    </row>
    <row r="18" spans="1:11">
      <c r="A18" s="13">
        <v>16</v>
      </c>
      <c r="B18" s="17">
        <f>サマリー!$B$14-WEEKDAY(サマリー!$B$14,2)+1+(16-1)*7</f>
        <v>46244</v>
      </c>
      <c r="C18" s="17">
        <f t="shared" si="0"/>
        <v>46250</v>
      </c>
      <c r="D18" s="14">
        <f>SUMIFS(受注ログ!$C$4:$C$5000,受注ログ!$B$4:$B$5000,"&gt;="&amp;B18,受注ログ!$B$4:$B$5000,"&lt;="&amp;C18)</f>
        <v>273320</v>
      </c>
      <c r="E18" s="14">
        <f>SUMIFS(受注ログ!$D$4:$D$5000,受注ログ!$B$4:$B$5000,"&gt;="&amp;B18,受注ログ!$B$4:$B$5000,"&lt;="&amp;C18)</f>
        <v>268854</v>
      </c>
      <c r="F18" s="14">
        <f t="shared" si="1"/>
        <v>542174</v>
      </c>
      <c r="G18" s="14">
        <f>サマリー!$B$15</f>
        <v>500000</v>
      </c>
      <c r="H18" s="33">
        <f t="shared" si="2"/>
        <v>42174</v>
      </c>
      <c r="I18" s="15">
        <f t="shared" si="3"/>
        <v>1.0843480000000001</v>
      </c>
      <c r="J18" s="15">
        <f>IFERROR(D18/サマリー!$B$7,0)</f>
        <v>1.09328</v>
      </c>
      <c r="K18" s="15">
        <f>IFERROR(E18/サマリー!$B$7,0)</f>
        <v>1.0754159999999999</v>
      </c>
    </row>
    <row r="19" spans="1:11">
      <c r="A19" s="13">
        <v>17</v>
      </c>
      <c r="B19" s="17">
        <f>サマリー!$B$14-WEEKDAY(サマリー!$B$14,2)+1+(17-1)*7</f>
        <v>46251</v>
      </c>
      <c r="C19" s="17">
        <f t="shared" si="0"/>
        <v>46257</v>
      </c>
      <c r="D19" s="14">
        <f>SUMIFS(受注ログ!$C$4:$C$5000,受注ログ!$B$4:$B$5000,"&gt;="&amp;B19,受注ログ!$B$4:$B$5000,"&lt;="&amp;C19)</f>
        <v>180639</v>
      </c>
      <c r="E19" s="14">
        <f>SUMIFS(受注ログ!$D$4:$D$5000,受注ログ!$B$4:$B$5000,"&gt;="&amp;B19,受注ログ!$B$4:$B$5000,"&lt;="&amp;C19)</f>
        <v>206145</v>
      </c>
      <c r="F19" s="14">
        <f t="shared" si="1"/>
        <v>386784</v>
      </c>
      <c r="G19" s="14">
        <f>サマリー!$B$15</f>
        <v>500000</v>
      </c>
      <c r="H19" s="33">
        <f t="shared" si="2"/>
        <v>-113216</v>
      </c>
      <c r="I19" s="15">
        <f t="shared" si="3"/>
        <v>0.77356800000000003</v>
      </c>
      <c r="J19" s="15">
        <f>IFERROR(D19/サマリー!$B$7,0)</f>
        <v>0.72255599999999998</v>
      </c>
      <c r="K19" s="15">
        <f>IFERROR(E19/サマリー!$B$7,0)</f>
        <v>0.82457999999999998</v>
      </c>
    </row>
    <row r="20" spans="1:11">
      <c r="A20" s="13">
        <v>18</v>
      </c>
      <c r="B20" s="17">
        <f>サマリー!$B$14-WEEKDAY(サマリー!$B$14,2)+1+(18-1)*7</f>
        <v>46258</v>
      </c>
      <c r="C20" s="17">
        <f t="shared" si="0"/>
        <v>46264</v>
      </c>
      <c r="D20" s="14">
        <f>SUMIFS(受注ログ!$C$4:$C$5000,受注ログ!$B$4:$B$5000,"&gt;="&amp;B20,受注ログ!$B$4:$B$5000,"&lt;="&amp;C20)</f>
        <v>247566</v>
      </c>
      <c r="E20" s="14">
        <f>SUMIFS(受注ログ!$D$4:$D$5000,受注ログ!$B$4:$B$5000,"&gt;="&amp;B20,受注ログ!$B$4:$B$5000,"&lt;="&amp;C20)</f>
        <v>65130</v>
      </c>
      <c r="F20" s="14">
        <f t="shared" si="1"/>
        <v>312696</v>
      </c>
      <c r="G20" s="14">
        <f>サマリー!$B$15</f>
        <v>500000</v>
      </c>
      <c r="H20" s="33">
        <f t="shared" si="2"/>
        <v>-187304</v>
      </c>
      <c r="I20" s="15">
        <f t="shared" si="3"/>
        <v>0.62539199999999995</v>
      </c>
      <c r="J20" s="15">
        <f>IFERROR(D20/サマリー!$B$7,0)</f>
        <v>0.99026400000000003</v>
      </c>
      <c r="K20" s="15">
        <f>IFERROR(E20/サマリー!$B$7,0)</f>
        <v>0.26051999999999997</v>
      </c>
    </row>
    <row r="21" spans="1:11">
      <c r="A21" s="13">
        <v>19</v>
      </c>
      <c r="B21" s="17">
        <f>サマリー!$B$14-WEEKDAY(サマリー!$B$14,2)+1+(19-1)*7</f>
        <v>46265</v>
      </c>
      <c r="C21" s="17">
        <f t="shared" si="0"/>
        <v>46271</v>
      </c>
      <c r="D21" s="14">
        <f>SUMIFS(受注ログ!$C$4:$C$5000,受注ログ!$B$4:$B$5000,"&gt;="&amp;B21,受注ログ!$B$4:$B$5000,"&lt;="&amp;C21)</f>
        <v>187564</v>
      </c>
      <c r="E21" s="14">
        <f>SUMIFS(受注ログ!$D$4:$D$5000,受注ログ!$B$4:$B$5000,"&gt;="&amp;B21,受注ログ!$B$4:$B$5000,"&lt;="&amp;C21)</f>
        <v>167415</v>
      </c>
      <c r="F21" s="14">
        <f t="shared" si="1"/>
        <v>354979</v>
      </c>
      <c r="G21" s="14">
        <f>サマリー!$B$15</f>
        <v>500000</v>
      </c>
      <c r="H21" s="33">
        <f t="shared" si="2"/>
        <v>-145021</v>
      </c>
      <c r="I21" s="15">
        <f t="shared" si="3"/>
        <v>0.70995799999999998</v>
      </c>
      <c r="J21" s="15">
        <f>IFERROR(D21/サマリー!$B$7,0)</f>
        <v>0.75025600000000003</v>
      </c>
      <c r="K21" s="15">
        <f>IFERROR(E21/サマリー!$B$7,0)</f>
        <v>0.66966000000000003</v>
      </c>
    </row>
    <row r="22" spans="1:11">
      <c r="A22" s="13">
        <v>20</v>
      </c>
      <c r="B22" s="17">
        <f>サマリー!$B$14-WEEKDAY(サマリー!$B$14,2)+1+(20-1)*7</f>
        <v>46272</v>
      </c>
      <c r="C22" s="17">
        <f t="shared" si="0"/>
        <v>46278</v>
      </c>
      <c r="D22" s="14">
        <f>SUMIFS(受注ログ!$C$4:$C$5000,受注ログ!$B$4:$B$5000,"&gt;="&amp;B22,受注ログ!$B$4:$B$5000,"&lt;="&amp;C22)</f>
        <v>484729</v>
      </c>
      <c r="E22" s="14">
        <f>SUMIFS(受注ログ!$D$4:$D$5000,受注ログ!$B$4:$B$5000,"&gt;="&amp;B22,受注ログ!$B$4:$B$5000,"&lt;="&amp;C22)</f>
        <v>120860</v>
      </c>
      <c r="F22" s="14">
        <f t="shared" si="1"/>
        <v>605589</v>
      </c>
      <c r="G22" s="14">
        <f>サマリー!$B$15</f>
        <v>500000</v>
      </c>
      <c r="H22" s="33">
        <f t="shared" si="2"/>
        <v>105589</v>
      </c>
      <c r="I22" s="15">
        <f t="shared" si="3"/>
        <v>1.2111780000000001</v>
      </c>
      <c r="J22" s="15">
        <f>IFERROR(D22/サマリー!$B$7,0)</f>
        <v>1.9389160000000001</v>
      </c>
      <c r="K22" s="15">
        <f>IFERROR(E22/サマリー!$B$7,0)</f>
        <v>0.48343999999999998</v>
      </c>
    </row>
    <row r="23" spans="1:11">
      <c r="A23" s="13">
        <v>21</v>
      </c>
      <c r="B23" s="17">
        <f>サマリー!$B$14-WEEKDAY(サマリー!$B$14,2)+1+(21-1)*7</f>
        <v>46279</v>
      </c>
      <c r="C23" s="17">
        <f t="shared" si="0"/>
        <v>46285</v>
      </c>
      <c r="D23" s="14">
        <f>SUMIFS(受注ログ!$C$4:$C$5000,受注ログ!$B$4:$B$5000,"&gt;="&amp;B23,受注ログ!$B$4:$B$5000,"&lt;="&amp;C23)</f>
        <v>177253</v>
      </c>
      <c r="E23" s="14">
        <f>SUMIFS(受注ログ!$D$4:$D$5000,受注ログ!$B$4:$B$5000,"&gt;="&amp;B23,受注ログ!$B$4:$B$5000,"&lt;="&amp;C23)</f>
        <v>263644</v>
      </c>
      <c r="F23" s="14">
        <f t="shared" si="1"/>
        <v>440897</v>
      </c>
      <c r="G23" s="14">
        <f>サマリー!$B$15</f>
        <v>500000</v>
      </c>
      <c r="H23" s="33">
        <f t="shared" si="2"/>
        <v>-59103</v>
      </c>
      <c r="I23" s="15">
        <f t="shared" si="3"/>
        <v>0.88179399999999997</v>
      </c>
      <c r="J23" s="15">
        <f>IFERROR(D23/サマリー!$B$7,0)</f>
        <v>0.70901199999999998</v>
      </c>
      <c r="K23" s="15">
        <f>IFERROR(E23/サマリー!$B$7,0)</f>
        <v>1.054576</v>
      </c>
    </row>
    <row r="24" spans="1:11">
      <c r="A24" s="13">
        <v>22</v>
      </c>
      <c r="B24" s="17">
        <f>サマリー!$B$14-WEEKDAY(サマリー!$B$14,2)+1+(22-1)*7</f>
        <v>46286</v>
      </c>
      <c r="C24" s="17">
        <f t="shared" si="0"/>
        <v>46292</v>
      </c>
      <c r="D24" s="14">
        <f>SUMIFS(受注ログ!$C$4:$C$5000,受注ログ!$B$4:$B$5000,"&gt;="&amp;B24,受注ログ!$B$4:$B$5000,"&lt;="&amp;C24)</f>
        <v>387801</v>
      </c>
      <c r="E24" s="14">
        <f>SUMIFS(受注ログ!$D$4:$D$5000,受注ログ!$B$4:$B$5000,"&gt;="&amp;B24,受注ログ!$B$4:$B$5000,"&lt;="&amp;C24)</f>
        <v>22829</v>
      </c>
      <c r="F24" s="14">
        <f t="shared" si="1"/>
        <v>410630</v>
      </c>
      <c r="G24" s="14">
        <f>サマリー!$B$15</f>
        <v>500000</v>
      </c>
      <c r="H24" s="33">
        <f t="shared" si="2"/>
        <v>-89370</v>
      </c>
      <c r="I24" s="15">
        <f t="shared" si="3"/>
        <v>0.82125999999999999</v>
      </c>
      <c r="J24" s="15">
        <f>IFERROR(D24/サマリー!$B$7,0)</f>
        <v>1.551204</v>
      </c>
      <c r="K24" s="15">
        <f>IFERROR(E24/サマリー!$B$7,0)</f>
        <v>9.1315999999999994E-2</v>
      </c>
    </row>
    <row r="25" spans="1:11">
      <c r="A25" s="13">
        <v>23</v>
      </c>
      <c r="B25" s="17">
        <f>サマリー!$B$14-WEEKDAY(サマリー!$B$14,2)+1+(23-1)*7</f>
        <v>46293</v>
      </c>
      <c r="C25" s="17">
        <f t="shared" si="0"/>
        <v>46299</v>
      </c>
      <c r="D25" s="14">
        <f>SUMIFS(受注ログ!$C$4:$C$5000,受注ログ!$B$4:$B$5000,"&gt;="&amp;B25,受注ログ!$B$4:$B$5000,"&lt;="&amp;C25)</f>
        <v>0</v>
      </c>
      <c r="E25" s="14">
        <f>SUMIFS(受注ログ!$D$4:$D$5000,受注ログ!$B$4:$B$5000,"&gt;="&amp;B25,受注ログ!$B$4:$B$5000,"&lt;="&amp;C25)</f>
        <v>0</v>
      </c>
      <c r="F25" s="14">
        <f t="shared" si="1"/>
        <v>0</v>
      </c>
      <c r="G25" s="14">
        <f>サマリー!$B$15</f>
        <v>500000</v>
      </c>
      <c r="H25" s="33">
        <f t="shared" si="2"/>
        <v>-500000</v>
      </c>
      <c r="I25" s="15">
        <f t="shared" si="3"/>
        <v>0</v>
      </c>
      <c r="J25" s="15">
        <f>IFERROR(D25/サマリー!$B$7,0)</f>
        <v>0</v>
      </c>
      <c r="K25" s="15">
        <f>IFERROR(E25/サマリー!$B$7,0)</f>
        <v>0</v>
      </c>
    </row>
    <row r="26" spans="1:11">
      <c r="A26" s="13">
        <v>24</v>
      </c>
      <c r="B26" s="17">
        <f>サマリー!$B$14-WEEKDAY(サマリー!$B$14,2)+1+(24-1)*7</f>
        <v>46300</v>
      </c>
      <c r="C26" s="17">
        <f t="shared" si="0"/>
        <v>46306</v>
      </c>
      <c r="D26" s="14">
        <f>SUMIFS(受注ログ!$C$4:$C$5000,受注ログ!$B$4:$B$5000,"&gt;="&amp;B26,受注ログ!$B$4:$B$5000,"&lt;="&amp;C26)</f>
        <v>0</v>
      </c>
      <c r="E26" s="14">
        <f>SUMIFS(受注ログ!$D$4:$D$5000,受注ログ!$B$4:$B$5000,"&gt;="&amp;B26,受注ログ!$B$4:$B$5000,"&lt;="&amp;C26)</f>
        <v>0</v>
      </c>
      <c r="F26" s="14">
        <f t="shared" si="1"/>
        <v>0</v>
      </c>
      <c r="G26" s="14">
        <f>サマリー!$B$15</f>
        <v>500000</v>
      </c>
      <c r="H26" s="33">
        <f t="shared" si="2"/>
        <v>-500000</v>
      </c>
      <c r="I26" s="15">
        <f t="shared" si="3"/>
        <v>0</v>
      </c>
      <c r="J26" s="15">
        <f>IFERROR(D26/サマリー!$B$7,0)</f>
        <v>0</v>
      </c>
      <c r="K26" s="15">
        <f>IFERROR(E26/サマリー!$B$7,0)</f>
        <v>0</v>
      </c>
    </row>
    <row r="27" spans="1:11">
      <c r="A27" s="13">
        <v>25</v>
      </c>
      <c r="B27" s="17">
        <f>サマリー!$B$14-WEEKDAY(サマリー!$B$14,2)+1+(25-1)*7</f>
        <v>46307</v>
      </c>
      <c r="C27" s="17">
        <f t="shared" si="0"/>
        <v>46313</v>
      </c>
      <c r="D27" s="14">
        <f>SUMIFS(受注ログ!$C$4:$C$5000,受注ログ!$B$4:$B$5000,"&gt;="&amp;B27,受注ログ!$B$4:$B$5000,"&lt;="&amp;C27)</f>
        <v>0</v>
      </c>
      <c r="E27" s="14">
        <f>SUMIFS(受注ログ!$D$4:$D$5000,受注ログ!$B$4:$B$5000,"&gt;="&amp;B27,受注ログ!$B$4:$B$5000,"&lt;="&amp;C27)</f>
        <v>0</v>
      </c>
      <c r="F27" s="14">
        <f t="shared" si="1"/>
        <v>0</v>
      </c>
      <c r="G27" s="14">
        <f>サマリー!$B$15</f>
        <v>500000</v>
      </c>
      <c r="H27" s="33">
        <f t="shared" si="2"/>
        <v>-500000</v>
      </c>
      <c r="I27" s="15">
        <f t="shared" si="3"/>
        <v>0</v>
      </c>
      <c r="J27" s="15">
        <f>IFERROR(D27/サマリー!$B$7,0)</f>
        <v>0</v>
      </c>
      <c r="K27" s="15">
        <f>IFERROR(E27/サマリー!$B$7,0)</f>
        <v>0</v>
      </c>
    </row>
    <row r="28" spans="1:11">
      <c r="A28" s="13">
        <v>26</v>
      </c>
      <c r="B28" s="17">
        <f>サマリー!$B$14-WEEKDAY(サマリー!$B$14,2)+1+(26-1)*7</f>
        <v>46314</v>
      </c>
      <c r="C28" s="17">
        <f t="shared" si="0"/>
        <v>46320</v>
      </c>
      <c r="D28" s="14">
        <f>SUMIFS(受注ログ!$C$4:$C$5000,受注ログ!$B$4:$B$5000,"&gt;="&amp;B28,受注ログ!$B$4:$B$5000,"&lt;="&amp;C28)</f>
        <v>0</v>
      </c>
      <c r="E28" s="14">
        <f>SUMIFS(受注ログ!$D$4:$D$5000,受注ログ!$B$4:$B$5000,"&gt;="&amp;B28,受注ログ!$B$4:$B$5000,"&lt;="&amp;C28)</f>
        <v>0</v>
      </c>
      <c r="F28" s="14">
        <f t="shared" si="1"/>
        <v>0</v>
      </c>
      <c r="G28" s="14">
        <f>サマリー!$B$15</f>
        <v>500000</v>
      </c>
      <c r="H28" s="33">
        <f t="shared" si="2"/>
        <v>-500000</v>
      </c>
      <c r="I28" s="15">
        <f t="shared" si="3"/>
        <v>0</v>
      </c>
      <c r="J28" s="15">
        <f>IFERROR(D28/サマリー!$B$7,0)</f>
        <v>0</v>
      </c>
      <c r="K28" s="15">
        <f>IFERROR(E28/サマリー!$B$7,0)</f>
        <v>0</v>
      </c>
    </row>
    <row r="29" spans="1:11">
      <c r="A29" s="13">
        <v>27</v>
      </c>
      <c r="B29" s="17">
        <f>サマリー!$B$14-WEEKDAY(サマリー!$B$14,2)+1+(27-1)*7</f>
        <v>46321</v>
      </c>
      <c r="C29" s="17">
        <f t="shared" si="0"/>
        <v>46327</v>
      </c>
      <c r="D29" s="14">
        <f>SUMIFS(受注ログ!$C$4:$C$5000,受注ログ!$B$4:$B$5000,"&gt;="&amp;B29,受注ログ!$B$4:$B$5000,"&lt;="&amp;C29)</f>
        <v>0</v>
      </c>
      <c r="E29" s="14">
        <f>SUMIFS(受注ログ!$D$4:$D$5000,受注ログ!$B$4:$B$5000,"&gt;="&amp;B29,受注ログ!$B$4:$B$5000,"&lt;="&amp;C29)</f>
        <v>0</v>
      </c>
      <c r="F29" s="14">
        <f t="shared" si="1"/>
        <v>0</v>
      </c>
      <c r="G29" s="14">
        <f>サマリー!$B$15</f>
        <v>500000</v>
      </c>
      <c r="H29" s="33">
        <f t="shared" si="2"/>
        <v>-500000</v>
      </c>
      <c r="I29" s="15">
        <f t="shared" si="3"/>
        <v>0</v>
      </c>
      <c r="J29" s="15">
        <f>IFERROR(D29/サマリー!$B$7,0)</f>
        <v>0</v>
      </c>
      <c r="K29" s="15">
        <f>IFERROR(E29/サマリー!$B$7,0)</f>
        <v>0</v>
      </c>
    </row>
    <row r="30" spans="1:11">
      <c r="A30" s="13">
        <v>28</v>
      </c>
      <c r="B30" s="17">
        <f>サマリー!$B$14-WEEKDAY(サマリー!$B$14,2)+1+(28-1)*7</f>
        <v>46328</v>
      </c>
      <c r="C30" s="17">
        <f t="shared" si="0"/>
        <v>46334</v>
      </c>
      <c r="D30" s="14">
        <f>SUMIFS(受注ログ!$C$4:$C$5000,受注ログ!$B$4:$B$5000,"&gt;="&amp;B30,受注ログ!$B$4:$B$5000,"&lt;="&amp;C30)</f>
        <v>0</v>
      </c>
      <c r="E30" s="14">
        <f>SUMIFS(受注ログ!$D$4:$D$5000,受注ログ!$B$4:$B$5000,"&gt;="&amp;B30,受注ログ!$B$4:$B$5000,"&lt;="&amp;C30)</f>
        <v>0</v>
      </c>
      <c r="F30" s="14">
        <f t="shared" si="1"/>
        <v>0</v>
      </c>
      <c r="G30" s="14">
        <f>サマリー!$B$15</f>
        <v>500000</v>
      </c>
      <c r="H30" s="33">
        <f t="shared" si="2"/>
        <v>-500000</v>
      </c>
      <c r="I30" s="15">
        <f t="shared" si="3"/>
        <v>0</v>
      </c>
      <c r="J30" s="15">
        <f>IFERROR(D30/サマリー!$B$7,0)</f>
        <v>0</v>
      </c>
      <c r="K30" s="15">
        <f>IFERROR(E30/サマリー!$B$7,0)</f>
        <v>0</v>
      </c>
    </row>
    <row r="31" spans="1:11">
      <c r="A31" s="13">
        <v>29</v>
      </c>
      <c r="B31" s="17">
        <f>サマリー!$B$14-WEEKDAY(サマリー!$B$14,2)+1+(29-1)*7</f>
        <v>46335</v>
      </c>
      <c r="C31" s="17">
        <f t="shared" si="0"/>
        <v>46341</v>
      </c>
      <c r="D31" s="14">
        <f>SUMIFS(受注ログ!$C$4:$C$5000,受注ログ!$B$4:$B$5000,"&gt;="&amp;B31,受注ログ!$B$4:$B$5000,"&lt;="&amp;C31)</f>
        <v>0</v>
      </c>
      <c r="E31" s="14">
        <f>SUMIFS(受注ログ!$D$4:$D$5000,受注ログ!$B$4:$B$5000,"&gt;="&amp;B31,受注ログ!$B$4:$B$5000,"&lt;="&amp;C31)</f>
        <v>0</v>
      </c>
      <c r="F31" s="14">
        <f t="shared" si="1"/>
        <v>0</v>
      </c>
      <c r="G31" s="14">
        <f>サマリー!$B$15</f>
        <v>500000</v>
      </c>
      <c r="H31" s="33">
        <f t="shared" si="2"/>
        <v>-500000</v>
      </c>
      <c r="I31" s="15">
        <f t="shared" si="3"/>
        <v>0</v>
      </c>
      <c r="J31" s="15">
        <f>IFERROR(D31/サマリー!$B$7,0)</f>
        <v>0</v>
      </c>
      <c r="K31" s="15">
        <f>IFERROR(E31/サマリー!$B$7,0)</f>
        <v>0</v>
      </c>
    </row>
    <row r="32" spans="1:11">
      <c r="A32" s="13">
        <v>30</v>
      </c>
      <c r="B32" s="17">
        <f>サマリー!$B$14-WEEKDAY(サマリー!$B$14,2)+1+(30-1)*7</f>
        <v>46342</v>
      </c>
      <c r="C32" s="17">
        <f t="shared" si="0"/>
        <v>46348</v>
      </c>
      <c r="D32" s="14">
        <f>SUMIFS(受注ログ!$C$4:$C$5000,受注ログ!$B$4:$B$5000,"&gt;="&amp;B32,受注ログ!$B$4:$B$5000,"&lt;="&amp;C32)</f>
        <v>0</v>
      </c>
      <c r="E32" s="14">
        <f>SUMIFS(受注ログ!$D$4:$D$5000,受注ログ!$B$4:$B$5000,"&gt;="&amp;B32,受注ログ!$B$4:$B$5000,"&lt;="&amp;C32)</f>
        <v>0</v>
      </c>
      <c r="F32" s="14">
        <f t="shared" si="1"/>
        <v>0</v>
      </c>
      <c r="G32" s="14">
        <f>サマリー!$B$15</f>
        <v>500000</v>
      </c>
      <c r="H32" s="33">
        <f t="shared" si="2"/>
        <v>-500000</v>
      </c>
      <c r="I32" s="15">
        <f t="shared" si="3"/>
        <v>0</v>
      </c>
      <c r="J32" s="15">
        <f>IFERROR(D32/サマリー!$B$7,0)</f>
        <v>0</v>
      </c>
      <c r="K32" s="15">
        <f>IFERROR(E32/サマリー!$B$7,0)</f>
        <v>0</v>
      </c>
    </row>
    <row r="33" spans="1:11">
      <c r="A33" s="13">
        <v>31</v>
      </c>
      <c r="B33" s="17">
        <f>サマリー!$B$14-WEEKDAY(サマリー!$B$14,2)+1+(31-1)*7</f>
        <v>46349</v>
      </c>
      <c r="C33" s="17">
        <f t="shared" si="0"/>
        <v>46355</v>
      </c>
      <c r="D33" s="14">
        <f>SUMIFS(受注ログ!$C$4:$C$5000,受注ログ!$B$4:$B$5000,"&gt;="&amp;B33,受注ログ!$B$4:$B$5000,"&lt;="&amp;C33)</f>
        <v>0</v>
      </c>
      <c r="E33" s="14">
        <f>SUMIFS(受注ログ!$D$4:$D$5000,受注ログ!$B$4:$B$5000,"&gt;="&amp;B33,受注ログ!$B$4:$B$5000,"&lt;="&amp;C33)</f>
        <v>0</v>
      </c>
      <c r="F33" s="14">
        <f t="shared" si="1"/>
        <v>0</v>
      </c>
      <c r="G33" s="14">
        <f>サマリー!$B$15</f>
        <v>500000</v>
      </c>
      <c r="H33" s="33">
        <f t="shared" si="2"/>
        <v>-500000</v>
      </c>
      <c r="I33" s="15">
        <f t="shared" si="3"/>
        <v>0</v>
      </c>
      <c r="J33" s="15">
        <f>IFERROR(D33/サマリー!$B$7,0)</f>
        <v>0</v>
      </c>
      <c r="K33" s="15">
        <f>IFERROR(E33/サマリー!$B$7,0)</f>
        <v>0</v>
      </c>
    </row>
    <row r="34" spans="1:11">
      <c r="A34" s="13">
        <v>32</v>
      </c>
      <c r="B34" s="17">
        <f>サマリー!$B$14-WEEKDAY(サマリー!$B$14,2)+1+(32-1)*7</f>
        <v>46356</v>
      </c>
      <c r="C34" s="17">
        <f t="shared" si="0"/>
        <v>46362</v>
      </c>
      <c r="D34" s="14">
        <f>SUMIFS(受注ログ!$C$4:$C$5000,受注ログ!$B$4:$B$5000,"&gt;="&amp;B34,受注ログ!$B$4:$B$5000,"&lt;="&amp;C34)</f>
        <v>0</v>
      </c>
      <c r="E34" s="14">
        <f>SUMIFS(受注ログ!$D$4:$D$5000,受注ログ!$B$4:$B$5000,"&gt;="&amp;B34,受注ログ!$B$4:$B$5000,"&lt;="&amp;C34)</f>
        <v>0</v>
      </c>
      <c r="F34" s="14">
        <f t="shared" si="1"/>
        <v>0</v>
      </c>
      <c r="G34" s="14">
        <f>サマリー!$B$15</f>
        <v>500000</v>
      </c>
      <c r="H34" s="33">
        <f t="shared" si="2"/>
        <v>-500000</v>
      </c>
      <c r="I34" s="15">
        <f t="shared" si="3"/>
        <v>0</v>
      </c>
      <c r="J34" s="15">
        <f>IFERROR(D34/サマリー!$B$7,0)</f>
        <v>0</v>
      </c>
      <c r="K34" s="15">
        <f>IFERROR(E34/サマリー!$B$7,0)</f>
        <v>0</v>
      </c>
    </row>
    <row r="35" spans="1:11">
      <c r="A35" s="13">
        <v>33</v>
      </c>
      <c r="B35" s="17">
        <f>サマリー!$B$14-WEEKDAY(サマリー!$B$14,2)+1+(33-1)*7</f>
        <v>46363</v>
      </c>
      <c r="C35" s="17">
        <f t="shared" ref="C35:C56" si="4">B35+6</f>
        <v>46369</v>
      </c>
      <c r="D35" s="14">
        <f>SUMIFS(受注ログ!$C$4:$C$5000,受注ログ!$B$4:$B$5000,"&gt;="&amp;B35,受注ログ!$B$4:$B$5000,"&lt;="&amp;C35)</f>
        <v>0</v>
      </c>
      <c r="E35" s="14">
        <f>SUMIFS(受注ログ!$D$4:$D$5000,受注ログ!$B$4:$B$5000,"&gt;="&amp;B35,受注ログ!$B$4:$B$5000,"&lt;="&amp;C35)</f>
        <v>0</v>
      </c>
      <c r="F35" s="14">
        <f t="shared" ref="F35:F56" si="5">D35+E35</f>
        <v>0</v>
      </c>
      <c r="G35" s="14">
        <f>サマリー!$B$15</f>
        <v>500000</v>
      </c>
      <c r="H35" s="33">
        <f t="shared" ref="H35:H56" si="6">F35-G35</f>
        <v>-500000</v>
      </c>
      <c r="I35" s="15">
        <f t="shared" ref="I35:I56" si="7">IFERROR(F35/G35,0)</f>
        <v>0</v>
      </c>
      <c r="J35" s="15">
        <f>IFERROR(D35/サマリー!$B$7,0)</f>
        <v>0</v>
      </c>
      <c r="K35" s="15">
        <f>IFERROR(E35/サマリー!$B$7,0)</f>
        <v>0</v>
      </c>
    </row>
    <row r="36" spans="1:11">
      <c r="A36" s="13">
        <v>34</v>
      </c>
      <c r="B36" s="17">
        <f>サマリー!$B$14-WEEKDAY(サマリー!$B$14,2)+1+(34-1)*7</f>
        <v>46370</v>
      </c>
      <c r="C36" s="17">
        <f t="shared" si="4"/>
        <v>46376</v>
      </c>
      <c r="D36" s="14">
        <f>SUMIFS(受注ログ!$C$4:$C$5000,受注ログ!$B$4:$B$5000,"&gt;="&amp;B36,受注ログ!$B$4:$B$5000,"&lt;="&amp;C36)</f>
        <v>0</v>
      </c>
      <c r="E36" s="14">
        <f>SUMIFS(受注ログ!$D$4:$D$5000,受注ログ!$B$4:$B$5000,"&gt;="&amp;B36,受注ログ!$B$4:$B$5000,"&lt;="&amp;C36)</f>
        <v>0</v>
      </c>
      <c r="F36" s="14">
        <f t="shared" si="5"/>
        <v>0</v>
      </c>
      <c r="G36" s="14">
        <f>サマリー!$B$15</f>
        <v>500000</v>
      </c>
      <c r="H36" s="33">
        <f t="shared" si="6"/>
        <v>-500000</v>
      </c>
      <c r="I36" s="15">
        <f t="shared" si="7"/>
        <v>0</v>
      </c>
      <c r="J36" s="15">
        <f>IFERROR(D36/サマリー!$B$7,0)</f>
        <v>0</v>
      </c>
      <c r="K36" s="15">
        <f>IFERROR(E36/サマリー!$B$7,0)</f>
        <v>0</v>
      </c>
    </row>
    <row r="37" spans="1:11">
      <c r="A37" s="13">
        <v>35</v>
      </c>
      <c r="B37" s="17">
        <f>サマリー!$B$14-WEEKDAY(サマリー!$B$14,2)+1+(35-1)*7</f>
        <v>46377</v>
      </c>
      <c r="C37" s="17">
        <f t="shared" si="4"/>
        <v>46383</v>
      </c>
      <c r="D37" s="14">
        <f>SUMIFS(受注ログ!$C$4:$C$5000,受注ログ!$B$4:$B$5000,"&gt;="&amp;B37,受注ログ!$B$4:$B$5000,"&lt;="&amp;C37)</f>
        <v>0</v>
      </c>
      <c r="E37" s="14">
        <f>SUMIFS(受注ログ!$D$4:$D$5000,受注ログ!$B$4:$B$5000,"&gt;="&amp;B37,受注ログ!$B$4:$B$5000,"&lt;="&amp;C37)</f>
        <v>0</v>
      </c>
      <c r="F37" s="14">
        <f t="shared" si="5"/>
        <v>0</v>
      </c>
      <c r="G37" s="14">
        <f>サマリー!$B$15</f>
        <v>500000</v>
      </c>
      <c r="H37" s="33">
        <f t="shared" si="6"/>
        <v>-500000</v>
      </c>
      <c r="I37" s="15">
        <f t="shared" si="7"/>
        <v>0</v>
      </c>
      <c r="J37" s="15">
        <f>IFERROR(D37/サマリー!$B$7,0)</f>
        <v>0</v>
      </c>
      <c r="K37" s="15">
        <f>IFERROR(E37/サマリー!$B$7,0)</f>
        <v>0</v>
      </c>
    </row>
    <row r="38" spans="1:11">
      <c r="A38" s="13">
        <v>36</v>
      </c>
      <c r="B38" s="17">
        <f>サマリー!$B$14-WEEKDAY(サマリー!$B$14,2)+1+(36-1)*7</f>
        <v>46384</v>
      </c>
      <c r="C38" s="17">
        <f t="shared" si="4"/>
        <v>46390</v>
      </c>
      <c r="D38" s="14">
        <f>SUMIFS(受注ログ!$C$4:$C$5000,受注ログ!$B$4:$B$5000,"&gt;="&amp;B38,受注ログ!$B$4:$B$5000,"&lt;="&amp;C38)</f>
        <v>0</v>
      </c>
      <c r="E38" s="14">
        <f>SUMIFS(受注ログ!$D$4:$D$5000,受注ログ!$B$4:$B$5000,"&gt;="&amp;B38,受注ログ!$B$4:$B$5000,"&lt;="&amp;C38)</f>
        <v>0</v>
      </c>
      <c r="F38" s="14">
        <f t="shared" si="5"/>
        <v>0</v>
      </c>
      <c r="G38" s="14">
        <f>サマリー!$B$15</f>
        <v>500000</v>
      </c>
      <c r="H38" s="33">
        <f t="shared" si="6"/>
        <v>-500000</v>
      </c>
      <c r="I38" s="15">
        <f t="shared" si="7"/>
        <v>0</v>
      </c>
      <c r="J38" s="15">
        <f>IFERROR(D38/サマリー!$B$7,0)</f>
        <v>0</v>
      </c>
      <c r="K38" s="15">
        <f>IFERROR(E38/サマリー!$B$7,0)</f>
        <v>0</v>
      </c>
    </row>
    <row r="39" spans="1:11">
      <c r="A39" s="13">
        <v>37</v>
      </c>
      <c r="B39" s="17">
        <f>サマリー!$B$14-WEEKDAY(サマリー!$B$14,2)+1+(37-1)*7</f>
        <v>46391</v>
      </c>
      <c r="C39" s="17">
        <f t="shared" si="4"/>
        <v>46397</v>
      </c>
      <c r="D39" s="14">
        <f>SUMIFS(受注ログ!$C$4:$C$5000,受注ログ!$B$4:$B$5000,"&gt;="&amp;B39,受注ログ!$B$4:$B$5000,"&lt;="&amp;C39)</f>
        <v>0</v>
      </c>
      <c r="E39" s="14">
        <f>SUMIFS(受注ログ!$D$4:$D$5000,受注ログ!$B$4:$B$5000,"&gt;="&amp;B39,受注ログ!$B$4:$B$5000,"&lt;="&amp;C39)</f>
        <v>0</v>
      </c>
      <c r="F39" s="14">
        <f t="shared" si="5"/>
        <v>0</v>
      </c>
      <c r="G39" s="14">
        <f>サマリー!$B$15</f>
        <v>500000</v>
      </c>
      <c r="H39" s="33">
        <f t="shared" si="6"/>
        <v>-500000</v>
      </c>
      <c r="I39" s="15">
        <f t="shared" si="7"/>
        <v>0</v>
      </c>
      <c r="J39" s="15">
        <f>IFERROR(D39/サマリー!$B$7,0)</f>
        <v>0</v>
      </c>
      <c r="K39" s="15">
        <f>IFERROR(E39/サマリー!$B$7,0)</f>
        <v>0</v>
      </c>
    </row>
    <row r="40" spans="1:11">
      <c r="A40" s="13">
        <v>38</v>
      </c>
      <c r="B40" s="17">
        <f>サマリー!$B$14-WEEKDAY(サマリー!$B$14,2)+1+(38-1)*7</f>
        <v>46398</v>
      </c>
      <c r="C40" s="17">
        <f t="shared" si="4"/>
        <v>46404</v>
      </c>
      <c r="D40" s="14">
        <f>SUMIFS(受注ログ!$C$4:$C$5000,受注ログ!$B$4:$B$5000,"&gt;="&amp;B40,受注ログ!$B$4:$B$5000,"&lt;="&amp;C40)</f>
        <v>0</v>
      </c>
      <c r="E40" s="14">
        <f>SUMIFS(受注ログ!$D$4:$D$5000,受注ログ!$B$4:$B$5000,"&gt;="&amp;B40,受注ログ!$B$4:$B$5000,"&lt;="&amp;C40)</f>
        <v>0</v>
      </c>
      <c r="F40" s="14">
        <f t="shared" si="5"/>
        <v>0</v>
      </c>
      <c r="G40" s="14">
        <f>サマリー!$B$15</f>
        <v>500000</v>
      </c>
      <c r="H40" s="33">
        <f t="shared" si="6"/>
        <v>-500000</v>
      </c>
      <c r="I40" s="15">
        <f t="shared" si="7"/>
        <v>0</v>
      </c>
      <c r="J40" s="15">
        <f>IFERROR(D40/サマリー!$B$7,0)</f>
        <v>0</v>
      </c>
      <c r="K40" s="15">
        <f>IFERROR(E40/サマリー!$B$7,0)</f>
        <v>0</v>
      </c>
    </row>
    <row r="41" spans="1:11">
      <c r="A41" s="13">
        <v>39</v>
      </c>
      <c r="B41" s="17">
        <f>サマリー!$B$14-WEEKDAY(サマリー!$B$14,2)+1+(39-1)*7</f>
        <v>46405</v>
      </c>
      <c r="C41" s="17">
        <f t="shared" si="4"/>
        <v>46411</v>
      </c>
      <c r="D41" s="14">
        <f>SUMIFS(受注ログ!$C$4:$C$5000,受注ログ!$B$4:$B$5000,"&gt;="&amp;B41,受注ログ!$B$4:$B$5000,"&lt;="&amp;C41)</f>
        <v>0</v>
      </c>
      <c r="E41" s="14">
        <f>SUMIFS(受注ログ!$D$4:$D$5000,受注ログ!$B$4:$B$5000,"&gt;="&amp;B41,受注ログ!$B$4:$B$5000,"&lt;="&amp;C41)</f>
        <v>0</v>
      </c>
      <c r="F41" s="14">
        <f t="shared" si="5"/>
        <v>0</v>
      </c>
      <c r="G41" s="14">
        <f>サマリー!$B$15</f>
        <v>500000</v>
      </c>
      <c r="H41" s="33">
        <f t="shared" si="6"/>
        <v>-500000</v>
      </c>
      <c r="I41" s="15">
        <f t="shared" si="7"/>
        <v>0</v>
      </c>
      <c r="J41" s="15">
        <f>IFERROR(D41/サマリー!$B$7,0)</f>
        <v>0</v>
      </c>
      <c r="K41" s="15">
        <f>IFERROR(E41/サマリー!$B$7,0)</f>
        <v>0</v>
      </c>
    </row>
    <row r="42" spans="1:11">
      <c r="A42" s="13">
        <v>40</v>
      </c>
      <c r="B42" s="17">
        <f>サマリー!$B$14-WEEKDAY(サマリー!$B$14,2)+1+(40-1)*7</f>
        <v>46412</v>
      </c>
      <c r="C42" s="17">
        <f t="shared" si="4"/>
        <v>46418</v>
      </c>
      <c r="D42" s="14">
        <f>SUMIFS(受注ログ!$C$4:$C$5000,受注ログ!$B$4:$B$5000,"&gt;="&amp;B42,受注ログ!$B$4:$B$5000,"&lt;="&amp;C42)</f>
        <v>0</v>
      </c>
      <c r="E42" s="14">
        <f>SUMIFS(受注ログ!$D$4:$D$5000,受注ログ!$B$4:$B$5000,"&gt;="&amp;B42,受注ログ!$B$4:$B$5000,"&lt;="&amp;C42)</f>
        <v>0</v>
      </c>
      <c r="F42" s="14">
        <f t="shared" si="5"/>
        <v>0</v>
      </c>
      <c r="G42" s="14">
        <f>サマリー!$B$15</f>
        <v>500000</v>
      </c>
      <c r="H42" s="33">
        <f t="shared" si="6"/>
        <v>-500000</v>
      </c>
      <c r="I42" s="15">
        <f t="shared" si="7"/>
        <v>0</v>
      </c>
      <c r="J42" s="15">
        <f>IFERROR(D42/サマリー!$B$7,0)</f>
        <v>0</v>
      </c>
      <c r="K42" s="15">
        <f>IFERROR(E42/サマリー!$B$7,0)</f>
        <v>0</v>
      </c>
    </row>
    <row r="43" spans="1:11">
      <c r="A43" s="13">
        <v>41</v>
      </c>
      <c r="B43" s="17">
        <f>サマリー!$B$14-WEEKDAY(サマリー!$B$14,2)+1+(41-1)*7</f>
        <v>46419</v>
      </c>
      <c r="C43" s="17">
        <f t="shared" si="4"/>
        <v>46425</v>
      </c>
      <c r="D43" s="14">
        <f>SUMIFS(受注ログ!$C$4:$C$5000,受注ログ!$B$4:$B$5000,"&gt;="&amp;B43,受注ログ!$B$4:$B$5000,"&lt;="&amp;C43)</f>
        <v>0</v>
      </c>
      <c r="E43" s="14">
        <f>SUMIFS(受注ログ!$D$4:$D$5000,受注ログ!$B$4:$B$5000,"&gt;="&amp;B43,受注ログ!$B$4:$B$5000,"&lt;="&amp;C43)</f>
        <v>0</v>
      </c>
      <c r="F43" s="14">
        <f t="shared" si="5"/>
        <v>0</v>
      </c>
      <c r="G43" s="14">
        <f>サマリー!$B$15</f>
        <v>500000</v>
      </c>
      <c r="H43" s="33">
        <f t="shared" si="6"/>
        <v>-500000</v>
      </c>
      <c r="I43" s="15">
        <f t="shared" si="7"/>
        <v>0</v>
      </c>
      <c r="J43" s="15">
        <f>IFERROR(D43/サマリー!$B$7,0)</f>
        <v>0</v>
      </c>
      <c r="K43" s="15">
        <f>IFERROR(E43/サマリー!$B$7,0)</f>
        <v>0</v>
      </c>
    </row>
    <row r="44" spans="1:11">
      <c r="A44" s="13">
        <v>42</v>
      </c>
      <c r="B44" s="17">
        <f>サマリー!$B$14-WEEKDAY(サマリー!$B$14,2)+1+(42-1)*7</f>
        <v>46426</v>
      </c>
      <c r="C44" s="17">
        <f t="shared" si="4"/>
        <v>46432</v>
      </c>
      <c r="D44" s="14">
        <f>SUMIFS(受注ログ!$C$4:$C$5000,受注ログ!$B$4:$B$5000,"&gt;="&amp;B44,受注ログ!$B$4:$B$5000,"&lt;="&amp;C44)</f>
        <v>0</v>
      </c>
      <c r="E44" s="14">
        <f>SUMIFS(受注ログ!$D$4:$D$5000,受注ログ!$B$4:$B$5000,"&gt;="&amp;B44,受注ログ!$B$4:$B$5000,"&lt;="&amp;C44)</f>
        <v>0</v>
      </c>
      <c r="F44" s="14">
        <f t="shared" si="5"/>
        <v>0</v>
      </c>
      <c r="G44" s="14">
        <f>サマリー!$B$15</f>
        <v>500000</v>
      </c>
      <c r="H44" s="33">
        <f t="shared" si="6"/>
        <v>-500000</v>
      </c>
      <c r="I44" s="15">
        <f t="shared" si="7"/>
        <v>0</v>
      </c>
      <c r="J44" s="15">
        <f>IFERROR(D44/サマリー!$B$7,0)</f>
        <v>0</v>
      </c>
      <c r="K44" s="15">
        <f>IFERROR(E44/サマリー!$B$7,0)</f>
        <v>0</v>
      </c>
    </row>
    <row r="45" spans="1:11">
      <c r="A45" s="13">
        <v>43</v>
      </c>
      <c r="B45" s="17">
        <f>サマリー!$B$14-WEEKDAY(サマリー!$B$14,2)+1+(43-1)*7</f>
        <v>46433</v>
      </c>
      <c r="C45" s="17">
        <f t="shared" si="4"/>
        <v>46439</v>
      </c>
      <c r="D45" s="14">
        <f>SUMIFS(受注ログ!$C$4:$C$5000,受注ログ!$B$4:$B$5000,"&gt;="&amp;B45,受注ログ!$B$4:$B$5000,"&lt;="&amp;C45)</f>
        <v>0</v>
      </c>
      <c r="E45" s="14">
        <f>SUMIFS(受注ログ!$D$4:$D$5000,受注ログ!$B$4:$B$5000,"&gt;="&amp;B45,受注ログ!$B$4:$B$5000,"&lt;="&amp;C45)</f>
        <v>0</v>
      </c>
      <c r="F45" s="14">
        <f t="shared" si="5"/>
        <v>0</v>
      </c>
      <c r="G45" s="14">
        <f>サマリー!$B$15</f>
        <v>500000</v>
      </c>
      <c r="H45" s="33">
        <f t="shared" si="6"/>
        <v>-500000</v>
      </c>
      <c r="I45" s="15">
        <f t="shared" si="7"/>
        <v>0</v>
      </c>
      <c r="J45" s="15">
        <f>IFERROR(D45/サマリー!$B$7,0)</f>
        <v>0</v>
      </c>
      <c r="K45" s="15">
        <f>IFERROR(E45/サマリー!$B$7,0)</f>
        <v>0</v>
      </c>
    </row>
    <row r="46" spans="1:11">
      <c r="A46" s="13">
        <v>44</v>
      </c>
      <c r="B46" s="17">
        <f>サマリー!$B$14-WEEKDAY(サマリー!$B$14,2)+1+(44-1)*7</f>
        <v>46440</v>
      </c>
      <c r="C46" s="17">
        <f t="shared" si="4"/>
        <v>46446</v>
      </c>
      <c r="D46" s="14">
        <f>SUMIFS(受注ログ!$C$4:$C$5000,受注ログ!$B$4:$B$5000,"&gt;="&amp;B46,受注ログ!$B$4:$B$5000,"&lt;="&amp;C46)</f>
        <v>0</v>
      </c>
      <c r="E46" s="14">
        <f>SUMIFS(受注ログ!$D$4:$D$5000,受注ログ!$B$4:$B$5000,"&gt;="&amp;B46,受注ログ!$B$4:$B$5000,"&lt;="&amp;C46)</f>
        <v>0</v>
      </c>
      <c r="F46" s="14">
        <f t="shared" si="5"/>
        <v>0</v>
      </c>
      <c r="G46" s="14">
        <f>サマリー!$B$15</f>
        <v>500000</v>
      </c>
      <c r="H46" s="33">
        <f t="shared" si="6"/>
        <v>-500000</v>
      </c>
      <c r="I46" s="15">
        <f t="shared" si="7"/>
        <v>0</v>
      </c>
      <c r="J46" s="15">
        <f>IFERROR(D46/サマリー!$B$7,0)</f>
        <v>0</v>
      </c>
      <c r="K46" s="15">
        <f>IFERROR(E46/サマリー!$B$7,0)</f>
        <v>0</v>
      </c>
    </row>
    <row r="47" spans="1:11">
      <c r="A47" s="13">
        <v>45</v>
      </c>
      <c r="B47" s="17">
        <f>サマリー!$B$14-WEEKDAY(サマリー!$B$14,2)+1+(45-1)*7</f>
        <v>46447</v>
      </c>
      <c r="C47" s="17">
        <f t="shared" si="4"/>
        <v>46453</v>
      </c>
      <c r="D47" s="14">
        <f>SUMIFS(受注ログ!$C$4:$C$5000,受注ログ!$B$4:$B$5000,"&gt;="&amp;B47,受注ログ!$B$4:$B$5000,"&lt;="&amp;C47)</f>
        <v>0</v>
      </c>
      <c r="E47" s="14">
        <f>SUMIFS(受注ログ!$D$4:$D$5000,受注ログ!$B$4:$B$5000,"&gt;="&amp;B47,受注ログ!$B$4:$B$5000,"&lt;="&amp;C47)</f>
        <v>0</v>
      </c>
      <c r="F47" s="14">
        <f t="shared" si="5"/>
        <v>0</v>
      </c>
      <c r="G47" s="14">
        <f>サマリー!$B$15</f>
        <v>500000</v>
      </c>
      <c r="H47" s="33">
        <f t="shared" si="6"/>
        <v>-500000</v>
      </c>
      <c r="I47" s="15">
        <f t="shared" si="7"/>
        <v>0</v>
      </c>
      <c r="J47" s="15">
        <f>IFERROR(D47/サマリー!$B$7,0)</f>
        <v>0</v>
      </c>
      <c r="K47" s="15">
        <f>IFERROR(E47/サマリー!$B$7,0)</f>
        <v>0</v>
      </c>
    </row>
    <row r="48" spans="1:11">
      <c r="A48" s="13">
        <v>46</v>
      </c>
      <c r="B48" s="17">
        <f>サマリー!$B$14-WEEKDAY(サマリー!$B$14,2)+1+(46-1)*7</f>
        <v>46454</v>
      </c>
      <c r="C48" s="17">
        <f t="shared" si="4"/>
        <v>46460</v>
      </c>
      <c r="D48" s="14">
        <f>SUMIFS(受注ログ!$C$4:$C$5000,受注ログ!$B$4:$B$5000,"&gt;="&amp;B48,受注ログ!$B$4:$B$5000,"&lt;="&amp;C48)</f>
        <v>0</v>
      </c>
      <c r="E48" s="14">
        <f>SUMIFS(受注ログ!$D$4:$D$5000,受注ログ!$B$4:$B$5000,"&gt;="&amp;B48,受注ログ!$B$4:$B$5000,"&lt;="&amp;C48)</f>
        <v>0</v>
      </c>
      <c r="F48" s="14">
        <f t="shared" si="5"/>
        <v>0</v>
      </c>
      <c r="G48" s="14">
        <f>サマリー!$B$15</f>
        <v>500000</v>
      </c>
      <c r="H48" s="33">
        <f t="shared" si="6"/>
        <v>-500000</v>
      </c>
      <c r="I48" s="15">
        <f t="shared" si="7"/>
        <v>0</v>
      </c>
      <c r="J48" s="15">
        <f>IFERROR(D48/サマリー!$B$7,0)</f>
        <v>0</v>
      </c>
      <c r="K48" s="15">
        <f>IFERROR(E48/サマリー!$B$7,0)</f>
        <v>0</v>
      </c>
    </row>
    <row r="49" spans="1:11">
      <c r="A49" s="13">
        <v>47</v>
      </c>
      <c r="B49" s="17">
        <f>サマリー!$B$14-WEEKDAY(サマリー!$B$14,2)+1+(47-1)*7</f>
        <v>46461</v>
      </c>
      <c r="C49" s="17">
        <f t="shared" si="4"/>
        <v>46467</v>
      </c>
      <c r="D49" s="14">
        <f>SUMIFS(受注ログ!$C$4:$C$5000,受注ログ!$B$4:$B$5000,"&gt;="&amp;B49,受注ログ!$B$4:$B$5000,"&lt;="&amp;C49)</f>
        <v>0</v>
      </c>
      <c r="E49" s="14">
        <f>SUMIFS(受注ログ!$D$4:$D$5000,受注ログ!$B$4:$B$5000,"&gt;="&amp;B49,受注ログ!$B$4:$B$5000,"&lt;="&amp;C49)</f>
        <v>0</v>
      </c>
      <c r="F49" s="14">
        <f t="shared" si="5"/>
        <v>0</v>
      </c>
      <c r="G49" s="14">
        <f>サマリー!$B$15</f>
        <v>500000</v>
      </c>
      <c r="H49" s="33">
        <f t="shared" si="6"/>
        <v>-500000</v>
      </c>
      <c r="I49" s="15">
        <f t="shared" si="7"/>
        <v>0</v>
      </c>
      <c r="J49" s="15">
        <f>IFERROR(D49/サマリー!$B$7,0)</f>
        <v>0</v>
      </c>
      <c r="K49" s="15">
        <f>IFERROR(E49/サマリー!$B$7,0)</f>
        <v>0</v>
      </c>
    </row>
    <row r="50" spans="1:11">
      <c r="A50" s="13">
        <v>48</v>
      </c>
      <c r="B50" s="17">
        <f>サマリー!$B$14-WEEKDAY(サマリー!$B$14,2)+1+(48-1)*7</f>
        <v>46468</v>
      </c>
      <c r="C50" s="17">
        <f t="shared" si="4"/>
        <v>46474</v>
      </c>
      <c r="D50" s="14">
        <f>SUMIFS(受注ログ!$C$4:$C$5000,受注ログ!$B$4:$B$5000,"&gt;="&amp;B50,受注ログ!$B$4:$B$5000,"&lt;="&amp;C50)</f>
        <v>0</v>
      </c>
      <c r="E50" s="14">
        <f>SUMIFS(受注ログ!$D$4:$D$5000,受注ログ!$B$4:$B$5000,"&gt;="&amp;B50,受注ログ!$B$4:$B$5000,"&lt;="&amp;C50)</f>
        <v>0</v>
      </c>
      <c r="F50" s="14">
        <f t="shared" si="5"/>
        <v>0</v>
      </c>
      <c r="G50" s="14">
        <f>サマリー!$B$15</f>
        <v>500000</v>
      </c>
      <c r="H50" s="33">
        <f t="shared" si="6"/>
        <v>-500000</v>
      </c>
      <c r="I50" s="15">
        <f t="shared" si="7"/>
        <v>0</v>
      </c>
      <c r="J50" s="15">
        <f>IFERROR(D50/サマリー!$B$7,0)</f>
        <v>0</v>
      </c>
      <c r="K50" s="15">
        <f>IFERROR(E50/サマリー!$B$7,0)</f>
        <v>0</v>
      </c>
    </row>
    <row r="51" spans="1:11">
      <c r="A51" s="13">
        <v>49</v>
      </c>
      <c r="B51" s="17">
        <f>サマリー!$B$14-WEEKDAY(サマリー!$B$14,2)+1+(49-1)*7</f>
        <v>46475</v>
      </c>
      <c r="C51" s="17">
        <f t="shared" si="4"/>
        <v>46481</v>
      </c>
      <c r="D51" s="14">
        <f>SUMIFS(受注ログ!$C$4:$C$5000,受注ログ!$B$4:$B$5000,"&gt;="&amp;B51,受注ログ!$B$4:$B$5000,"&lt;="&amp;C51)</f>
        <v>0</v>
      </c>
      <c r="E51" s="14">
        <f>SUMIFS(受注ログ!$D$4:$D$5000,受注ログ!$B$4:$B$5000,"&gt;="&amp;B51,受注ログ!$B$4:$B$5000,"&lt;="&amp;C51)</f>
        <v>0</v>
      </c>
      <c r="F51" s="14">
        <f t="shared" si="5"/>
        <v>0</v>
      </c>
      <c r="G51" s="14">
        <f>サマリー!$B$15</f>
        <v>500000</v>
      </c>
      <c r="H51" s="33">
        <f t="shared" si="6"/>
        <v>-500000</v>
      </c>
      <c r="I51" s="15">
        <f t="shared" si="7"/>
        <v>0</v>
      </c>
      <c r="J51" s="15">
        <f>IFERROR(D51/サマリー!$B$7,0)</f>
        <v>0</v>
      </c>
      <c r="K51" s="15">
        <f>IFERROR(E51/サマリー!$B$7,0)</f>
        <v>0</v>
      </c>
    </row>
    <row r="52" spans="1:11">
      <c r="A52" s="13">
        <v>50</v>
      </c>
      <c r="B52" s="17">
        <f>サマリー!$B$14-WEEKDAY(サマリー!$B$14,2)+1+(50-1)*7</f>
        <v>46482</v>
      </c>
      <c r="C52" s="17">
        <f t="shared" si="4"/>
        <v>46488</v>
      </c>
      <c r="D52" s="14">
        <f>SUMIFS(受注ログ!$C$4:$C$5000,受注ログ!$B$4:$B$5000,"&gt;="&amp;B52,受注ログ!$B$4:$B$5000,"&lt;="&amp;C52)</f>
        <v>0</v>
      </c>
      <c r="E52" s="14">
        <f>SUMIFS(受注ログ!$D$4:$D$5000,受注ログ!$B$4:$B$5000,"&gt;="&amp;B52,受注ログ!$B$4:$B$5000,"&lt;="&amp;C52)</f>
        <v>0</v>
      </c>
      <c r="F52" s="14">
        <f t="shared" si="5"/>
        <v>0</v>
      </c>
      <c r="G52" s="14">
        <f>サマリー!$B$15</f>
        <v>500000</v>
      </c>
      <c r="H52" s="33">
        <f t="shared" si="6"/>
        <v>-500000</v>
      </c>
      <c r="I52" s="15">
        <f t="shared" si="7"/>
        <v>0</v>
      </c>
      <c r="J52" s="15">
        <f>IFERROR(D52/サマリー!$B$7,0)</f>
        <v>0</v>
      </c>
      <c r="K52" s="15">
        <f>IFERROR(E52/サマリー!$B$7,0)</f>
        <v>0</v>
      </c>
    </row>
    <row r="53" spans="1:11">
      <c r="A53" s="13">
        <v>51</v>
      </c>
      <c r="B53" s="17">
        <f>サマリー!$B$14-WEEKDAY(サマリー!$B$14,2)+1+(51-1)*7</f>
        <v>46489</v>
      </c>
      <c r="C53" s="17">
        <f t="shared" si="4"/>
        <v>46495</v>
      </c>
      <c r="D53" s="14">
        <f>SUMIFS(受注ログ!$C$4:$C$5000,受注ログ!$B$4:$B$5000,"&gt;="&amp;B53,受注ログ!$B$4:$B$5000,"&lt;="&amp;C53)</f>
        <v>0</v>
      </c>
      <c r="E53" s="14">
        <f>SUMIFS(受注ログ!$D$4:$D$5000,受注ログ!$B$4:$B$5000,"&gt;="&amp;B53,受注ログ!$B$4:$B$5000,"&lt;="&amp;C53)</f>
        <v>0</v>
      </c>
      <c r="F53" s="14">
        <f t="shared" si="5"/>
        <v>0</v>
      </c>
      <c r="G53" s="14">
        <f>サマリー!$B$15</f>
        <v>500000</v>
      </c>
      <c r="H53" s="33">
        <f t="shared" si="6"/>
        <v>-500000</v>
      </c>
      <c r="I53" s="15">
        <f t="shared" si="7"/>
        <v>0</v>
      </c>
      <c r="J53" s="15">
        <f>IFERROR(D53/サマリー!$B$7,0)</f>
        <v>0</v>
      </c>
      <c r="K53" s="15">
        <f>IFERROR(E53/サマリー!$B$7,0)</f>
        <v>0</v>
      </c>
    </row>
    <row r="54" spans="1:11">
      <c r="A54" s="13">
        <v>52</v>
      </c>
      <c r="B54" s="17">
        <f>サマリー!$B$14-WEEKDAY(サマリー!$B$14,2)+1+(52-1)*7</f>
        <v>46496</v>
      </c>
      <c r="C54" s="17">
        <f t="shared" si="4"/>
        <v>46502</v>
      </c>
      <c r="D54" s="14">
        <f>SUMIFS(受注ログ!$C$4:$C$5000,受注ログ!$B$4:$B$5000,"&gt;="&amp;B54,受注ログ!$B$4:$B$5000,"&lt;="&amp;C54)</f>
        <v>0</v>
      </c>
      <c r="E54" s="14">
        <f>SUMIFS(受注ログ!$D$4:$D$5000,受注ログ!$B$4:$B$5000,"&gt;="&amp;B54,受注ログ!$B$4:$B$5000,"&lt;="&amp;C54)</f>
        <v>0</v>
      </c>
      <c r="F54" s="14">
        <f t="shared" si="5"/>
        <v>0</v>
      </c>
      <c r="G54" s="14">
        <f>サマリー!$B$15</f>
        <v>500000</v>
      </c>
      <c r="H54" s="33">
        <f t="shared" si="6"/>
        <v>-500000</v>
      </c>
      <c r="I54" s="15">
        <f t="shared" si="7"/>
        <v>0</v>
      </c>
      <c r="J54" s="15">
        <f>IFERROR(D54/サマリー!$B$7,0)</f>
        <v>0</v>
      </c>
      <c r="K54" s="15">
        <f>IFERROR(E54/サマリー!$B$7,0)</f>
        <v>0</v>
      </c>
    </row>
    <row r="55" spans="1:11">
      <c r="A55" s="13">
        <v>53</v>
      </c>
      <c r="B55" s="17">
        <f>サマリー!$B$14-WEEKDAY(サマリー!$B$14,2)+1+(53-1)*7</f>
        <v>46503</v>
      </c>
      <c r="C55" s="17">
        <f t="shared" si="4"/>
        <v>46509</v>
      </c>
      <c r="D55" s="14">
        <f>SUMIFS(受注ログ!$C$4:$C$5000,受注ログ!$B$4:$B$5000,"&gt;="&amp;B55,受注ログ!$B$4:$B$5000,"&lt;="&amp;C55)</f>
        <v>0</v>
      </c>
      <c r="E55" s="14">
        <f>SUMIFS(受注ログ!$D$4:$D$5000,受注ログ!$B$4:$B$5000,"&gt;="&amp;B55,受注ログ!$B$4:$B$5000,"&lt;="&amp;C55)</f>
        <v>0</v>
      </c>
      <c r="F55" s="14">
        <f t="shared" si="5"/>
        <v>0</v>
      </c>
      <c r="G55" s="14">
        <f>サマリー!$B$15</f>
        <v>500000</v>
      </c>
      <c r="H55" s="33">
        <f t="shared" si="6"/>
        <v>-500000</v>
      </c>
      <c r="I55" s="15">
        <f t="shared" si="7"/>
        <v>0</v>
      </c>
      <c r="J55" s="15">
        <f>IFERROR(D55/サマリー!$B$7,0)</f>
        <v>0</v>
      </c>
      <c r="K55" s="15">
        <f>IFERROR(E55/サマリー!$B$7,0)</f>
        <v>0</v>
      </c>
    </row>
    <row r="56" spans="1:11">
      <c r="A56" s="13">
        <v>54</v>
      </c>
      <c r="B56" s="17">
        <f>サマリー!$B$14-WEEKDAY(サマリー!$B$14,2)+1+(54-1)*7</f>
        <v>46510</v>
      </c>
      <c r="C56" s="17">
        <f t="shared" si="4"/>
        <v>46516</v>
      </c>
      <c r="D56" s="14">
        <f>SUMIFS(受注ログ!$C$4:$C$5000,受注ログ!$B$4:$B$5000,"&gt;="&amp;B56,受注ログ!$B$4:$B$5000,"&lt;="&amp;C56)</f>
        <v>0</v>
      </c>
      <c r="E56" s="14">
        <f>SUMIFS(受注ログ!$D$4:$D$5000,受注ログ!$B$4:$B$5000,"&gt;="&amp;B56,受注ログ!$B$4:$B$5000,"&lt;="&amp;C56)</f>
        <v>0</v>
      </c>
      <c r="F56" s="14">
        <f t="shared" si="5"/>
        <v>0</v>
      </c>
      <c r="G56" s="14">
        <f>サマリー!$B$15</f>
        <v>500000</v>
      </c>
      <c r="H56" s="33">
        <f t="shared" si="6"/>
        <v>-500000</v>
      </c>
      <c r="I56" s="15">
        <f t="shared" si="7"/>
        <v>0</v>
      </c>
      <c r="J56" s="15">
        <f>IFERROR(D56/サマリー!$B$7,0)</f>
        <v>0</v>
      </c>
      <c r="K56" s="15">
        <f>IFERROR(E56/サマリー!$B$7,0)</f>
        <v>0</v>
      </c>
    </row>
    <row r="58" spans="1:11">
      <c r="A58" s="38" t="s">
        <v>91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</row>
  </sheetData>
  <mergeCells count="2">
    <mergeCell ref="A1:K1"/>
    <mergeCell ref="A58:K58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showGridLines="0" zoomScaleNormal="100" workbookViewId="0">
      <pane ySplit="2" topLeftCell="A3" activePane="bottomLeft" state="frozen"/>
      <selection pane="bottomLeft" activeCell="C20" sqref="C20"/>
    </sheetView>
  </sheetViews>
  <sheetFormatPr defaultColWidth="8.7109375" defaultRowHeight="15"/>
  <cols>
    <col min="1" max="1" width="8" customWidth="1"/>
    <col min="2" max="3" width="12" customWidth="1"/>
    <col min="4" max="8" width="14" customWidth="1"/>
    <col min="9" max="11" width="10" customWidth="1"/>
  </cols>
  <sheetData>
    <row r="1" spans="1:11" ht="24" customHeight="1">
      <c r="A1" s="37" t="s">
        <v>92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25.5" customHeight="1">
      <c r="A2" s="12" t="s">
        <v>93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2" t="s">
        <v>94</v>
      </c>
      <c r="H2" s="12" t="s">
        <v>88</v>
      </c>
      <c r="I2" s="12" t="s">
        <v>23</v>
      </c>
      <c r="J2" s="12" t="s">
        <v>89</v>
      </c>
      <c r="K2" s="12" t="s">
        <v>90</v>
      </c>
    </row>
    <row r="3" spans="1:11">
      <c r="A3" s="13">
        <v>1</v>
      </c>
      <c r="B3" s="17">
        <f>EDATE(サマリー!$B$14,1-1)</f>
        <v>46143</v>
      </c>
      <c r="C3" s="17">
        <f t="shared" ref="C3:C15" si="0">EOMONTH(B3,0)</f>
        <v>46173</v>
      </c>
      <c r="D3" s="14">
        <f>SUMIFS(受注ログ!$C$4:$C$5000,受注ログ!$B$4:$B$5000,"&gt;="&amp;B3,受注ログ!$B$4:$B$5000,"&lt;="&amp;C3)</f>
        <v>0</v>
      </c>
      <c r="E3" s="14">
        <f>SUMIFS(受注ログ!$D$4:$D$5000,受注ログ!$B$4:$B$5000,"&gt;="&amp;B3,受注ログ!$B$4:$B$5000,"&lt;="&amp;C3)</f>
        <v>0</v>
      </c>
      <c r="F3" s="14">
        <f t="shared" ref="F3:F15" si="1">D3+E3</f>
        <v>0</v>
      </c>
      <c r="G3" s="14">
        <f>サマリー!$B$16</f>
        <v>2000000</v>
      </c>
      <c r="H3" s="33">
        <f t="shared" ref="H3:H15" si="2">F3-G3</f>
        <v>-2000000</v>
      </c>
      <c r="I3" s="15">
        <f t="shared" ref="I3:I15" si="3">IFERROR(F3/G3,0)</f>
        <v>0</v>
      </c>
      <c r="J3" s="15">
        <f>IFERROR(D3/サマリー!$B$8,0)</f>
        <v>0</v>
      </c>
      <c r="K3" s="15">
        <f>IFERROR(E3/サマリー!$B$8,0)</f>
        <v>0</v>
      </c>
    </row>
    <row r="4" spans="1:11">
      <c r="A4" s="13">
        <v>2</v>
      </c>
      <c r="B4" s="17">
        <f>EDATE(サマリー!$B$14,2-1)</f>
        <v>46174</v>
      </c>
      <c r="C4" s="17">
        <f t="shared" si="0"/>
        <v>46203</v>
      </c>
      <c r="D4" s="14">
        <f>SUMIFS(受注ログ!$C$4:$C$5000,受注ログ!$B$4:$B$5000,"&gt;="&amp;B4,受注ログ!$B$4:$B$5000,"&lt;="&amp;C4)</f>
        <v>91004</v>
      </c>
      <c r="E4" s="14">
        <f>SUMIFS(受注ログ!$D$4:$D$5000,受注ログ!$B$4:$B$5000,"&gt;="&amp;B4,受注ログ!$B$4:$B$5000,"&lt;="&amp;C4)</f>
        <v>27872</v>
      </c>
      <c r="F4" s="14">
        <f t="shared" si="1"/>
        <v>118876</v>
      </c>
      <c r="G4" s="14">
        <f>サマリー!$B$16</f>
        <v>2000000</v>
      </c>
      <c r="H4" s="33">
        <f t="shared" si="2"/>
        <v>-1881124</v>
      </c>
      <c r="I4" s="15">
        <f t="shared" si="3"/>
        <v>5.9437999999999998E-2</v>
      </c>
      <c r="J4" s="15">
        <f>IFERROR(D4/サマリー!$B$8,0)</f>
        <v>9.1004000000000002E-2</v>
      </c>
      <c r="K4" s="15">
        <f>IFERROR(E4/サマリー!$B$8,0)</f>
        <v>2.7872000000000001E-2</v>
      </c>
    </row>
    <row r="5" spans="1:11">
      <c r="A5" s="13">
        <v>3</v>
      </c>
      <c r="B5" s="17">
        <f>EDATE(サマリー!$B$14,3-1)</f>
        <v>46204</v>
      </c>
      <c r="C5" s="17">
        <f t="shared" si="0"/>
        <v>46234</v>
      </c>
      <c r="D5" s="14">
        <f>SUMIFS(受注ログ!$C$4:$C$5000,受注ログ!$B$4:$B$5000,"&gt;="&amp;B5,受注ログ!$B$4:$B$5000,"&lt;="&amp;C5)</f>
        <v>1056778</v>
      </c>
      <c r="E5" s="14">
        <f>SUMIFS(受注ログ!$D$4:$D$5000,受注ログ!$B$4:$B$5000,"&gt;="&amp;B5,受注ログ!$B$4:$B$5000,"&lt;="&amp;C5)</f>
        <v>639108</v>
      </c>
      <c r="F5" s="14">
        <f t="shared" si="1"/>
        <v>1695886</v>
      </c>
      <c r="G5" s="14">
        <f>サマリー!$B$16</f>
        <v>2000000</v>
      </c>
      <c r="H5" s="33">
        <f t="shared" si="2"/>
        <v>-304114</v>
      </c>
      <c r="I5" s="15">
        <f t="shared" si="3"/>
        <v>0.847943</v>
      </c>
      <c r="J5" s="15">
        <f>IFERROR(D5/サマリー!$B$8,0)</f>
        <v>1.056778</v>
      </c>
      <c r="K5" s="15">
        <f>IFERROR(E5/サマリー!$B$8,0)</f>
        <v>0.63910800000000001</v>
      </c>
    </row>
    <row r="6" spans="1:11">
      <c r="A6" s="13">
        <v>4</v>
      </c>
      <c r="B6" s="17">
        <f>EDATE(サマリー!$B$14,4-1)</f>
        <v>46235</v>
      </c>
      <c r="C6" s="17">
        <f t="shared" si="0"/>
        <v>46265</v>
      </c>
      <c r="D6" s="14">
        <f>SUMIFS(受注ログ!$C$4:$C$5000,受注ログ!$B$4:$B$5000,"&gt;="&amp;B6,受注ログ!$B$4:$B$5000,"&lt;="&amp;C6)</f>
        <v>1102988</v>
      </c>
      <c r="E6" s="14">
        <f>SUMIFS(受注ログ!$D$4:$D$5000,受注ログ!$B$4:$B$5000,"&gt;="&amp;B6,受注ログ!$B$4:$B$5000,"&lt;="&amp;C6)</f>
        <v>957083</v>
      </c>
      <c r="F6" s="14">
        <f t="shared" si="1"/>
        <v>2060071</v>
      </c>
      <c r="G6" s="14">
        <f>サマリー!$B$16</f>
        <v>2000000</v>
      </c>
      <c r="H6" s="33">
        <f t="shared" si="2"/>
        <v>60071</v>
      </c>
      <c r="I6" s="15">
        <f t="shared" si="3"/>
        <v>1.0300355000000001</v>
      </c>
      <c r="J6" s="15">
        <f>IFERROR(D6/サマリー!$B$8,0)</f>
        <v>1.1029880000000001</v>
      </c>
      <c r="K6" s="15">
        <f>IFERROR(E6/サマリー!$B$8,0)</f>
        <v>0.95708300000000002</v>
      </c>
    </row>
    <row r="7" spans="1:11">
      <c r="A7" s="13">
        <v>5</v>
      </c>
      <c r="B7" s="17">
        <f>EDATE(サマリー!$B$14,5-1)</f>
        <v>46266</v>
      </c>
      <c r="C7" s="17">
        <f t="shared" si="0"/>
        <v>46295</v>
      </c>
      <c r="D7" s="14">
        <f>SUMIFS(受注ログ!$C$4:$C$5000,受注ログ!$B$4:$B$5000,"&gt;="&amp;B7,受注ログ!$B$4:$B$5000,"&lt;="&amp;C7)</f>
        <v>1229092</v>
      </c>
      <c r="E7" s="14">
        <f>SUMIFS(受注ログ!$D$4:$D$5000,受注ログ!$B$4:$B$5000,"&gt;="&amp;B7,受注ログ!$B$4:$B$5000,"&lt;="&amp;C7)</f>
        <v>541948</v>
      </c>
      <c r="F7" s="14">
        <f t="shared" si="1"/>
        <v>1771040</v>
      </c>
      <c r="G7" s="14">
        <f>サマリー!$B$16</f>
        <v>2000000</v>
      </c>
      <c r="H7" s="33">
        <f t="shared" si="2"/>
        <v>-228960</v>
      </c>
      <c r="I7" s="15">
        <f t="shared" si="3"/>
        <v>0.88551999999999997</v>
      </c>
      <c r="J7" s="15">
        <f>IFERROR(D7/サマリー!$B$8,0)</f>
        <v>1.2290920000000001</v>
      </c>
      <c r="K7" s="15">
        <f>IFERROR(E7/サマリー!$B$8,0)</f>
        <v>0.54194799999999999</v>
      </c>
    </row>
    <row r="8" spans="1:11">
      <c r="A8" s="13">
        <v>6</v>
      </c>
      <c r="B8" s="17">
        <f>EDATE(サマリー!$B$14,6-1)</f>
        <v>46296</v>
      </c>
      <c r="C8" s="17">
        <f t="shared" si="0"/>
        <v>46326</v>
      </c>
      <c r="D8" s="14">
        <f>SUMIFS(受注ログ!$C$4:$C$5000,受注ログ!$B$4:$B$5000,"&gt;="&amp;B8,受注ログ!$B$4:$B$5000,"&lt;="&amp;C8)</f>
        <v>0</v>
      </c>
      <c r="E8" s="14">
        <f>SUMIFS(受注ログ!$D$4:$D$5000,受注ログ!$B$4:$B$5000,"&gt;="&amp;B8,受注ログ!$B$4:$B$5000,"&lt;="&amp;C8)</f>
        <v>0</v>
      </c>
      <c r="F8" s="14">
        <f t="shared" si="1"/>
        <v>0</v>
      </c>
      <c r="G8" s="14">
        <f>サマリー!$B$16</f>
        <v>2000000</v>
      </c>
      <c r="H8" s="33">
        <f t="shared" si="2"/>
        <v>-2000000</v>
      </c>
      <c r="I8" s="15">
        <f t="shared" si="3"/>
        <v>0</v>
      </c>
      <c r="J8" s="15">
        <f>IFERROR(D8/サマリー!$B$8,0)</f>
        <v>0</v>
      </c>
      <c r="K8" s="15">
        <f>IFERROR(E8/サマリー!$B$8,0)</f>
        <v>0</v>
      </c>
    </row>
    <row r="9" spans="1:11">
      <c r="A9" s="13">
        <v>7</v>
      </c>
      <c r="B9" s="17">
        <f>EDATE(サマリー!$B$14,7-1)</f>
        <v>46327</v>
      </c>
      <c r="C9" s="17">
        <f t="shared" si="0"/>
        <v>46356</v>
      </c>
      <c r="D9" s="14">
        <f>SUMIFS(受注ログ!$C$4:$C$5000,受注ログ!$B$4:$B$5000,"&gt;="&amp;B9,受注ログ!$B$4:$B$5000,"&lt;="&amp;C9)</f>
        <v>0</v>
      </c>
      <c r="E9" s="14">
        <f>SUMIFS(受注ログ!$D$4:$D$5000,受注ログ!$B$4:$B$5000,"&gt;="&amp;B9,受注ログ!$B$4:$B$5000,"&lt;="&amp;C9)</f>
        <v>0</v>
      </c>
      <c r="F9" s="14">
        <f t="shared" si="1"/>
        <v>0</v>
      </c>
      <c r="G9" s="14">
        <f>サマリー!$B$16</f>
        <v>2000000</v>
      </c>
      <c r="H9" s="33">
        <f t="shared" si="2"/>
        <v>-2000000</v>
      </c>
      <c r="I9" s="15">
        <f t="shared" si="3"/>
        <v>0</v>
      </c>
      <c r="J9" s="15">
        <f>IFERROR(D9/サマリー!$B$8,0)</f>
        <v>0</v>
      </c>
      <c r="K9" s="15">
        <f>IFERROR(E9/サマリー!$B$8,0)</f>
        <v>0</v>
      </c>
    </row>
    <row r="10" spans="1:11">
      <c r="A10" s="13">
        <v>8</v>
      </c>
      <c r="B10" s="17">
        <f>EDATE(サマリー!$B$14,8-1)</f>
        <v>46357</v>
      </c>
      <c r="C10" s="17">
        <f t="shared" si="0"/>
        <v>46387</v>
      </c>
      <c r="D10" s="14">
        <f>SUMIFS(受注ログ!$C$4:$C$5000,受注ログ!$B$4:$B$5000,"&gt;="&amp;B10,受注ログ!$B$4:$B$5000,"&lt;="&amp;C10)</f>
        <v>0</v>
      </c>
      <c r="E10" s="14">
        <f>SUMIFS(受注ログ!$D$4:$D$5000,受注ログ!$B$4:$B$5000,"&gt;="&amp;B10,受注ログ!$B$4:$B$5000,"&lt;="&amp;C10)</f>
        <v>0</v>
      </c>
      <c r="F10" s="14">
        <f t="shared" si="1"/>
        <v>0</v>
      </c>
      <c r="G10" s="14">
        <f>サマリー!$B$16</f>
        <v>2000000</v>
      </c>
      <c r="H10" s="33">
        <f t="shared" si="2"/>
        <v>-2000000</v>
      </c>
      <c r="I10" s="15">
        <f t="shared" si="3"/>
        <v>0</v>
      </c>
      <c r="J10" s="15">
        <f>IFERROR(D10/サマリー!$B$8,0)</f>
        <v>0</v>
      </c>
      <c r="K10" s="15">
        <f>IFERROR(E10/サマリー!$B$8,0)</f>
        <v>0</v>
      </c>
    </row>
    <row r="11" spans="1:11">
      <c r="A11" s="13">
        <v>9</v>
      </c>
      <c r="B11" s="17">
        <f>EDATE(サマリー!$B$14,9-1)</f>
        <v>46388</v>
      </c>
      <c r="C11" s="17">
        <f t="shared" si="0"/>
        <v>46418</v>
      </c>
      <c r="D11" s="14">
        <f>SUMIFS(受注ログ!$C$4:$C$5000,受注ログ!$B$4:$B$5000,"&gt;="&amp;B11,受注ログ!$B$4:$B$5000,"&lt;="&amp;C11)</f>
        <v>0</v>
      </c>
      <c r="E11" s="14">
        <f>SUMIFS(受注ログ!$D$4:$D$5000,受注ログ!$B$4:$B$5000,"&gt;="&amp;B11,受注ログ!$B$4:$B$5000,"&lt;="&amp;C11)</f>
        <v>0</v>
      </c>
      <c r="F11" s="14">
        <f t="shared" si="1"/>
        <v>0</v>
      </c>
      <c r="G11" s="14">
        <f>サマリー!$B$16</f>
        <v>2000000</v>
      </c>
      <c r="H11" s="33">
        <f t="shared" si="2"/>
        <v>-2000000</v>
      </c>
      <c r="I11" s="15">
        <f t="shared" si="3"/>
        <v>0</v>
      </c>
      <c r="J11" s="15">
        <f>IFERROR(D11/サマリー!$B$8,0)</f>
        <v>0</v>
      </c>
      <c r="K11" s="15">
        <f>IFERROR(E11/サマリー!$B$8,0)</f>
        <v>0</v>
      </c>
    </row>
    <row r="12" spans="1:11">
      <c r="A12" s="13">
        <v>10</v>
      </c>
      <c r="B12" s="17">
        <f>EDATE(サマリー!$B$14,10-1)</f>
        <v>46419</v>
      </c>
      <c r="C12" s="17">
        <f t="shared" si="0"/>
        <v>46446</v>
      </c>
      <c r="D12" s="14">
        <f>SUMIFS(受注ログ!$C$4:$C$5000,受注ログ!$B$4:$B$5000,"&gt;="&amp;B12,受注ログ!$B$4:$B$5000,"&lt;="&amp;C12)</f>
        <v>0</v>
      </c>
      <c r="E12" s="14">
        <f>SUMIFS(受注ログ!$D$4:$D$5000,受注ログ!$B$4:$B$5000,"&gt;="&amp;B12,受注ログ!$B$4:$B$5000,"&lt;="&amp;C12)</f>
        <v>0</v>
      </c>
      <c r="F12" s="14">
        <f t="shared" si="1"/>
        <v>0</v>
      </c>
      <c r="G12" s="14">
        <f>サマリー!$B$16</f>
        <v>2000000</v>
      </c>
      <c r="H12" s="33">
        <f t="shared" si="2"/>
        <v>-2000000</v>
      </c>
      <c r="I12" s="15">
        <f t="shared" si="3"/>
        <v>0</v>
      </c>
      <c r="J12" s="15">
        <f>IFERROR(D12/サマリー!$B$8,0)</f>
        <v>0</v>
      </c>
      <c r="K12" s="15">
        <f>IFERROR(E12/サマリー!$B$8,0)</f>
        <v>0</v>
      </c>
    </row>
    <row r="13" spans="1:11">
      <c r="A13" s="13">
        <v>11</v>
      </c>
      <c r="B13" s="17">
        <f>EDATE(サマリー!$B$14,11-1)</f>
        <v>46447</v>
      </c>
      <c r="C13" s="17">
        <f t="shared" si="0"/>
        <v>46477</v>
      </c>
      <c r="D13" s="14">
        <f>SUMIFS(受注ログ!$C$4:$C$5000,受注ログ!$B$4:$B$5000,"&gt;="&amp;B13,受注ログ!$B$4:$B$5000,"&lt;="&amp;C13)</f>
        <v>0</v>
      </c>
      <c r="E13" s="14">
        <f>SUMIFS(受注ログ!$D$4:$D$5000,受注ログ!$B$4:$B$5000,"&gt;="&amp;B13,受注ログ!$B$4:$B$5000,"&lt;="&amp;C13)</f>
        <v>0</v>
      </c>
      <c r="F13" s="14">
        <f t="shared" si="1"/>
        <v>0</v>
      </c>
      <c r="G13" s="14">
        <f>サマリー!$B$16</f>
        <v>2000000</v>
      </c>
      <c r="H13" s="33">
        <f t="shared" si="2"/>
        <v>-2000000</v>
      </c>
      <c r="I13" s="15">
        <f t="shared" si="3"/>
        <v>0</v>
      </c>
      <c r="J13" s="15">
        <f>IFERROR(D13/サマリー!$B$8,0)</f>
        <v>0</v>
      </c>
      <c r="K13" s="15">
        <f>IFERROR(E13/サマリー!$B$8,0)</f>
        <v>0</v>
      </c>
    </row>
    <row r="14" spans="1:11">
      <c r="A14" s="13">
        <v>12</v>
      </c>
      <c r="B14" s="17">
        <f>EDATE(サマリー!$B$14,12-1)</f>
        <v>46478</v>
      </c>
      <c r="C14" s="17">
        <f t="shared" si="0"/>
        <v>46507</v>
      </c>
      <c r="D14" s="14">
        <f>SUMIFS(受注ログ!$C$4:$C$5000,受注ログ!$B$4:$B$5000,"&gt;="&amp;B14,受注ログ!$B$4:$B$5000,"&lt;="&amp;C14)</f>
        <v>0</v>
      </c>
      <c r="E14" s="14">
        <f>SUMIFS(受注ログ!$D$4:$D$5000,受注ログ!$B$4:$B$5000,"&gt;="&amp;B14,受注ログ!$B$4:$B$5000,"&lt;="&amp;C14)</f>
        <v>0</v>
      </c>
      <c r="F14" s="14">
        <f t="shared" si="1"/>
        <v>0</v>
      </c>
      <c r="G14" s="14">
        <f>サマリー!$B$16</f>
        <v>2000000</v>
      </c>
      <c r="H14" s="33">
        <f t="shared" si="2"/>
        <v>-2000000</v>
      </c>
      <c r="I14" s="15">
        <f t="shared" si="3"/>
        <v>0</v>
      </c>
      <c r="J14" s="15">
        <f>IFERROR(D14/サマリー!$B$8,0)</f>
        <v>0</v>
      </c>
      <c r="K14" s="15">
        <f>IFERROR(E14/サマリー!$B$8,0)</f>
        <v>0</v>
      </c>
    </row>
    <row r="15" spans="1:11">
      <c r="A15" s="13">
        <v>13</v>
      </c>
      <c r="B15" s="17">
        <f>EDATE(サマリー!$B$14,13-1)</f>
        <v>46508</v>
      </c>
      <c r="C15" s="17">
        <f t="shared" si="0"/>
        <v>46538</v>
      </c>
      <c r="D15" s="14">
        <f>SUMIFS(受注ログ!$C$4:$C$5000,受注ログ!$B$4:$B$5000,"&gt;="&amp;B15,受注ログ!$B$4:$B$5000,"&lt;="&amp;C15)</f>
        <v>0</v>
      </c>
      <c r="E15" s="14">
        <f>SUMIFS(受注ログ!$D$4:$D$5000,受注ログ!$B$4:$B$5000,"&gt;="&amp;B15,受注ログ!$B$4:$B$5000,"&lt;="&amp;C15)</f>
        <v>0</v>
      </c>
      <c r="F15" s="14">
        <f t="shared" si="1"/>
        <v>0</v>
      </c>
      <c r="G15" s="14">
        <f>サマリー!$B$16</f>
        <v>2000000</v>
      </c>
      <c r="H15" s="33">
        <f t="shared" si="2"/>
        <v>-2000000</v>
      </c>
      <c r="I15" s="15">
        <f t="shared" si="3"/>
        <v>0</v>
      </c>
      <c r="J15" s="15">
        <f>IFERROR(D15/サマリー!$B$8,0)</f>
        <v>0</v>
      </c>
      <c r="K15" s="15">
        <f>IFERROR(E15/サマリー!$B$8,0)</f>
        <v>0</v>
      </c>
    </row>
  </sheetData>
  <mergeCells count="1">
    <mergeCell ref="A1:K1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showGridLines="0" zoomScaleNormal="100" workbookViewId="0">
      <pane ySplit="2" topLeftCell="A3" activePane="bottomLeft" state="frozen"/>
      <selection pane="bottomLeft" activeCell="E17" sqref="E17"/>
    </sheetView>
  </sheetViews>
  <sheetFormatPr defaultColWidth="8.7109375" defaultRowHeight="15"/>
  <cols>
    <col min="1" max="1" width="10" customWidth="1"/>
    <col min="2" max="3" width="12" customWidth="1"/>
    <col min="4" max="8" width="14" customWidth="1"/>
    <col min="9" max="9" width="10" customWidth="1"/>
  </cols>
  <sheetData>
    <row r="1" spans="1:9" ht="24" customHeight="1">
      <c r="A1" s="37" t="s">
        <v>95</v>
      </c>
      <c r="B1" s="37"/>
      <c r="C1" s="37"/>
      <c r="D1" s="37"/>
      <c r="E1" s="37"/>
      <c r="F1" s="37"/>
      <c r="G1" s="37"/>
      <c r="H1" s="37"/>
      <c r="I1" s="37"/>
    </row>
    <row r="2" spans="1:9" ht="25.5" customHeight="1">
      <c r="A2" s="12" t="s">
        <v>96</v>
      </c>
      <c r="B2" s="12" t="s">
        <v>82</v>
      </c>
      <c r="C2" s="12" t="s">
        <v>83</v>
      </c>
      <c r="D2" s="12" t="s">
        <v>84</v>
      </c>
      <c r="E2" s="12" t="s">
        <v>85</v>
      </c>
      <c r="F2" s="12" t="s">
        <v>86</v>
      </c>
      <c r="G2" s="12" t="s">
        <v>97</v>
      </c>
      <c r="H2" s="12" t="s">
        <v>88</v>
      </c>
      <c r="I2" s="12" t="s">
        <v>23</v>
      </c>
    </row>
    <row r="3" spans="1:9">
      <c r="A3" s="34" t="s">
        <v>98</v>
      </c>
      <c r="B3" s="17">
        <f>サマリー!$B$14</f>
        <v>46143</v>
      </c>
      <c r="C3" s="17">
        <f>EOMONTH(サマリー!$B$14,5)</f>
        <v>46326</v>
      </c>
      <c r="D3" s="14">
        <f>SUMIFS(受注ログ!$C$4:$C$5000,受注ログ!$B$4:$B$5000,"&gt;="&amp;B3,受注ログ!$B$4:$B$5000,"&lt;="&amp;C3)</f>
        <v>3479862</v>
      </c>
      <c r="E3" s="14">
        <f>SUMIFS(受注ログ!$D$4:$D$5000,受注ログ!$B$4:$B$5000,"&gt;="&amp;B3,受注ログ!$B$4:$B$5000,"&lt;="&amp;C3)</f>
        <v>2166011</v>
      </c>
      <c r="F3" s="14">
        <f>D3+E3</f>
        <v>5645873</v>
      </c>
      <c r="G3" s="14">
        <f>サマリー!$B$17</f>
        <v>12000000</v>
      </c>
      <c r="H3" s="33">
        <f>F3-G3</f>
        <v>-6354127</v>
      </c>
      <c r="I3" s="15">
        <f>IFERROR(F3/G3,0)</f>
        <v>0.47048941666666666</v>
      </c>
    </row>
    <row r="4" spans="1:9">
      <c r="A4" s="34" t="s">
        <v>99</v>
      </c>
      <c r="B4" s="17">
        <f>EDATE(サマリー!$B$14,6)</f>
        <v>46327</v>
      </c>
      <c r="C4" s="17">
        <f>EOMONTH(サマリー!$B$14,11)</f>
        <v>46507</v>
      </c>
      <c r="D4" s="14">
        <f>SUMIFS(受注ログ!$C$4:$C$5000,受注ログ!$B$4:$B$5000,"&gt;="&amp;B4,受注ログ!$B$4:$B$5000,"&lt;="&amp;C4)</f>
        <v>0</v>
      </c>
      <c r="E4" s="14">
        <f>SUMIFS(受注ログ!$D$4:$D$5000,受注ログ!$B$4:$B$5000,"&gt;="&amp;B4,受注ログ!$B$4:$B$5000,"&lt;="&amp;C4)</f>
        <v>0</v>
      </c>
      <c r="F4" s="14">
        <f>D4+E4</f>
        <v>0</v>
      </c>
      <c r="G4" s="14">
        <f>サマリー!$B$17</f>
        <v>12000000</v>
      </c>
      <c r="H4" s="33">
        <f>F4-G4</f>
        <v>-12000000</v>
      </c>
      <c r="I4" s="15">
        <f>IFERROR(F4/G4,0)</f>
        <v>0</v>
      </c>
    </row>
    <row r="5" spans="1:9">
      <c r="A5" s="34" t="s">
        <v>100</v>
      </c>
      <c r="B5" s="17">
        <f>サマリー!$B$14</f>
        <v>46143</v>
      </c>
      <c r="C5" s="17">
        <f>EOMONTH(サマリー!$B$14,11)</f>
        <v>46507</v>
      </c>
      <c r="D5" s="14">
        <f>SUMIFS(受注ログ!$C$4:$C$5000,受注ログ!$B$4:$B$5000,"&gt;="&amp;B5,受注ログ!$B$4:$B$5000,"&lt;="&amp;C5)</f>
        <v>3479862</v>
      </c>
      <c r="E5" s="14">
        <f>SUMIFS(受注ログ!$D$4:$D$5000,受注ログ!$B$4:$B$5000,"&gt;="&amp;B5,受注ログ!$B$4:$B$5000,"&lt;="&amp;C5)</f>
        <v>2166011</v>
      </c>
      <c r="F5" s="14">
        <f>D5+E5</f>
        <v>5645873</v>
      </c>
      <c r="G5" s="14">
        <f>サマリー!$B$18</f>
        <v>24000000</v>
      </c>
      <c r="H5" s="33">
        <f>F5-G5</f>
        <v>-18354127</v>
      </c>
      <c r="I5" s="15">
        <f>IFERROR(F5/G5,0)</f>
        <v>0.23524470833333333</v>
      </c>
    </row>
  </sheetData>
  <mergeCells count="1">
    <mergeCell ref="A1:I1"/>
  </mergeCells>
  <phoneticPr fontId="21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C12"/>
  <sheetViews>
    <sheetView showGridLines="0" view="pageLayout" zoomScaleNormal="100" workbookViewId="0">
      <selection sqref="A1:C1"/>
    </sheetView>
  </sheetViews>
  <sheetFormatPr defaultColWidth="8.7109375" defaultRowHeight="15"/>
  <cols>
    <col min="1" max="1" width="16" customWidth="1"/>
    <col min="2" max="3" width="18" customWidth="1"/>
  </cols>
  <sheetData>
    <row r="1" spans="1:3" ht="31.5" customHeight="1">
      <c r="A1" s="42" t="s">
        <v>101</v>
      </c>
      <c r="B1" s="42"/>
      <c r="C1" s="42"/>
    </row>
    <row r="2" spans="1:3" ht="19.5" customHeight="1">
      <c r="A2" s="43" t="str">
        <f ca="1">"（"&amp;TEXT(サマリー!$B$6,"yyyy/m/d")&amp;" 時点）"</f>
        <v>（2026/9/24 時点）</v>
      </c>
      <c r="B2" s="43"/>
      <c r="C2" s="43"/>
    </row>
    <row r="4" spans="1:3" ht="25.5" customHeight="1">
      <c r="A4" s="44" t="s">
        <v>102</v>
      </c>
      <c r="B4" s="44"/>
      <c r="C4" s="44"/>
    </row>
    <row r="5" spans="1:3" ht="24" customHeight="1">
      <c r="A5" s="12" t="s">
        <v>103</v>
      </c>
      <c r="B5" s="12" t="s">
        <v>104</v>
      </c>
      <c r="C5" s="12" t="s">
        <v>105</v>
      </c>
    </row>
    <row r="6" spans="1:3" ht="25.5" customHeight="1">
      <c r="A6" s="35" t="s">
        <v>49</v>
      </c>
      <c r="B6" s="36">
        <f ca="1">SUMIFS(受注ログ!$L$6:$L$205,受注ログ!$B$6:$B$205,"&gt;="&amp;INDEX(週次集計!$B$3:$B$56,サマリー!$B$20),受注ログ!$B$6:$B$205,"&lt;="&amp;INDEX(週次集計!$C$3:$C$56,サマリー!$B$20))</f>
        <v>0</v>
      </c>
      <c r="C6" s="36">
        <f ca="1">サマリー!D53</f>
        <v>0</v>
      </c>
    </row>
    <row r="7" spans="1:3" ht="25.5" customHeight="1">
      <c r="A7" s="35" t="s">
        <v>51</v>
      </c>
      <c r="B7" s="36">
        <f ca="1">SUMIFS(受注ログ!$M$6:$M$205,受注ログ!$B$6:$B$205,"&gt;="&amp;INDEX(週次集計!$B$3:$B$56,サマリー!$B$20),受注ログ!$B$6:$B$205,"&lt;="&amp;INDEX(週次集計!$C$3:$C$56,サマリー!$B$20))</f>
        <v>0</v>
      </c>
      <c r="C7" s="36">
        <f ca="1">サマリー!D54</f>
        <v>0</v>
      </c>
    </row>
    <row r="8" spans="1:3" ht="25.5" customHeight="1">
      <c r="A8" s="35" t="s">
        <v>52</v>
      </c>
      <c r="B8" s="36">
        <f ca="1">SUMIFS(受注ログ!$N$6:$N$205,受注ログ!$B$6:$B$205,"&gt;="&amp;INDEX(週次集計!$B$3:$B$56,サマリー!$B$20),受注ログ!$B$6:$B$205,"&lt;="&amp;INDEX(週次集計!$C$3:$C$56,サマリー!$B$20))</f>
        <v>0</v>
      </c>
      <c r="C8" s="36">
        <f ca="1">サマリー!D55</f>
        <v>26974</v>
      </c>
    </row>
    <row r="9" spans="1:3" ht="25.5" customHeight="1">
      <c r="A9" s="35" t="s">
        <v>53</v>
      </c>
      <c r="B9" s="36">
        <f ca="1">SUMIFS(受注ログ!$V$6:$V$205,受注ログ!$B$6:$B$205,"&gt;="&amp;INDEX(週次集計!$B$3:$B$56,サマリー!$B$20),受注ログ!$B$6:$B$205,"&lt;="&amp;INDEX(週次集計!$C$3:$C$56,サマリー!$B$20))</f>
        <v>0</v>
      </c>
      <c r="C9" s="36">
        <f ca="1">サマリー!D56</f>
        <v>46613</v>
      </c>
    </row>
    <row r="11" spans="1:3">
      <c r="A11" s="38" t="s">
        <v>106</v>
      </c>
      <c r="B11" s="38"/>
      <c r="C11" s="38"/>
    </row>
    <row r="12" spans="1:3">
      <c r="A12" s="38" t="s">
        <v>107</v>
      </c>
      <c r="B12" s="38"/>
      <c r="C12" s="38"/>
    </row>
  </sheetData>
  <mergeCells count="5">
    <mergeCell ref="A1:C1"/>
    <mergeCell ref="A2:C2"/>
    <mergeCell ref="A4:C4"/>
    <mergeCell ref="A11:C11"/>
    <mergeCell ref="A12:C12"/>
  </mergeCells>
  <phoneticPr fontId="21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サマリー</vt:lpstr>
      <vt:lpstr>受注ログ</vt:lpstr>
      <vt:lpstr>週次集計</vt:lpstr>
      <vt:lpstr>月次集計</vt:lpstr>
      <vt:lpstr>半期年間集計</vt:lpstr>
      <vt:lpstr>印刷用</vt:lpstr>
      <vt:lpstr>印刷用!Print_Area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 rose</cp:lastModifiedBy>
  <cp:revision>0</cp:revision>
  <dcterms:created xsi:type="dcterms:W3CDTF">2026-07-27T03:23:36Z</dcterms:created>
  <dcterms:modified xsi:type="dcterms:W3CDTF">2026-09-24T14:10:21Z</dcterms:modified>
  <dc:language>en-US</dc:language>
</cp:coreProperties>
</file>