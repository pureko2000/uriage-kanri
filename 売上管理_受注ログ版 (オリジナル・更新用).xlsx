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\uriage-kanri\"/>
    </mc:Choice>
  </mc:AlternateContent>
  <xr:revisionPtr revIDLastSave="0" documentId="13_ncr:1_{3F5943F3-3087-4B46-8F07-FE98EA5A895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definedNames>
    <definedName name="_xlnm.Print_Area" localSheetId="5">印刷用!$A$1:$C$13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6" l="1"/>
  <c r="D1505" i="2"/>
  <c r="C1505" i="2"/>
  <c r="E1505" i="2" s="1"/>
  <c r="D1504" i="2"/>
  <c r="C1504" i="2"/>
  <c r="E1504" i="2" s="1"/>
  <c r="D1503" i="2"/>
  <c r="C1503" i="2"/>
  <c r="D1502" i="2"/>
  <c r="C1502" i="2"/>
  <c r="E1502" i="2" s="1"/>
  <c r="D1501" i="2"/>
  <c r="C1501" i="2"/>
  <c r="E1501" i="2" s="1"/>
  <c r="D1500" i="2"/>
  <c r="C1500" i="2"/>
  <c r="E1500" i="2" s="1"/>
  <c r="D1499" i="2"/>
  <c r="C1499" i="2"/>
  <c r="E1499" i="2" s="1"/>
  <c r="D1498" i="2"/>
  <c r="C1498" i="2"/>
  <c r="E1498" i="2" s="1"/>
  <c r="D1497" i="2"/>
  <c r="C1497" i="2"/>
  <c r="E1497" i="2" s="1"/>
  <c r="D1496" i="2"/>
  <c r="C1496" i="2"/>
  <c r="E1496" i="2" s="1"/>
  <c r="D1495" i="2"/>
  <c r="C1495" i="2"/>
  <c r="D1494" i="2"/>
  <c r="C1494" i="2"/>
  <c r="D1493" i="2"/>
  <c r="C1493" i="2"/>
  <c r="E1493" i="2" s="1"/>
  <c r="D1492" i="2"/>
  <c r="C1492" i="2"/>
  <c r="E1492" i="2" s="1"/>
  <c r="D1491" i="2"/>
  <c r="C1491" i="2"/>
  <c r="E1491" i="2" s="1"/>
  <c r="D1490" i="2"/>
  <c r="C1490" i="2"/>
  <c r="D1489" i="2"/>
  <c r="C1489" i="2"/>
  <c r="E1489" i="2" s="1"/>
  <c r="D1488" i="2"/>
  <c r="C1488" i="2"/>
  <c r="E1488" i="2" s="1"/>
  <c r="D1487" i="2"/>
  <c r="C1487" i="2"/>
  <c r="D1486" i="2"/>
  <c r="C1486" i="2"/>
  <c r="D1485" i="2"/>
  <c r="C1485" i="2"/>
  <c r="E1485" i="2" s="1"/>
  <c r="D1484" i="2"/>
  <c r="C1484" i="2"/>
  <c r="E1484" i="2" s="1"/>
  <c r="D1483" i="2"/>
  <c r="C1483" i="2"/>
  <c r="E1483" i="2" s="1"/>
  <c r="D1482" i="2"/>
  <c r="C1482" i="2"/>
  <c r="D1481" i="2"/>
  <c r="C1481" i="2"/>
  <c r="E1481" i="2" s="1"/>
  <c r="D1480" i="2"/>
  <c r="C1480" i="2"/>
  <c r="E1480" i="2" s="1"/>
  <c r="D1479" i="2"/>
  <c r="C1479" i="2"/>
  <c r="D1478" i="2"/>
  <c r="C1478" i="2"/>
  <c r="D1477" i="2"/>
  <c r="C1477" i="2"/>
  <c r="E1477" i="2" s="1"/>
  <c r="D1476" i="2"/>
  <c r="C1476" i="2"/>
  <c r="E1476" i="2" s="1"/>
  <c r="D1475" i="2"/>
  <c r="C1475" i="2"/>
  <c r="E1475" i="2" s="1"/>
  <c r="D1474" i="2"/>
  <c r="C1474" i="2"/>
  <c r="D1473" i="2"/>
  <c r="C1473" i="2"/>
  <c r="E1473" i="2" s="1"/>
  <c r="D1472" i="2"/>
  <c r="C1472" i="2"/>
  <c r="E1472" i="2" s="1"/>
  <c r="D1471" i="2"/>
  <c r="C1471" i="2"/>
  <c r="D1470" i="2"/>
  <c r="C1470" i="2"/>
  <c r="D1469" i="2"/>
  <c r="C1469" i="2"/>
  <c r="E1469" i="2" s="1"/>
  <c r="D1468" i="2"/>
  <c r="C1468" i="2"/>
  <c r="E1468" i="2" s="1"/>
  <c r="D1467" i="2"/>
  <c r="C1467" i="2"/>
  <c r="E1467" i="2" s="1"/>
  <c r="D1466" i="2"/>
  <c r="C1466" i="2"/>
  <c r="E1466" i="2" s="1"/>
  <c r="D1465" i="2"/>
  <c r="C1465" i="2"/>
  <c r="E1465" i="2" s="1"/>
  <c r="D1464" i="2"/>
  <c r="C1464" i="2"/>
  <c r="E1464" i="2" s="1"/>
  <c r="D1463" i="2"/>
  <c r="C1463" i="2"/>
  <c r="D1462" i="2"/>
  <c r="C1462" i="2"/>
  <c r="D1461" i="2"/>
  <c r="C1461" i="2"/>
  <c r="E1461" i="2" s="1"/>
  <c r="D1460" i="2"/>
  <c r="C1460" i="2"/>
  <c r="E1460" i="2" s="1"/>
  <c r="D1459" i="2"/>
  <c r="C1459" i="2"/>
  <c r="E1459" i="2" s="1"/>
  <c r="D1458" i="2"/>
  <c r="C1458" i="2"/>
  <c r="D1457" i="2"/>
  <c r="C1457" i="2"/>
  <c r="E1457" i="2" s="1"/>
  <c r="D1456" i="2"/>
  <c r="C1456" i="2"/>
  <c r="E1456" i="2" s="1"/>
  <c r="D1455" i="2"/>
  <c r="C1455" i="2"/>
  <c r="D1454" i="2"/>
  <c r="C1454" i="2"/>
  <c r="D1453" i="2"/>
  <c r="C1453" i="2"/>
  <c r="E1453" i="2" s="1"/>
  <c r="D1452" i="2"/>
  <c r="C1452" i="2"/>
  <c r="E1452" i="2" s="1"/>
  <c r="D1451" i="2"/>
  <c r="C1451" i="2"/>
  <c r="E1451" i="2" s="1"/>
  <c r="D1450" i="2"/>
  <c r="C1450" i="2"/>
  <c r="D1449" i="2"/>
  <c r="C1449" i="2"/>
  <c r="E1449" i="2" s="1"/>
  <c r="D1448" i="2"/>
  <c r="C1448" i="2"/>
  <c r="E1448" i="2" s="1"/>
  <c r="D1447" i="2"/>
  <c r="C1447" i="2"/>
  <c r="D1446" i="2"/>
  <c r="C1446" i="2"/>
  <c r="D1445" i="2"/>
  <c r="C1445" i="2"/>
  <c r="E1445" i="2" s="1"/>
  <c r="D1444" i="2"/>
  <c r="C1444" i="2"/>
  <c r="E1444" i="2" s="1"/>
  <c r="D1443" i="2"/>
  <c r="C1443" i="2"/>
  <c r="E1443" i="2" s="1"/>
  <c r="D1442" i="2"/>
  <c r="C1442" i="2"/>
  <c r="D1441" i="2"/>
  <c r="C1441" i="2"/>
  <c r="E1441" i="2" s="1"/>
  <c r="D1440" i="2"/>
  <c r="C1440" i="2"/>
  <c r="E1440" i="2" s="1"/>
  <c r="D1439" i="2"/>
  <c r="C1439" i="2"/>
  <c r="D1438" i="2"/>
  <c r="C1438" i="2"/>
  <c r="D1437" i="2"/>
  <c r="C1437" i="2"/>
  <c r="E1437" i="2" s="1"/>
  <c r="D1436" i="2"/>
  <c r="C1436" i="2"/>
  <c r="E1436" i="2" s="1"/>
  <c r="D1435" i="2"/>
  <c r="C1435" i="2"/>
  <c r="E1435" i="2" s="1"/>
  <c r="D1434" i="2"/>
  <c r="C1434" i="2"/>
  <c r="D1433" i="2"/>
  <c r="C1433" i="2"/>
  <c r="E1433" i="2" s="1"/>
  <c r="D1432" i="2"/>
  <c r="C1432" i="2"/>
  <c r="E1432" i="2" s="1"/>
  <c r="D1431" i="2"/>
  <c r="C1431" i="2"/>
  <c r="D1430" i="2"/>
  <c r="C1430" i="2"/>
  <c r="D1429" i="2"/>
  <c r="C1429" i="2"/>
  <c r="E1429" i="2" s="1"/>
  <c r="D1428" i="2"/>
  <c r="C1428" i="2"/>
  <c r="E1428" i="2" s="1"/>
  <c r="D1427" i="2"/>
  <c r="C1427" i="2"/>
  <c r="E1427" i="2" s="1"/>
  <c r="D1426" i="2"/>
  <c r="C1426" i="2"/>
  <c r="D1425" i="2"/>
  <c r="C1425" i="2"/>
  <c r="E1425" i="2" s="1"/>
  <c r="D1424" i="2"/>
  <c r="C1424" i="2"/>
  <c r="E1424" i="2" s="1"/>
  <c r="D1423" i="2"/>
  <c r="C1423" i="2"/>
  <c r="D1422" i="2"/>
  <c r="C1422" i="2"/>
  <c r="D1421" i="2"/>
  <c r="C1421" i="2"/>
  <c r="E1421" i="2" s="1"/>
  <c r="D1420" i="2"/>
  <c r="C1420" i="2"/>
  <c r="E1420" i="2" s="1"/>
  <c r="D1419" i="2"/>
  <c r="C1419" i="2"/>
  <c r="E1419" i="2" s="1"/>
  <c r="D1418" i="2"/>
  <c r="C1418" i="2"/>
  <c r="D1417" i="2"/>
  <c r="C1417" i="2"/>
  <c r="E1417" i="2" s="1"/>
  <c r="D1416" i="2"/>
  <c r="C1416" i="2"/>
  <c r="E1416" i="2" s="1"/>
  <c r="D1415" i="2"/>
  <c r="C1415" i="2"/>
  <c r="D1414" i="2"/>
  <c r="C1414" i="2"/>
  <c r="D1413" i="2"/>
  <c r="C1413" i="2"/>
  <c r="E1413" i="2" s="1"/>
  <c r="D1412" i="2"/>
  <c r="C1412" i="2"/>
  <c r="E1412" i="2" s="1"/>
  <c r="D1411" i="2"/>
  <c r="C1411" i="2"/>
  <c r="E1411" i="2" s="1"/>
  <c r="D1410" i="2"/>
  <c r="C1410" i="2"/>
  <c r="D1409" i="2"/>
  <c r="C1409" i="2"/>
  <c r="E1409" i="2" s="1"/>
  <c r="D1408" i="2"/>
  <c r="C1408" i="2"/>
  <c r="E1408" i="2" s="1"/>
  <c r="D1407" i="2"/>
  <c r="C1407" i="2"/>
  <c r="D1406" i="2"/>
  <c r="C1406" i="2"/>
  <c r="D1405" i="2"/>
  <c r="C1405" i="2"/>
  <c r="E1405" i="2" s="1"/>
  <c r="D1404" i="2"/>
  <c r="C1404" i="2"/>
  <c r="E1404" i="2" s="1"/>
  <c r="D1403" i="2"/>
  <c r="C1403" i="2"/>
  <c r="E1403" i="2" s="1"/>
  <c r="D1402" i="2"/>
  <c r="C1402" i="2"/>
  <c r="D1401" i="2"/>
  <c r="C1401" i="2"/>
  <c r="E1401" i="2" s="1"/>
  <c r="D1400" i="2"/>
  <c r="C1400" i="2"/>
  <c r="E1400" i="2" s="1"/>
  <c r="D1399" i="2"/>
  <c r="C1399" i="2"/>
  <c r="D1398" i="2"/>
  <c r="C1398" i="2"/>
  <c r="D1397" i="2"/>
  <c r="C1397" i="2"/>
  <c r="E1397" i="2" s="1"/>
  <c r="D1396" i="2"/>
  <c r="C1396" i="2"/>
  <c r="E1396" i="2" s="1"/>
  <c r="D1395" i="2"/>
  <c r="C1395" i="2"/>
  <c r="E1395" i="2" s="1"/>
  <c r="D1394" i="2"/>
  <c r="C1394" i="2"/>
  <c r="D1393" i="2"/>
  <c r="C1393" i="2"/>
  <c r="E1393" i="2" s="1"/>
  <c r="D1392" i="2"/>
  <c r="C1392" i="2"/>
  <c r="E1392" i="2" s="1"/>
  <c r="D1391" i="2"/>
  <c r="C1391" i="2"/>
  <c r="D1390" i="2"/>
  <c r="C1390" i="2"/>
  <c r="D1389" i="2"/>
  <c r="C1389" i="2"/>
  <c r="E1389" i="2" s="1"/>
  <c r="D1388" i="2"/>
  <c r="C1388" i="2"/>
  <c r="E1388" i="2" s="1"/>
  <c r="D1387" i="2"/>
  <c r="C1387" i="2"/>
  <c r="E1387" i="2" s="1"/>
  <c r="D1386" i="2"/>
  <c r="C1386" i="2"/>
  <c r="D1385" i="2"/>
  <c r="C1385" i="2"/>
  <c r="E1385" i="2" s="1"/>
  <c r="D1384" i="2"/>
  <c r="C1384" i="2"/>
  <c r="E1384" i="2" s="1"/>
  <c r="D1383" i="2"/>
  <c r="C1383" i="2"/>
  <c r="D1382" i="2"/>
  <c r="C1382" i="2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D1377" i="2"/>
  <c r="C1377" i="2"/>
  <c r="E1377" i="2" s="1"/>
  <c r="D1376" i="2"/>
  <c r="C1376" i="2"/>
  <c r="E1376" i="2" s="1"/>
  <c r="D1375" i="2"/>
  <c r="C1375" i="2"/>
  <c r="D1374" i="2"/>
  <c r="C1374" i="2"/>
  <c r="D1373" i="2"/>
  <c r="C1373" i="2"/>
  <c r="E1373" i="2" s="1"/>
  <c r="D1372" i="2"/>
  <c r="C1372" i="2"/>
  <c r="E1372" i="2" s="1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D1366" i="2"/>
  <c r="C1366" i="2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D1361" i="2"/>
  <c r="C1361" i="2"/>
  <c r="E1361" i="2" s="1"/>
  <c r="D1360" i="2"/>
  <c r="C1360" i="2"/>
  <c r="E1360" i="2" s="1"/>
  <c r="D1359" i="2"/>
  <c r="C1359" i="2"/>
  <c r="D1358" i="2"/>
  <c r="C1358" i="2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D1353" i="2"/>
  <c r="C1353" i="2"/>
  <c r="E1353" i="2" s="1"/>
  <c r="D1352" i="2"/>
  <c r="C1352" i="2"/>
  <c r="E1352" i="2" s="1"/>
  <c r="D1351" i="2"/>
  <c r="C1351" i="2"/>
  <c r="D1350" i="2"/>
  <c r="C1350" i="2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D1345" i="2"/>
  <c r="C1345" i="2"/>
  <c r="E1345" i="2" s="1"/>
  <c r="D1344" i="2"/>
  <c r="C1344" i="2"/>
  <c r="E1344" i="2" s="1"/>
  <c r="D1343" i="2"/>
  <c r="C1343" i="2"/>
  <c r="D1342" i="2"/>
  <c r="C1342" i="2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D1334" i="2"/>
  <c r="C1334" i="2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D1329" i="2"/>
  <c r="C1329" i="2"/>
  <c r="E1329" i="2" s="1"/>
  <c r="D1328" i="2"/>
  <c r="C1328" i="2"/>
  <c r="E1328" i="2" s="1"/>
  <c r="D1327" i="2"/>
  <c r="C1327" i="2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D1321" i="2"/>
  <c r="C1321" i="2"/>
  <c r="E1321" i="2" s="1"/>
  <c r="D1320" i="2"/>
  <c r="C1320" i="2"/>
  <c r="E1320" i="2" s="1"/>
  <c r="D1319" i="2"/>
  <c r="C1319" i="2"/>
  <c r="D1318" i="2"/>
  <c r="C1318" i="2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D1313" i="2"/>
  <c r="C1313" i="2"/>
  <c r="E1313" i="2" s="1"/>
  <c r="D1312" i="2"/>
  <c r="C1312" i="2"/>
  <c r="E1312" i="2" s="1"/>
  <c r="D1311" i="2"/>
  <c r="C1311" i="2"/>
  <c r="D1310" i="2"/>
  <c r="C1310" i="2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D1305" i="2"/>
  <c r="C1305" i="2"/>
  <c r="E1305" i="2" s="1"/>
  <c r="D1304" i="2"/>
  <c r="C1304" i="2"/>
  <c r="E1304" i="2" s="1"/>
  <c r="D1303" i="2"/>
  <c r="C1303" i="2"/>
  <c r="D1302" i="2"/>
  <c r="C1302" i="2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D1297" i="2"/>
  <c r="C1297" i="2"/>
  <c r="E1297" i="2" s="1"/>
  <c r="D1296" i="2"/>
  <c r="C1296" i="2"/>
  <c r="E1296" i="2" s="1"/>
  <c r="D1295" i="2"/>
  <c r="C1295" i="2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D1286" i="2"/>
  <c r="C1286" i="2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D1281" i="2"/>
  <c r="C1281" i="2"/>
  <c r="D1280" i="2"/>
  <c r="C1280" i="2"/>
  <c r="E1280" i="2" s="1"/>
  <c r="D1279" i="2"/>
  <c r="C1279" i="2"/>
  <c r="D1278" i="2"/>
  <c r="C1278" i="2"/>
  <c r="D1277" i="2"/>
  <c r="C1277" i="2"/>
  <c r="E1277" i="2" s="1"/>
  <c r="D1276" i="2"/>
  <c r="C1276" i="2"/>
  <c r="E1276" i="2" s="1"/>
  <c r="D1275" i="2"/>
  <c r="C1275" i="2"/>
  <c r="E1275" i="2" s="1"/>
  <c r="D1274" i="2"/>
  <c r="C1274" i="2"/>
  <c r="D1273" i="2"/>
  <c r="C1273" i="2"/>
  <c r="D1272" i="2"/>
  <c r="C1272" i="2"/>
  <c r="E1272" i="2" s="1"/>
  <c r="D1271" i="2"/>
  <c r="C1271" i="2"/>
  <c r="D1270" i="2"/>
  <c r="C1270" i="2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D1265" i="2"/>
  <c r="C1265" i="2"/>
  <c r="D1264" i="2"/>
  <c r="C1264" i="2"/>
  <c r="E1264" i="2" s="1"/>
  <c r="D1263" i="2"/>
  <c r="C1263" i="2"/>
  <c r="D1262" i="2"/>
  <c r="C1262" i="2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D1257" i="2"/>
  <c r="C1257" i="2"/>
  <c r="D1256" i="2"/>
  <c r="C1256" i="2"/>
  <c r="E1256" i="2" s="1"/>
  <c r="D1255" i="2"/>
  <c r="C1255" i="2"/>
  <c r="D1254" i="2"/>
  <c r="C1254" i="2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D1249" i="2"/>
  <c r="C1249" i="2"/>
  <c r="D1248" i="2"/>
  <c r="C1248" i="2"/>
  <c r="E1248" i="2" s="1"/>
  <c r="D1247" i="2"/>
  <c r="C1247" i="2"/>
  <c r="D1246" i="2"/>
  <c r="C1246" i="2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D1241" i="2"/>
  <c r="C1241" i="2"/>
  <c r="E1241" i="2" s="1"/>
  <c r="D1240" i="2"/>
  <c r="C1240" i="2"/>
  <c r="E1240" i="2" s="1"/>
  <c r="D1239" i="2"/>
  <c r="C1239" i="2"/>
  <c r="D1238" i="2"/>
  <c r="C1238" i="2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D1233" i="2"/>
  <c r="C1233" i="2"/>
  <c r="D1232" i="2"/>
  <c r="C1232" i="2"/>
  <c r="E1232" i="2" s="1"/>
  <c r="D1231" i="2"/>
  <c r="C1231" i="2"/>
  <c r="D1230" i="2"/>
  <c r="C1230" i="2"/>
  <c r="D1229" i="2"/>
  <c r="C1229" i="2"/>
  <c r="E1229" i="2" s="1"/>
  <c r="D1228" i="2"/>
  <c r="C1228" i="2"/>
  <c r="E1228" i="2" s="1"/>
  <c r="D1227" i="2"/>
  <c r="C1227" i="2"/>
  <c r="E1227" i="2" s="1"/>
  <c r="D1226" i="2"/>
  <c r="C1226" i="2"/>
  <c r="D1225" i="2"/>
  <c r="C1225" i="2"/>
  <c r="E1225" i="2" s="1"/>
  <c r="D1224" i="2"/>
  <c r="C1224" i="2"/>
  <c r="E1224" i="2" s="1"/>
  <c r="D1223" i="2"/>
  <c r="C1223" i="2"/>
  <c r="D1222" i="2"/>
  <c r="C1222" i="2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D1217" i="2"/>
  <c r="C1217" i="2"/>
  <c r="D1216" i="2"/>
  <c r="C1216" i="2"/>
  <c r="E1216" i="2" s="1"/>
  <c r="D1215" i="2"/>
  <c r="C1215" i="2"/>
  <c r="D1214" i="2"/>
  <c r="C1214" i="2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D1209" i="2"/>
  <c r="C1209" i="2"/>
  <c r="D1208" i="2"/>
  <c r="C1208" i="2"/>
  <c r="E1208" i="2" s="1"/>
  <c r="D1207" i="2"/>
  <c r="C1207" i="2"/>
  <c r="D1206" i="2"/>
  <c r="C1206" i="2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D1198" i="2"/>
  <c r="C1198" i="2"/>
  <c r="D1197" i="2"/>
  <c r="C1197" i="2"/>
  <c r="E1197" i="2" s="1"/>
  <c r="D1196" i="2"/>
  <c r="C1196" i="2"/>
  <c r="E1196" i="2" s="1"/>
  <c r="D1195" i="2"/>
  <c r="C1195" i="2"/>
  <c r="D1194" i="2"/>
  <c r="C1194" i="2"/>
  <c r="D1193" i="2"/>
  <c r="C1193" i="2"/>
  <c r="E1193" i="2" s="1"/>
  <c r="D1192" i="2"/>
  <c r="C1192" i="2"/>
  <c r="E1192" i="2" s="1"/>
  <c r="D1191" i="2"/>
  <c r="C1191" i="2"/>
  <c r="D1190" i="2"/>
  <c r="C1190" i="2"/>
  <c r="D1189" i="2"/>
  <c r="C1189" i="2"/>
  <c r="E1189" i="2" s="1"/>
  <c r="D1188" i="2"/>
  <c r="C1188" i="2"/>
  <c r="E1188" i="2" s="1"/>
  <c r="D1187" i="2"/>
  <c r="C1187" i="2"/>
  <c r="D1186" i="2"/>
  <c r="C1186" i="2"/>
  <c r="D1185" i="2"/>
  <c r="E1185" i="2" s="1"/>
  <c r="C1185" i="2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E1179" i="2"/>
  <c r="D1179" i="2"/>
  <c r="C1179" i="2"/>
  <c r="D1178" i="2"/>
  <c r="E1178" i="2" s="1"/>
  <c r="C1178" i="2"/>
  <c r="E1177" i="2"/>
  <c r="D1177" i="2"/>
  <c r="C1177" i="2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E1172" i="2"/>
  <c r="D1172" i="2"/>
  <c r="C1172" i="2"/>
  <c r="D1171" i="2"/>
  <c r="C1171" i="2"/>
  <c r="E1171" i="2" s="1"/>
  <c r="E1170" i="2"/>
  <c r="D1170" i="2"/>
  <c r="C1170" i="2"/>
  <c r="D1169" i="2"/>
  <c r="E1169" i="2" s="1"/>
  <c r="C1169" i="2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E1163" i="2"/>
  <c r="D1163" i="2"/>
  <c r="C1163" i="2"/>
  <c r="D1162" i="2"/>
  <c r="E1162" i="2" s="1"/>
  <c r="C1162" i="2"/>
  <c r="E1161" i="2"/>
  <c r="D1161" i="2"/>
  <c r="C1161" i="2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E1156" i="2"/>
  <c r="D1156" i="2"/>
  <c r="C1156" i="2"/>
  <c r="D1155" i="2"/>
  <c r="C1155" i="2"/>
  <c r="E1155" i="2" s="1"/>
  <c r="E1154" i="2"/>
  <c r="D1154" i="2"/>
  <c r="C1154" i="2"/>
  <c r="D1153" i="2"/>
  <c r="C1153" i="2"/>
  <c r="E1153" i="2" s="1"/>
  <c r="E1152" i="2"/>
  <c r="D1152" i="2"/>
  <c r="C1152" i="2"/>
  <c r="D1151" i="2"/>
  <c r="C1151" i="2"/>
  <c r="E1151" i="2" s="1"/>
  <c r="E1150" i="2"/>
  <c r="D1150" i="2"/>
  <c r="C1150" i="2"/>
  <c r="D1149" i="2"/>
  <c r="C1149" i="2"/>
  <c r="E1149" i="2" s="1"/>
  <c r="E1148" i="2"/>
  <c r="D1148" i="2"/>
  <c r="C1148" i="2"/>
  <c r="D1147" i="2"/>
  <c r="C1147" i="2"/>
  <c r="E1147" i="2" s="1"/>
  <c r="E1146" i="2"/>
  <c r="D1146" i="2"/>
  <c r="C1146" i="2"/>
  <c r="D1145" i="2"/>
  <c r="C1145" i="2"/>
  <c r="E1145" i="2" s="1"/>
  <c r="E1144" i="2"/>
  <c r="D1144" i="2"/>
  <c r="C1144" i="2"/>
  <c r="D1143" i="2"/>
  <c r="C1143" i="2"/>
  <c r="E1143" i="2" s="1"/>
  <c r="E1142" i="2"/>
  <c r="D1142" i="2"/>
  <c r="C1142" i="2"/>
  <c r="D1141" i="2"/>
  <c r="C1141" i="2"/>
  <c r="E1141" i="2" s="1"/>
  <c r="E1140" i="2"/>
  <c r="D1140" i="2"/>
  <c r="C1140" i="2"/>
  <c r="D1139" i="2"/>
  <c r="C1139" i="2"/>
  <c r="E1139" i="2" s="1"/>
  <c r="E1138" i="2"/>
  <c r="D1138" i="2"/>
  <c r="C1138" i="2"/>
  <c r="D1137" i="2"/>
  <c r="C1137" i="2"/>
  <c r="E1137" i="2" s="1"/>
  <c r="E1136" i="2"/>
  <c r="D1136" i="2"/>
  <c r="C1136" i="2"/>
  <c r="D1135" i="2"/>
  <c r="C1135" i="2"/>
  <c r="E1135" i="2" s="1"/>
  <c r="E1134" i="2"/>
  <c r="D1134" i="2"/>
  <c r="C1134" i="2"/>
  <c r="D1133" i="2"/>
  <c r="C1133" i="2"/>
  <c r="E1133" i="2" s="1"/>
  <c r="E1132" i="2"/>
  <c r="D1132" i="2"/>
  <c r="C1132" i="2"/>
  <c r="D1131" i="2"/>
  <c r="C1131" i="2"/>
  <c r="E1131" i="2" s="1"/>
  <c r="E1130" i="2"/>
  <c r="D1130" i="2"/>
  <c r="C1130" i="2"/>
  <c r="D1129" i="2"/>
  <c r="C1129" i="2"/>
  <c r="E1129" i="2" s="1"/>
  <c r="E1128" i="2"/>
  <c r="D1128" i="2"/>
  <c r="C1128" i="2"/>
  <c r="D1127" i="2"/>
  <c r="C1127" i="2"/>
  <c r="E1127" i="2" s="1"/>
  <c r="E1126" i="2"/>
  <c r="D1126" i="2"/>
  <c r="C1126" i="2"/>
  <c r="D1125" i="2"/>
  <c r="C1125" i="2"/>
  <c r="E1125" i="2" s="1"/>
  <c r="E1124" i="2"/>
  <c r="D1124" i="2"/>
  <c r="C1124" i="2"/>
  <c r="D1123" i="2"/>
  <c r="C1123" i="2"/>
  <c r="E1123" i="2" s="1"/>
  <c r="E1122" i="2"/>
  <c r="D1122" i="2"/>
  <c r="C1122" i="2"/>
  <c r="D1121" i="2"/>
  <c r="C1121" i="2"/>
  <c r="E1121" i="2" s="1"/>
  <c r="E1120" i="2"/>
  <c r="D1120" i="2"/>
  <c r="C1120" i="2"/>
  <c r="D1119" i="2"/>
  <c r="C1119" i="2"/>
  <c r="E1119" i="2" s="1"/>
  <c r="E1118" i="2"/>
  <c r="D1118" i="2"/>
  <c r="C1118" i="2"/>
  <c r="D1117" i="2"/>
  <c r="C1117" i="2"/>
  <c r="E1117" i="2" s="1"/>
  <c r="E1116" i="2"/>
  <c r="D1116" i="2"/>
  <c r="C1116" i="2"/>
  <c r="D1115" i="2"/>
  <c r="C1115" i="2"/>
  <c r="E1115" i="2" s="1"/>
  <c r="E1114" i="2"/>
  <c r="D1114" i="2"/>
  <c r="C1114" i="2"/>
  <c r="D1113" i="2"/>
  <c r="C1113" i="2"/>
  <c r="E1113" i="2" s="1"/>
  <c r="E1112" i="2"/>
  <c r="D1112" i="2"/>
  <c r="C1112" i="2"/>
  <c r="D1111" i="2"/>
  <c r="C1111" i="2"/>
  <c r="E1111" i="2" s="1"/>
  <c r="E1110" i="2"/>
  <c r="D1110" i="2"/>
  <c r="C1110" i="2"/>
  <c r="D1109" i="2"/>
  <c r="C1109" i="2"/>
  <c r="E1109" i="2" s="1"/>
  <c r="E1108" i="2"/>
  <c r="D1108" i="2"/>
  <c r="C1108" i="2"/>
  <c r="D1107" i="2"/>
  <c r="C1107" i="2"/>
  <c r="E1107" i="2" s="1"/>
  <c r="E1106" i="2"/>
  <c r="D1106" i="2"/>
  <c r="C1106" i="2"/>
  <c r="D1105" i="2"/>
  <c r="C1105" i="2"/>
  <c r="E1105" i="2" s="1"/>
  <c r="E1104" i="2"/>
  <c r="D1104" i="2"/>
  <c r="C1104" i="2"/>
  <c r="D1103" i="2"/>
  <c r="C1103" i="2"/>
  <c r="E1103" i="2" s="1"/>
  <c r="E1102" i="2"/>
  <c r="D1102" i="2"/>
  <c r="C1102" i="2"/>
  <c r="D1101" i="2"/>
  <c r="C1101" i="2"/>
  <c r="E1101" i="2" s="1"/>
  <c r="E1100" i="2"/>
  <c r="D1100" i="2"/>
  <c r="C1100" i="2"/>
  <c r="D1099" i="2"/>
  <c r="C1099" i="2"/>
  <c r="E1099" i="2" s="1"/>
  <c r="E1098" i="2"/>
  <c r="D1098" i="2"/>
  <c r="C1098" i="2"/>
  <c r="D1097" i="2"/>
  <c r="C1097" i="2"/>
  <c r="E1097" i="2" s="1"/>
  <c r="E1096" i="2"/>
  <c r="D1096" i="2"/>
  <c r="C1096" i="2"/>
  <c r="D1095" i="2"/>
  <c r="C1095" i="2"/>
  <c r="E1095" i="2" s="1"/>
  <c r="E1094" i="2"/>
  <c r="D1094" i="2"/>
  <c r="C1094" i="2"/>
  <c r="D1093" i="2"/>
  <c r="C1093" i="2"/>
  <c r="E1093" i="2" s="1"/>
  <c r="E1092" i="2"/>
  <c r="D1092" i="2"/>
  <c r="C1092" i="2"/>
  <c r="D1091" i="2"/>
  <c r="C1091" i="2"/>
  <c r="E1091" i="2" s="1"/>
  <c r="E1090" i="2"/>
  <c r="D1090" i="2"/>
  <c r="C1090" i="2"/>
  <c r="D1089" i="2"/>
  <c r="C1089" i="2"/>
  <c r="E1089" i="2" s="1"/>
  <c r="E1088" i="2"/>
  <c r="D1088" i="2"/>
  <c r="C1088" i="2"/>
  <c r="D1087" i="2"/>
  <c r="C1087" i="2"/>
  <c r="E1087" i="2" s="1"/>
  <c r="E1086" i="2"/>
  <c r="D1086" i="2"/>
  <c r="C1086" i="2"/>
  <c r="D1085" i="2"/>
  <c r="C1085" i="2"/>
  <c r="E1085" i="2" s="1"/>
  <c r="E1084" i="2"/>
  <c r="D1084" i="2"/>
  <c r="C1084" i="2"/>
  <c r="D1083" i="2"/>
  <c r="C1083" i="2"/>
  <c r="E1083" i="2" s="1"/>
  <c r="E1082" i="2"/>
  <c r="D1082" i="2"/>
  <c r="C1082" i="2"/>
  <c r="D1081" i="2"/>
  <c r="C1081" i="2"/>
  <c r="E1081" i="2" s="1"/>
  <c r="E1080" i="2"/>
  <c r="D1080" i="2"/>
  <c r="C1080" i="2"/>
  <c r="D1079" i="2"/>
  <c r="C1079" i="2"/>
  <c r="E1079" i="2" s="1"/>
  <c r="E1078" i="2"/>
  <c r="D1078" i="2"/>
  <c r="C1078" i="2"/>
  <c r="D1077" i="2"/>
  <c r="C1077" i="2"/>
  <c r="E1077" i="2" s="1"/>
  <c r="E1076" i="2"/>
  <c r="D1076" i="2"/>
  <c r="C1076" i="2"/>
  <c r="D1075" i="2"/>
  <c r="C1075" i="2"/>
  <c r="E1075" i="2" s="1"/>
  <c r="E1074" i="2"/>
  <c r="D1074" i="2"/>
  <c r="C1074" i="2"/>
  <c r="D1073" i="2"/>
  <c r="C1073" i="2"/>
  <c r="E1073" i="2" s="1"/>
  <c r="E1072" i="2"/>
  <c r="D1072" i="2"/>
  <c r="C1072" i="2"/>
  <c r="D1071" i="2"/>
  <c r="C1071" i="2"/>
  <c r="E1071" i="2" s="1"/>
  <c r="E1070" i="2"/>
  <c r="D1070" i="2"/>
  <c r="C1070" i="2"/>
  <c r="D1069" i="2"/>
  <c r="C1069" i="2"/>
  <c r="E1069" i="2" s="1"/>
  <c r="E1068" i="2"/>
  <c r="D1068" i="2"/>
  <c r="C1068" i="2"/>
  <c r="D1067" i="2"/>
  <c r="C1067" i="2"/>
  <c r="E1067" i="2" s="1"/>
  <c r="E1066" i="2"/>
  <c r="D1066" i="2"/>
  <c r="C1066" i="2"/>
  <c r="D1065" i="2"/>
  <c r="C1065" i="2"/>
  <c r="E1065" i="2" s="1"/>
  <c r="D1064" i="2"/>
  <c r="C1064" i="2"/>
  <c r="E1064" i="2" s="1"/>
  <c r="D1063" i="2"/>
  <c r="C1063" i="2"/>
  <c r="E1063" i="2" s="1"/>
  <c r="E1062" i="2"/>
  <c r="D1062" i="2"/>
  <c r="C1062" i="2"/>
  <c r="D1061" i="2"/>
  <c r="C1061" i="2"/>
  <c r="E1061" i="2" s="1"/>
  <c r="D1060" i="2"/>
  <c r="C1060" i="2"/>
  <c r="E1060" i="2" s="1"/>
  <c r="D1059" i="2"/>
  <c r="C1059" i="2"/>
  <c r="E1059" i="2" s="1"/>
  <c r="E1058" i="2"/>
  <c r="D1058" i="2"/>
  <c r="C1058" i="2"/>
  <c r="D1057" i="2"/>
  <c r="C1057" i="2"/>
  <c r="E1057" i="2" s="1"/>
  <c r="D1056" i="2"/>
  <c r="C1056" i="2"/>
  <c r="E1056" i="2" s="1"/>
  <c r="D1055" i="2"/>
  <c r="C1055" i="2"/>
  <c r="E1055" i="2" s="1"/>
  <c r="E1054" i="2"/>
  <c r="D1054" i="2"/>
  <c r="C1054" i="2"/>
  <c r="D1053" i="2"/>
  <c r="C1053" i="2"/>
  <c r="E1053" i="2" s="1"/>
  <c r="D1052" i="2"/>
  <c r="C1052" i="2"/>
  <c r="E1052" i="2" s="1"/>
  <c r="D1051" i="2"/>
  <c r="C1051" i="2"/>
  <c r="E1051" i="2" s="1"/>
  <c r="E1050" i="2"/>
  <c r="D1050" i="2"/>
  <c r="C1050" i="2"/>
  <c r="D1049" i="2"/>
  <c r="C1049" i="2"/>
  <c r="E1049" i="2" s="1"/>
  <c r="D1048" i="2"/>
  <c r="C1048" i="2"/>
  <c r="E1048" i="2" s="1"/>
  <c r="D1047" i="2"/>
  <c r="C1047" i="2"/>
  <c r="E1047" i="2" s="1"/>
  <c r="E1046" i="2"/>
  <c r="D1046" i="2"/>
  <c r="C1046" i="2"/>
  <c r="D1045" i="2"/>
  <c r="C1045" i="2"/>
  <c r="E1045" i="2" s="1"/>
  <c r="D1044" i="2"/>
  <c r="C1044" i="2"/>
  <c r="E1044" i="2" s="1"/>
  <c r="D1043" i="2"/>
  <c r="C1043" i="2"/>
  <c r="E1043" i="2" s="1"/>
  <c r="E1042" i="2"/>
  <c r="D1042" i="2"/>
  <c r="C1042" i="2"/>
  <c r="D1041" i="2"/>
  <c r="C1041" i="2"/>
  <c r="E1041" i="2" s="1"/>
  <c r="D1040" i="2"/>
  <c r="C1040" i="2"/>
  <c r="E1040" i="2" s="1"/>
  <c r="D1039" i="2"/>
  <c r="C1039" i="2"/>
  <c r="E1039" i="2" s="1"/>
  <c r="E1038" i="2"/>
  <c r="D1038" i="2"/>
  <c r="C1038" i="2"/>
  <c r="D1037" i="2"/>
  <c r="C1037" i="2"/>
  <c r="E1037" i="2" s="1"/>
  <c r="D1036" i="2"/>
  <c r="C1036" i="2"/>
  <c r="E1036" i="2" s="1"/>
  <c r="D1035" i="2"/>
  <c r="C1035" i="2"/>
  <c r="E1035" i="2" s="1"/>
  <c r="E1034" i="2"/>
  <c r="D1034" i="2"/>
  <c r="C1034" i="2"/>
  <c r="D1033" i="2"/>
  <c r="C1033" i="2"/>
  <c r="E1033" i="2" s="1"/>
  <c r="D1032" i="2"/>
  <c r="C1032" i="2"/>
  <c r="E1032" i="2" s="1"/>
  <c r="D1031" i="2"/>
  <c r="C1031" i="2"/>
  <c r="E1031" i="2" s="1"/>
  <c r="E1030" i="2"/>
  <c r="D1030" i="2"/>
  <c r="C1030" i="2"/>
  <c r="D1029" i="2"/>
  <c r="C1029" i="2"/>
  <c r="E1029" i="2" s="1"/>
  <c r="D1028" i="2"/>
  <c r="C1028" i="2"/>
  <c r="E1028" i="2" s="1"/>
  <c r="D1027" i="2"/>
  <c r="C1027" i="2"/>
  <c r="E1027" i="2" s="1"/>
  <c r="E1026" i="2"/>
  <c r="D1026" i="2"/>
  <c r="C1026" i="2"/>
  <c r="D1025" i="2"/>
  <c r="C1025" i="2"/>
  <c r="E1025" i="2" s="1"/>
  <c r="D1024" i="2"/>
  <c r="C1024" i="2"/>
  <c r="E1024" i="2" s="1"/>
  <c r="D1023" i="2"/>
  <c r="C1023" i="2"/>
  <c r="E1023" i="2" s="1"/>
  <c r="E1022" i="2"/>
  <c r="D1022" i="2"/>
  <c r="C1022" i="2"/>
  <c r="D1021" i="2"/>
  <c r="C1021" i="2"/>
  <c r="E1021" i="2" s="1"/>
  <c r="D1020" i="2"/>
  <c r="C1020" i="2"/>
  <c r="E1020" i="2" s="1"/>
  <c r="D1019" i="2"/>
  <c r="C1019" i="2"/>
  <c r="E1019" i="2" s="1"/>
  <c r="E1018" i="2"/>
  <c r="D1018" i="2"/>
  <c r="C1018" i="2"/>
  <c r="D1017" i="2"/>
  <c r="C1017" i="2"/>
  <c r="E1017" i="2" s="1"/>
  <c r="D1016" i="2"/>
  <c r="C1016" i="2"/>
  <c r="E1016" i="2" s="1"/>
  <c r="D1015" i="2"/>
  <c r="C1015" i="2"/>
  <c r="E1015" i="2" s="1"/>
  <c r="E1014" i="2"/>
  <c r="D1014" i="2"/>
  <c r="C1014" i="2"/>
  <c r="D1013" i="2"/>
  <c r="C1013" i="2"/>
  <c r="E1013" i="2" s="1"/>
  <c r="D1012" i="2"/>
  <c r="C1012" i="2"/>
  <c r="E1012" i="2" s="1"/>
  <c r="D1011" i="2"/>
  <c r="C1011" i="2"/>
  <c r="E1011" i="2" s="1"/>
  <c r="E1010" i="2"/>
  <c r="D1010" i="2"/>
  <c r="C1010" i="2"/>
  <c r="D1009" i="2"/>
  <c r="C1009" i="2"/>
  <c r="E1009" i="2" s="1"/>
  <c r="D1008" i="2"/>
  <c r="C1008" i="2"/>
  <c r="E1008" i="2" s="1"/>
  <c r="D1007" i="2"/>
  <c r="C1007" i="2"/>
  <c r="E1007" i="2" s="1"/>
  <c r="E1006" i="2"/>
  <c r="D1006" i="2"/>
  <c r="C1006" i="2"/>
  <c r="D1005" i="2"/>
  <c r="C1005" i="2"/>
  <c r="E1005" i="2" s="1"/>
  <c r="D1004" i="2"/>
  <c r="C1004" i="2"/>
  <c r="E1004" i="2" s="1"/>
  <c r="D1003" i="2"/>
  <c r="C1003" i="2"/>
  <c r="E1003" i="2" s="1"/>
  <c r="E1002" i="2"/>
  <c r="D1002" i="2"/>
  <c r="C1002" i="2"/>
  <c r="D1001" i="2"/>
  <c r="C1001" i="2"/>
  <c r="E1001" i="2" s="1"/>
  <c r="D1000" i="2"/>
  <c r="C1000" i="2"/>
  <c r="E1000" i="2" s="1"/>
  <c r="D999" i="2"/>
  <c r="C999" i="2"/>
  <c r="E999" i="2" s="1"/>
  <c r="E998" i="2"/>
  <c r="D998" i="2"/>
  <c r="C998" i="2"/>
  <c r="D997" i="2"/>
  <c r="C997" i="2"/>
  <c r="E997" i="2" s="1"/>
  <c r="D996" i="2"/>
  <c r="C996" i="2"/>
  <c r="E996" i="2" s="1"/>
  <c r="D995" i="2"/>
  <c r="C995" i="2"/>
  <c r="E995" i="2" s="1"/>
  <c r="E994" i="2"/>
  <c r="D994" i="2"/>
  <c r="C994" i="2"/>
  <c r="D993" i="2"/>
  <c r="C993" i="2"/>
  <c r="E993" i="2" s="1"/>
  <c r="D992" i="2"/>
  <c r="C992" i="2"/>
  <c r="E992" i="2" s="1"/>
  <c r="D991" i="2"/>
  <c r="C991" i="2"/>
  <c r="E991" i="2" s="1"/>
  <c r="E990" i="2"/>
  <c r="D990" i="2"/>
  <c r="C990" i="2"/>
  <c r="D989" i="2"/>
  <c r="C989" i="2"/>
  <c r="E989" i="2" s="1"/>
  <c r="D988" i="2"/>
  <c r="C988" i="2"/>
  <c r="E988" i="2" s="1"/>
  <c r="D987" i="2"/>
  <c r="C987" i="2"/>
  <c r="E987" i="2" s="1"/>
  <c r="E986" i="2"/>
  <c r="D986" i="2"/>
  <c r="C986" i="2"/>
  <c r="D985" i="2"/>
  <c r="C985" i="2"/>
  <c r="E985" i="2" s="1"/>
  <c r="D984" i="2"/>
  <c r="C984" i="2"/>
  <c r="E984" i="2" s="1"/>
  <c r="D983" i="2"/>
  <c r="C983" i="2"/>
  <c r="E983" i="2" s="1"/>
  <c r="E982" i="2"/>
  <c r="D982" i="2"/>
  <c r="C982" i="2"/>
  <c r="D981" i="2"/>
  <c r="C981" i="2"/>
  <c r="E981" i="2" s="1"/>
  <c r="D980" i="2"/>
  <c r="C980" i="2"/>
  <c r="E980" i="2" s="1"/>
  <c r="D979" i="2"/>
  <c r="C979" i="2"/>
  <c r="E979" i="2" s="1"/>
  <c r="E978" i="2"/>
  <c r="D978" i="2"/>
  <c r="C978" i="2"/>
  <c r="D977" i="2"/>
  <c r="C977" i="2"/>
  <c r="E977" i="2" s="1"/>
  <c r="D976" i="2"/>
  <c r="C976" i="2"/>
  <c r="E976" i="2" s="1"/>
  <c r="D975" i="2"/>
  <c r="C975" i="2"/>
  <c r="E975" i="2" s="1"/>
  <c r="E974" i="2"/>
  <c r="D974" i="2"/>
  <c r="C974" i="2"/>
  <c r="D973" i="2"/>
  <c r="C973" i="2"/>
  <c r="E973" i="2" s="1"/>
  <c r="D972" i="2"/>
  <c r="C972" i="2"/>
  <c r="E972" i="2" s="1"/>
  <c r="D971" i="2"/>
  <c r="C971" i="2"/>
  <c r="E971" i="2" s="1"/>
  <c r="E970" i="2"/>
  <c r="D970" i="2"/>
  <c r="C970" i="2"/>
  <c r="D969" i="2"/>
  <c r="C969" i="2"/>
  <c r="E969" i="2" s="1"/>
  <c r="D968" i="2"/>
  <c r="C968" i="2"/>
  <c r="E968" i="2" s="1"/>
  <c r="D967" i="2"/>
  <c r="C967" i="2"/>
  <c r="E967" i="2" s="1"/>
  <c r="E966" i="2"/>
  <c r="D966" i="2"/>
  <c r="C966" i="2"/>
  <c r="D965" i="2"/>
  <c r="C965" i="2"/>
  <c r="E965" i="2" s="1"/>
  <c r="D964" i="2"/>
  <c r="C964" i="2"/>
  <c r="E964" i="2" s="1"/>
  <c r="D963" i="2"/>
  <c r="C963" i="2"/>
  <c r="E963" i="2" s="1"/>
  <c r="E962" i="2"/>
  <c r="D962" i="2"/>
  <c r="C962" i="2"/>
  <c r="D961" i="2"/>
  <c r="C961" i="2"/>
  <c r="E961" i="2" s="1"/>
  <c r="D960" i="2"/>
  <c r="C960" i="2"/>
  <c r="E960" i="2" s="1"/>
  <c r="D959" i="2"/>
  <c r="C959" i="2"/>
  <c r="E959" i="2" s="1"/>
  <c r="E958" i="2"/>
  <c r="D958" i="2"/>
  <c r="C958" i="2"/>
  <c r="D957" i="2"/>
  <c r="C957" i="2"/>
  <c r="E957" i="2" s="1"/>
  <c r="D956" i="2"/>
  <c r="C956" i="2"/>
  <c r="E956" i="2" s="1"/>
  <c r="D955" i="2"/>
  <c r="C955" i="2"/>
  <c r="D954" i="2"/>
  <c r="E954" i="2" s="1"/>
  <c r="C954" i="2"/>
  <c r="D953" i="2"/>
  <c r="C953" i="2"/>
  <c r="E953" i="2" s="1"/>
  <c r="D952" i="2"/>
  <c r="C952" i="2"/>
  <c r="E952" i="2" s="1"/>
  <c r="D951" i="2"/>
  <c r="C951" i="2"/>
  <c r="E950" i="2"/>
  <c r="D950" i="2"/>
  <c r="C950" i="2"/>
  <c r="D949" i="2"/>
  <c r="C949" i="2"/>
  <c r="E949" i="2" s="1"/>
  <c r="D948" i="2"/>
  <c r="C948" i="2"/>
  <c r="E948" i="2" s="1"/>
  <c r="D947" i="2"/>
  <c r="C947" i="2"/>
  <c r="E946" i="2"/>
  <c r="D946" i="2"/>
  <c r="C946" i="2"/>
  <c r="D945" i="2"/>
  <c r="C945" i="2"/>
  <c r="E945" i="2" s="1"/>
  <c r="D944" i="2"/>
  <c r="C944" i="2"/>
  <c r="E944" i="2" s="1"/>
  <c r="D943" i="2"/>
  <c r="C943" i="2"/>
  <c r="E942" i="2"/>
  <c r="D942" i="2"/>
  <c r="C942" i="2"/>
  <c r="D941" i="2"/>
  <c r="C941" i="2"/>
  <c r="E941" i="2" s="1"/>
  <c r="D940" i="2"/>
  <c r="C940" i="2"/>
  <c r="E940" i="2" s="1"/>
  <c r="D939" i="2"/>
  <c r="C939" i="2"/>
  <c r="D938" i="2"/>
  <c r="E938" i="2" s="1"/>
  <c r="C938" i="2"/>
  <c r="D937" i="2"/>
  <c r="C937" i="2"/>
  <c r="E937" i="2" s="1"/>
  <c r="D936" i="2"/>
  <c r="C936" i="2"/>
  <c r="E936" i="2" s="1"/>
  <c r="D935" i="2"/>
  <c r="C935" i="2"/>
  <c r="E934" i="2"/>
  <c r="D934" i="2"/>
  <c r="C934" i="2"/>
  <c r="D933" i="2"/>
  <c r="C933" i="2"/>
  <c r="E933" i="2" s="1"/>
  <c r="D932" i="2"/>
  <c r="C932" i="2"/>
  <c r="E932" i="2" s="1"/>
  <c r="D931" i="2"/>
  <c r="C931" i="2"/>
  <c r="D930" i="2"/>
  <c r="E930" i="2" s="1"/>
  <c r="C930" i="2"/>
  <c r="D929" i="2"/>
  <c r="C929" i="2"/>
  <c r="E929" i="2" s="1"/>
  <c r="D928" i="2"/>
  <c r="C928" i="2"/>
  <c r="E928" i="2" s="1"/>
  <c r="D927" i="2"/>
  <c r="C927" i="2"/>
  <c r="E926" i="2"/>
  <c r="D926" i="2"/>
  <c r="C926" i="2"/>
  <c r="D925" i="2"/>
  <c r="C925" i="2"/>
  <c r="E925" i="2" s="1"/>
  <c r="D924" i="2"/>
  <c r="C924" i="2"/>
  <c r="E924" i="2" s="1"/>
  <c r="D923" i="2"/>
  <c r="C923" i="2"/>
  <c r="D922" i="2"/>
  <c r="E922" i="2" s="1"/>
  <c r="C922" i="2"/>
  <c r="D921" i="2"/>
  <c r="C921" i="2"/>
  <c r="E921" i="2" s="1"/>
  <c r="D920" i="2"/>
  <c r="C920" i="2"/>
  <c r="E920" i="2" s="1"/>
  <c r="D919" i="2"/>
  <c r="C919" i="2"/>
  <c r="E918" i="2"/>
  <c r="D918" i="2"/>
  <c r="C918" i="2"/>
  <c r="D917" i="2"/>
  <c r="C917" i="2"/>
  <c r="E917" i="2" s="1"/>
  <c r="D916" i="2"/>
  <c r="C916" i="2"/>
  <c r="E916" i="2" s="1"/>
  <c r="D915" i="2"/>
  <c r="C915" i="2"/>
  <c r="E914" i="2"/>
  <c r="D914" i="2"/>
  <c r="C914" i="2"/>
  <c r="D913" i="2"/>
  <c r="C913" i="2"/>
  <c r="E913" i="2" s="1"/>
  <c r="D912" i="2"/>
  <c r="C912" i="2"/>
  <c r="E912" i="2" s="1"/>
  <c r="D911" i="2"/>
  <c r="C911" i="2"/>
  <c r="E910" i="2"/>
  <c r="D910" i="2"/>
  <c r="C910" i="2"/>
  <c r="D909" i="2"/>
  <c r="C909" i="2"/>
  <c r="E909" i="2" s="1"/>
  <c r="D908" i="2"/>
  <c r="C908" i="2"/>
  <c r="E908" i="2" s="1"/>
  <c r="D907" i="2"/>
  <c r="C907" i="2"/>
  <c r="D906" i="2"/>
  <c r="E906" i="2" s="1"/>
  <c r="C906" i="2"/>
  <c r="D905" i="2"/>
  <c r="C905" i="2"/>
  <c r="D904" i="2"/>
  <c r="C904" i="2"/>
  <c r="D903" i="2"/>
  <c r="C903" i="2"/>
  <c r="E903" i="2" s="1"/>
  <c r="D902" i="2"/>
  <c r="C902" i="2"/>
  <c r="E902" i="2" s="1"/>
  <c r="D901" i="2"/>
  <c r="C901" i="2"/>
  <c r="E901" i="2" s="1"/>
  <c r="E900" i="2"/>
  <c r="D900" i="2"/>
  <c r="C900" i="2"/>
  <c r="D899" i="2"/>
  <c r="C899" i="2"/>
  <c r="E898" i="2"/>
  <c r="D898" i="2"/>
  <c r="C898" i="2"/>
  <c r="D897" i="2"/>
  <c r="C897" i="2"/>
  <c r="D896" i="2"/>
  <c r="C896" i="2"/>
  <c r="E896" i="2" s="1"/>
  <c r="D895" i="2"/>
  <c r="C895" i="2"/>
  <c r="E895" i="2" s="1"/>
  <c r="D894" i="2"/>
  <c r="C894" i="2"/>
  <c r="E894" i="2" s="1"/>
  <c r="D893" i="2"/>
  <c r="C893" i="2"/>
  <c r="E892" i="2"/>
  <c r="D892" i="2"/>
  <c r="C892" i="2"/>
  <c r="D891" i="2"/>
  <c r="C891" i="2"/>
  <c r="E890" i="2"/>
  <c r="D890" i="2"/>
  <c r="C890" i="2"/>
  <c r="D889" i="2"/>
  <c r="C889" i="2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E884" i="2"/>
  <c r="D884" i="2"/>
  <c r="C884" i="2"/>
  <c r="D883" i="2"/>
  <c r="C883" i="2"/>
  <c r="E882" i="2"/>
  <c r="D882" i="2"/>
  <c r="C882" i="2"/>
  <c r="D881" i="2"/>
  <c r="C881" i="2"/>
  <c r="D880" i="2"/>
  <c r="C880" i="2"/>
  <c r="E880" i="2" s="1"/>
  <c r="D879" i="2"/>
  <c r="C879" i="2"/>
  <c r="E879" i="2" s="1"/>
  <c r="D878" i="2"/>
  <c r="C878" i="2"/>
  <c r="E878" i="2" s="1"/>
  <c r="D877" i="2"/>
  <c r="C877" i="2"/>
  <c r="E876" i="2"/>
  <c r="D876" i="2"/>
  <c r="C876" i="2"/>
  <c r="D875" i="2"/>
  <c r="C875" i="2"/>
  <c r="D874" i="2"/>
  <c r="E874" i="2" s="1"/>
  <c r="C874" i="2"/>
  <c r="D873" i="2"/>
  <c r="C873" i="2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E868" i="2"/>
  <c r="D868" i="2"/>
  <c r="C868" i="2"/>
  <c r="D867" i="2"/>
  <c r="C867" i="2"/>
  <c r="E866" i="2"/>
  <c r="D866" i="2"/>
  <c r="C866" i="2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0" i="2"/>
  <c r="D860" i="2"/>
  <c r="C860" i="2"/>
  <c r="D859" i="2"/>
  <c r="C859" i="2"/>
  <c r="D858" i="2"/>
  <c r="E858" i="2" s="1"/>
  <c r="C858" i="2"/>
  <c r="D857" i="2"/>
  <c r="C857" i="2"/>
  <c r="D856" i="2"/>
  <c r="C856" i="2"/>
  <c r="D855" i="2"/>
  <c r="C855" i="2"/>
  <c r="E855" i="2" s="1"/>
  <c r="D854" i="2"/>
  <c r="C854" i="2"/>
  <c r="E854" i="2" s="1"/>
  <c r="D853" i="2"/>
  <c r="C853" i="2"/>
  <c r="E853" i="2" s="1"/>
  <c r="E852" i="2"/>
  <c r="D852" i="2"/>
  <c r="C852" i="2"/>
  <c r="D851" i="2"/>
  <c r="C851" i="2"/>
  <c r="E850" i="2"/>
  <c r="D850" i="2"/>
  <c r="C850" i="2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E797" i="2" s="1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E775" i="2" s="1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D757" i="2"/>
  <c r="C757" i="2"/>
  <c r="E757" i="2" s="1"/>
  <c r="D756" i="2"/>
  <c r="C756" i="2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D749" i="2"/>
  <c r="C749" i="2"/>
  <c r="E749" i="2" s="1"/>
  <c r="D748" i="2"/>
  <c r="C748" i="2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D741" i="2"/>
  <c r="C741" i="2"/>
  <c r="E741" i="2" s="1"/>
  <c r="D740" i="2"/>
  <c r="C740" i="2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E735" i="2" s="1"/>
  <c r="D734" i="2"/>
  <c r="C734" i="2"/>
  <c r="D733" i="2"/>
  <c r="C733" i="2"/>
  <c r="E733" i="2" s="1"/>
  <c r="D732" i="2"/>
  <c r="C732" i="2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D725" i="2"/>
  <c r="C725" i="2"/>
  <c r="E725" i="2" s="1"/>
  <c r="D724" i="2"/>
  <c r="C724" i="2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E719" i="2" s="1"/>
  <c r="D718" i="2"/>
  <c r="C718" i="2"/>
  <c r="D717" i="2"/>
  <c r="C717" i="2"/>
  <c r="E717" i="2" s="1"/>
  <c r="D716" i="2"/>
  <c r="C716" i="2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D709" i="2"/>
  <c r="C709" i="2"/>
  <c r="E709" i="2" s="1"/>
  <c r="D708" i="2"/>
  <c r="C708" i="2"/>
  <c r="D707" i="2"/>
  <c r="C707" i="2"/>
  <c r="E707" i="2" s="1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D701" i="2"/>
  <c r="C701" i="2"/>
  <c r="E701" i="2" s="1"/>
  <c r="D700" i="2"/>
  <c r="C700" i="2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D693" i="2"/>
  <c r="C693" i="2"/>
  <c r="D692" i="2"/>
  <c r="C692" i="2"/>
  <c r="D691" i="2"/>
  <c r="C691" i="2"/>
  <c r="D690" i="2"/>
  <c r="C690" i="2"/>
  <c r="E690" i="2" s="1"/>
  <c r="D689" i="2"/>
  <c r="C689" i="2"/>
  <c r="D688" i="2"/>
  <c r="C688" i="2"/>
  <c r="E688" i="2" s="1"/>
  <c r="D687" i="2"/>
  <c r="C687" i="2"/>
  <c r="E687" i="2" s="1"/>
  <c r="D686" i="2"/>
  <c r="C686" i="2"/>
  <c r="D685" i="2"/>
  <c r="C685" i="2"/>
  <c r="D684" i="2"/>
  <c r="C684" i="2"/>
  <c r="D683" i="2"/>
  <c r="C683" i="2"/>
  <c r="D682" i="2"/>
  <c r="C682" i="2"/>
  <c r="E682" i="2" s="1"/>
  <c r="D681" i="2"/>
  <c r="C681" i="2"/>
  <c r="D680" i="2"/>
  <c r="C680" i="2"/>
  <c r="E680" i="2" s="1"/>
  <c r="D679" i="2"/>
  <c r="C679" i="2"/>
  <c r="E679" i="2" s="1"/>
  <c r="D678" i="2"/>
  <c r="C678" i="2"/>
  <c r="D677" i="2"/>
  <c r="C677" i="2"/>
  <c r="D676" i="2"/>
  <c r="C676" i="2"/>
  <c r="D675" i="2"/>
  <c r="C675" i="2"/>
  <c r="D674" i="2"/>
  <c r="C674" i="2"/>
  <c r="E674" i="2" s="1"/>
  <c r="D673" i="2"/>
  <c r="C673" i="2"/>
  <c r="D672" i="2"/>
  <c r="C672" i="2"/>
  <c r="E672" i="2" s="1"/>
  <c r="D671" i="2"/>
  <c r="C671" i="2"/>
  <c r="E671" i="2" s="1"/>
  <c r="D670" i="2"/>
  <c r="C670" i="2"/>
  <c r="D669" i="2"/>
  <c r="C669" i="2"/>
  <c r="D668" i="2"/>
  <c r="C668" i="2"/>
  <c r="D667" i="2"/>
  <c r="C667" i="2"/>
  <c r="D666" i="2"/>
  <c r="C666" i="2"/>
  <c r="E666" i="2" s="1"/>
  <c r="D665" i="2"/>
  <c r="C665" i="2"/>
  <c r="D664" i="2"/>
  <c r="C664" i="2"/>
  <c r="E664" i="2" s="1"/>
  <c r="D663" i="2"/>
  <c r="C663" i="2"/>
  <c r="E663" i="2" s="1"/>
  <c r="D662" i="2"/>
  <c r="C662" i="2"/>
  <c r="D661" i="2"/>
  <c r="C661" i="2"/>
  <c r="D660" i="2"/>
  <c r="C660" i="2"/>
  <c r="D659" i="2"/>
  <c r="C659" i="2"/>
  <c r="D658" i="2"/>
  <c r="C658" i="2"/>
  <c r="E658" i="2" s="1"/>
  <c r="D657" i="2"/>
  <c r="C657" i="2"/>
  <c r="D656" i="2"/>
  <c r="C656" i="2"/>
  <c r="E656" i="2" s="1"/>
  <c r="D655" i="2"/>
  <c r="C655" i="2"/>
  <c r="E655" i="2" s="1"/>
  <c r="D654" i="2"/>
  <c r="C654" i="2"/>
  <c r="D653" i="2"/>
  <c r="C653" i="2"/>
  <c r="D652" i="2"/>
  <c r="C652" i="2"/>
  <c r="D651" i="2"/>
  <c r="C651" i="2"/>
  <c r="D650" i="2"/>
  <c r="C650" i="2"/>
  <c r="E650" i="2" s="1"/>
  <c r="D649" i="2"/>
  <c r="C649" i="2"/>
  <c r="D648" i="2"/>
  <c r="C648" i="2"/>
  <c r="E648" i="2" s="1"/>
  <c r="D647" i="2"/>
  <c r="C647" i="2"/>
  <c r="E647" i="2" s="1"/>
  <c r="D646" i="2"/>
  <c r="C646" i="2"/>
  <c r="D645" i="2"/>
  <c r="C645" i="2"/>
  <c r="D644" i="2"/>
  <c r="C644" i="2"/>
  <c r="D643" i="2"/>
  <c r="C643" i="2"/>
  <c r="D642" i="2"/>
  <c r="C642" i="2"/>
  <c r="E642" i="2" s="1"/>
  <c r="D641" i="2"/>
  <c r="C641" i="2"/>
  <c r="D640" i="2"/>
  <c r="C640" i="2"/>
  <c r="E640" i="2" s="1"/>
  <c r="D639" i="2"/>
  <c r="C639" i="2"/>
  <c r="E639" i="2" s="1"/>
  <c r="D638" i="2"/>
  <c r="C638" i="2"/>
  <c r="D637" i="2"/>
  <c r="C637" i="2"/>
  <c r="D636" i="2"/>
  <c r="C636" i="2"/>
  <c r="D635" i="2"/>
  <c r="C635" i="2"/>
  <c r="D634" i="2"/>
  <c r="C634" i="2"/>
  <c r="E634" i="2" s="1"/>
  <c r="D633" i="2"/>
  <c r="C633" i="2"/>
  <c r="D632" i="2"/>
  <c r="C632" i="2"/>
  <c r="E632" i="2" s="1"/>
  <c r="D631" i="2"/>
  <c r="C631" i="2"/>
  <c r="E631" i="2" s="1"/>
  <c r="D630" i="2"/>
  <c r="C630" i="2"/>
  <c r="D629" i="2"/>
  <c r="C629" i="2"/>
  <c r="D628" i="2"/>
  <c r="C628" i="2"/>
  <c r="D627" i="2"/>
  <c r="C627" i="2"/>
  <c r="D626" i="2"/>
  <c r="C626" i="2"/>
  <c r="E626" i="2" s="1"/>
  <c r="D625" i="2"/>
  <c r="C625" i="2"/>
  <c r="D624" i="2"/>
  <c r="C624" i="2"/>
  <c r="E624" i="2" s="1"/>
  <c r="D623" i="2"/>
  <c r="C623" i="2"/>
  <c r="E623" i="2" s="1"/>
  <c r="D622" i="2"/>
  <c r="C622" i="2"/>
  <c r="D621" i="2"/>
  <c r="C621" i="2"/>
  <c r="D620" i="2"/>
  <c r="C620" i="2"/>
  <c r="D619" i="2"/>
  <c r="C619" i="2"/>
  <c r="D618" i="2"/>
  <c r="C618" i="2"/>
  <c r="E618" i="2" s="1"/>
  <c r="D617" i="2"/>
  <c r="C617" i="2"/>
  <c r="D616" i="2"/>
  <c r="C616" i="2"/>
  <c r="E616" i="2" s="1"/>
  <c r="D615" i="2"/>
  <c r="C615" i="2"/>
  <c r="E615" i="2" s="1"/>
  <c r="D614" i="2"/>
  <c r="C614" i="2"/>
  <c r="D613" i="2"/>
  <c r="C613" i="2"/>
  <c r="D612" i="2"/>
  <c r="C612" i="2"/>
  <c r="D611" i="2"/>
  <c r="C611" i="2"/>
  <c r="D610" i="2"/>
  <c r="C610" i="2"/>
  <c r="E610" i="2" s="1"/>
  <c r="D609" i="2"/>
  <c r="C609" i="2"/>
  <c r="D608" i="2"/>
  <c r="C608" i="2"/>
  <c r="E608" i="2" s="1"/>
  <c r="D607" i="2"/>
  <c r="C607" i="2"/>
  <c r="E607" i="2" s="1"/>
  <c r="E606" i="2"/>
  <c r="D606" i="2"/>
  <c r="C606" i="2"/>
  <c r="D605" i="2"/>
  <c r="C605" i="2"/>
  <c r="E605" i="2" s="1"/>
  <c r="E604" i="2"/>
  <c r="D604" i="2"/>
  <c r="C604" i="2"/>
  <c r="D603" i="2"/>
  <c r="C603" i="2"/>
  <c r="E603" i="2" s="1"/>
  <c r="E602" i="2"/>
  <c r="D602" i="2"/>
  <c r="C602" i="2"/>
  <c r="D601" i="2"/>
  <c r="C601" i="2"/>
  <c r="E601" i="2" s="1"/>
  <c r="D600" i="2"/>
  <c r="C600" i="2"/>
  <c r="E600" i="2" s="1"/>
  <c r="D599" i="2"/>
  <c r="C599" i="2"/>
  <c r="E599" i="2" s="1"/>
  <c r="E598" i="2"/>
  <c r="D598" i="2"/>
  <c r="C598" i="2"/>
  <c r="D597" i="2"/>
  <c r="C597" i="2"/>
  <c r="E597" i="2" s="1"/>
  <c r="E596" i="2"/>
  <c r="D596" i="2"/>
  <c r="C596" i="2"/>
  <c r="D595" i="2"/>
  <c r="C595" i="2"/>
  <c r="E595" i="2" s="1"/>
  <c r="E594" i="2"/>
  <c r="D594" i="2"/>
  <c r="C594" i="2"/>
  <c r="D593" i="2"/>
  <c r="C593" i="2"/>
  <c r="E593" i="2" s="1"/>
  <c r="D592" i="2"/>
  <c r="C592" i="2"/>
  <c r="E592" i="2" s="1"/>
  <c r="D591" i="2"/>
  <c r="C591" i="2"/>
  <c r="E591" i="2" s="1"/>
  <c r="E590" i="2"/>
  <c r="D590" i="2"/>
  <c r="C590" i="2"/>
  <c r="D589" i="2"/>
  <c r="C589" i="2"/>
  <c r="E589" i="2" s="1"/>
  <c r="E588" i="2"/>
  <c r="D588" i="2"/>
  <c r="C588" i="2"/>
  <c r="D587" i="2"/>
  <c r="C587" i="2"/>
  <c r="E587" i="2" s="1"/>
  <c r="E586" i="2"/>
  <c r="D586" i="2"/>
  <c r="C586" i="2"/>
  <c r="D585" i="2"/>
  <c r="C585" i="2"/>
  <c r="E585" i="2" s="1"/>
  <c r="D584" i="2"/>
  <c r="C584" i="2"/>
  <c r="E584" i="2" s="1"/>
  <c r="D583" i="2"/>
  <c r="C583" i="2"/>
  <c r="E583" i="2" s="1"/>
  <c r="E582" i="2"/>
  <c r="D582" i="2"/>
  <c r="C582" i="2"/>
  <c r="D581" i="2"/>
  <c r="C581" i="2"/>
  <c r="E581" i="2" s="1"/>
  <c r="E580" i="2"/>
  <c r="D580" i="2"/>
  <c r="C580" i="2"/>
  <c r="D579" i="2"/>
  <c r="C579" i="2"/>
  <c r="E579" i="2" s="1"/>
  <c r="E578" i="2"/>
  <c r="D578" i="2"/>
  <c r="C578" i="2"/>
  <c r="D577" i="2"/>
  <c r="C577" i="2"/>
  <c r="E577" i="2" s="1"/>
  <c r="D576" i="2"/>
  <c r="C576" i="2"/>
  <c r="E576" i="2" s="1"/>
  <c r="D575" i="2"/>
  <c r="C575" i="2"/>
  <c r="E575" i="2" s="1"/>
  <c r="E574" i="2"/>
  <c r="D574" i="2"/>
  <c r="C574" i="2"/>
  <c r="D573" i="2"/>
  <c r="C573" i="2"/>
  <c r="E573" i="2" s="1"/>
  <c r="E572" i="2"/>
  <c r="D572" i="2"/>
  <c r="C572" i="2"/>
  <c r="D571" i="2"/>
  <c r="C571" i="2"/>
  <c r="E571" i="2" s="1"/>
  <c r="E570" i="2"/>
  <c r="D570" i="2"/>
  <c r="C570" i="2"/>
  <c r="D569" i="2"/>
  <c r="C569" i="2"/>
  <c r="E569" i="2" s="1"/>
  <c r="D568" i="2"/>
  <c r="C568" i="2"/>
  <c r="E568" i="2" s="1"/>
  <c r="D567" i="2"/>
  <c r="C567" i="2"/>
  <c r="E567" i="2" s="1"/>
  <c r="E566" i="2"/>
  <c r="D566" i="2"/>
  <c r="C566" i="2"/>
  <c r="D565" i="2"/>
  <c r="C565" i="2"/>
  <c r="E565" i="2" s="1"/>
  <c r="E564" i="2"/>
  <c r="D564" i="2"/>
  <c r="C564" i="2"/>
  <c r="D563" i="2"/>
  <c r="C563" i="2"/>
  <c r="E563" i="2" s="1"/>
  <c r="E562" i="2"/>
  <c r="D562" i="2"/>
  <c r="C562" i="2"/>
  <c r="D561" i="2"/>
  <c r="C561" i="2"/>
  <c r="E561" i="2" s="1"/>
  <c r="D560" i="2"/>
  <c r="C560" i="2"/>
  <c r="E560" i="2" s="1"/>
  <c r="D559" i="2"/>
  <c r="C559" i="2"/>
  <c r="E559" i="2" s="1"/>
  <c r="E558" i="2"/>
  <c r="D558" i="2"/>
  <c r="C558" i="2"/>
  <c r="D557" i="2"/>
  <c r="C557" i="2"/>
  <c r="E557" i="2" s="1"/>
  <c r="E556" i="2"/>
  <c r="D556" i="2"/>
  <c r="C556" i="2"/>
  <c r="D555" i="2"/>
  <c r="C555" i="2"/>
  <c r="E555" i="2" s="1"/>
  <c r="E554" i="2"/>
  <c r="D554" i="2"/>
  <c r="C554" i="2"/>
  <c r="D553" i="2"/>
  <c r="C553" i="2"/>
  <c r="E553" i="2" s="1"/>
  <c r="D552" i="2"/>
  <c r="C552" i="2"/>
  <c r="E552" i="2" s="1"/>
  <c r="D551" i="2"/>
  <c r="C551" i="2"/>
  <c r="E551" i="2" s="1"/>
  <c r="E550" i="2"/>
  <c r="D550" i="2"/>
  <c r="C550" i="2"/>
  <c r="D549" i="2"/>
  <c r="C549" i="2"/>
  <c r="E549" i="2" s="1"/>
  <c r="E548" i="2"/>
  <c r="D548" i="2"/>
  <c r="C548" i="2"/>
  <c r="D547" i="2"/>
  <c r="C547" i="2"/>
  <c r="E547" i="2" s="1"/>
  <c r="E546" i="2"/>
  <c r="D546" i="2"/>
  <c r="C546" i="2"/>
  <c r="D545" i="2"/>
  <c r="C545" i="2"/>
  <c r="E545" i="2" s="1"/>
  <c r="D544" i="2"/>
  <c r="C544" i="2"/>
  <c r="E544" i="2" s="1"/>
  <c r="D543" i="2"/>
  <c r="C543" i="2"/>
  <c r="E543" i="2" s="1"/>
  <c r="E542" i="2"/>
  <c r="D542" i="2"/>
  <c r="C542" i="2"/>
  <c r="D541" i="2"/>
  <c r="C541" i="2"/>
  <c r="E541" i="2" s="1"/>
  <c r="E540" i="2"/>
  <c r="D540" i="2"/>
  <c r="C540" i="2"/>
  <c r="D539" i="2"/>
  <c r="C539" i="2"/>
  <c r="E539" i="2" s="1"/>
  <c r="E538" i="2"/>
  <c r="D538" i="2"/>
  <c r="C538" i="2"/>
  <c r="D537" i="2"/>
  <c r="C537" i="2"/>
  <c r="E537" i="2" s="1"/>
  <c r="D536" i="2"/>
  <c r="C536" i="2"/>
  <c r="E536" i="2" s="1"/>
  <c r="D535" i="2"/>
  <c r="C535" i="2"/>
  <c r="E535" i="2" s="1"/>
  <c r="E534" i="2"/>
  <c r="D534" i="2"/>
  <c r="C534" i="2"/>
  <c r="D533" i="2"/>
  <c r="C533" i="2"/>
  <c r="E533" i="2" s="1"/>
  <c r="E532" i="2"/>
  <c r="D532" i="2"/>
  <c r="C532" i="2"/>
  <c r="D531" i="2"/>
  <c r="C531" i="2"/>
  <c r="E531" i="2" s="1"/>
  <c r="E530" i="2"/>
  <c r="D530" i="2"/>
  <c r="C530" i="2"/>
  <c r="D529" i="2"/>
  <c r="C529" i="2"/>
  <c r="E529" i="2" s="1"/>
  <c r="D528" i="2"/>
  <c r="C528" i="2"/>
  <c r="E528" i="2" s="1"/>
  <c r="D527" i="2"/>
  <c r="C527" i="2"/>
  <c r="E527" i="2" s="1"/>
  <c r="E526" i="2"/>
  <c r="D526" i="2"/>
  <c r="C526" i="2"/>
  <c r="D525" i="2"/>
  <c r="C525" i="2"/>
  <c r="E525" i="2" s="1"/>
  <c r="E524" i="2"/>
  <c r="D524" i="2"/>
  <c r="C524" i="2"/>
  <c r="D523" i="2"/>
  <c r="C523" i="2"/>
  <c r="E523" i="2" s="1"/>
  <c r="E522" i="2"/>
  <c r="D522" i="2"/>
  <c r="C522" i="2"/>
  <c r="D521" i="2"/>
  <c r="C521" i="2"/>
  <c r="D520" i="2"/>
  <c r="C520" i="2"/>
  <c r="E520" i="2" s="1"/>
  <c r="D519" i="2"/>
  <c r="C519" i="2"/>
  <c r="E519" i="2" s="1"/>
  <c r="E518" i="2"/>
  <c r="D518" i="2"/>
  <c r="C518" i="2"/>
  <c r="D517" i="2"/>
  <c r="C517" i="2"/>
  <c r="E517" i="2" s="1"/>
  <c r="E516" i="2"/>
  <c r="D516" i="2"/>
  <c r="C516" i="2"/>
  <c r="D515" i="2"/>
  <c r="C515" i="2"/>
  <c r="E515" i="2" s="1"/>
  <c r="E514" i="2"/>
  <c r="D514" i="2"/>
  <c r="C514" i="2"/>
  <c r="D513" i="2"/>
  <c r="C513" i="2"/>
  <c r="D512" i="2"/>
  <c r="C512" i="2"/>
  <c r="E512" i="2" s="1"/>
  <c r="D511" i="2"/>
  <c r="C511" i="2"/>
  <c r="E511" i="2" s="1"/>
  <c r="E510" i="2"/>
  <c r="D510" i="2"/>
  <c r="C510" i="2"/>
  <c r="D509" i="2"/>
  <c r="C509" i="2"/>
  <c r="E509" i="2" s="1"/>
  <c r="E508" i="2"/>
  <c r="D508" i="2"/>
  <c r="C508" i="2"/>
  <c r="D507" i="2"/>
  <c r="C507" i="2"/>
  <c r="E507" i="2" s="1"/>
  <c r="E506" i="2"/>
  <c r="D506" i="2"/>
  <c r="C506" i="2"/>
  <c r="D505" i="2"/>
  <c r="C505" i="2"/>
  <c r="D504" i="2"/>
  <c r="C504" i="2"/>
  <c r="E504" i="2" s="1"/>
  <c r="D503" i="2"/>
  <c r="C503" i="2"/>
  <c r="E503" i="2" s="1"/>
  <c r="E502" i="2"/>
  <c r="D502" i="2"/>
  <c r="C502" i="2"/>
  <c r="E501" i="2"/>
  <c r="D501" i="2"/>
  <c r="C501" i="2"/>
  <c r="E500" i="2"/>
  <c r="D500" i="2"/>
  <c r="C500" i="2"/>
  <c r="D499" i="2"/>
  <c r="C499" i="2"/>
  <c r="E499" i="2" s="1"/>
  <c r="E498" i="2"/>
  <c r="D498" i="2"/>
  <c r="C498" i="2"/>
  <c r="D497" i="2"/>
  <c r="C497" i="2"/>
  <c r="E497" i="2" s="1"/>
  <c r="D496" i="2"/>
  <c r="C496" i="2"/>
  <c r="E496" i="2" s="1"/>
  <c r="E495" i="2"/>
  <c r="D495" i="2"/>
  <c r="C495" i="2"/>
  <c r="E494" i="2"/>
  <c r="D494" i="2"/>
  <c r="C494" i="2"/>
  <c r="E493" i="2"/>
  <c r="D493" i="2"/>
  <c r="C493" i="2"/>
  <c r="D492" i="2"/>
  <c r="E492" i="2" s="1"/>
  <c r="C492" i="2"/>
  <c r="E491" i="2"/>
  <c r="D491" i="2"/>
  <c r="C491" i="2"/>
  <c r="D490" i="2"/>
  <c r="C490" i="2"/>
  <c r="D489" i="2"/>
  <c r="C489" i="2"/>
  <c r="E489" i="2" s="1"/>
  <c r="D488" i="2"/>
  <c r="C488" i="2"/>
  <c r="E488" i="2" s="1"/>
  <c r="E487" i="2"/>
  <c r="D487" i="2"/>
  <c r="C487" i="2"/>
  <c r="E486" i="2"/>
  <c r="D486" i="2"/>
  <c r="C486" i="2"/>
  <c r="D485" i="2"/>
  <c r="E485" i="2" s="1"/>
  <c r="C485" i="2"/>
  <c r="E484" i="2"/>
  <c r="D484" i="2"/>
  <c r="C484" i="2"/>
  <c r="D483" i="2"/>
  <c r="C483" i="2"/>
  <c r="E483" i="2" s="1"/>
  <c r="E482" i="2"/>
  <c r="D482" i="2"/>
  <c r="C482" i="2"/>
  <c r="D481" i="2"/>
  <c r="C481" i="2"/>
  <c r="E481" i="2" s="1"/>
  <c r="D480" i="2"/>
  <c r="C480" i="2"/>
  <c r="E480" i="2" s="1"/>
  <c r="E479" i="2"/>
  <c r="D479" i="2"/>
  <c r="C479" i="2"/>
  <c r="E478" i="2"/>
  <c r="D478" i="2"/>
  <c r="C478" i="2"/>
  <c r="E477" i="2"/>
  <c r="D477" i="2"/>
  <c r="C477" i="2"/>
  <c r="D476" i="2"/>
  <c r="E476" i="2" s="1"/>
  <c r="C476" i="2"/>
  <c r="E475" i="2"/>
  <c r="D475" i="2"/>
  <c r="C475" i="2"/>
  <c r="D474" i="2"/>
  <c r="C474" i="2"/>
  <c r="E474" i="2" s="1"/>
  <c r="D473" i="2"/>
  <c r="C473" i="2"/>
  <c r="E473" i="2" s="1"/>
  <c r="D472" i="2"/>
  <c r="C472" i="2"/>
  <c r="E472" i="2" s="1"/>
  <c r="E471" i="2"/>
  <c r="D471" i="2"/>
  <c r="C471" i="2"/>
  <c r="E470" i="2"/>
  <c r="D470" i="2"/>
  <c r="C470" i="2"/>
  <c r="E469" i="2"/>
  <c r="D469" i="2"/>
  <c r="C469" i="2"/>
  <c r="E468" i="2"/>
  <c r="D468" i="2"/>
  <c r="C468" i="2"/>
  <c r="D467" i="2"/>
  <c r="C467" i="2"/>
  <c r="E467" i="2" s="1"/>
  <c r="E466" i="2"/>
  <c r="D466" i="2"/>
  <c r="C466" i="2"/>
  <c r="D465" i="2"/>
  <c r="C465" i="2"/>
  <c r="E465" i="2" s="1"/>
  <c r="D464" i="2"/>
  <c r="C464" i="2"/>
  <c r="E464" i="2" s="1"/>
  <c r="E463" i="2"/>
  <c r="D463" i="2"/>
  <c r="C463" i="2"/>
  <c r="E462" i="2"/>
  <c r="D462" i="2"/>
  <c r="C462" i="2"/>
  <c r="E461" i="2"/>
  <c r="D461" i="2"/>
  <c r="C461" i="2"/>
  <c r="D460" i="2"/>
  <c r="E460" i="2" s="1"/>
  <c r="C460" i="2"/>
  <c r="E459" i="2"/>
  <c r="D459" i="2"/>
  <c r="C459" i="2"/>
  <c r="D458" i="2"/>
  <c r="C458" i="2"/>
  <c r="D457" i="2"/>
  <c r="C457" i="2"/>
  <c r="E457" i="2" s="1"/>
  <c r="D456" i="2"/>
  <c r="C456" i="2"/>
  <c r="E456" i="2" s="1"/>
  <c r="E455" i="2"/>
  <c r="D455" i="2"/>
  <c r="C455" i="2"/>
  <c r="E454" i="2"/>
  <c r="D454" i="2"/>
  <c r="C454" i="2"/>
  <c r="D453" i="2"/>
  <c r="E453" i="2" s="1"/>
  <c r="C453" i="2"/>
  <c r="E452" i="2"/>
  <c r="D452" i="2"/>
  <c r="C452" i="2"/>
  <c r="D451" i="2"/>
  <c r="C451" i="2"/>
  <c r="E451" i="2" s="1"/>
  <c r="E450" i="2"/>
  <c r="D450" i="2"/>
  <c r="C450" i="2"/>
  <c r="D449" i="2"/>
  <c r="C449" i="2"/>
  <c r="E449" i="2" s="1"/>
  <c r="D448" i="2"/>
  <c r="C448" i="2"/>
  <c r="E448" i="2" s="1"/>
  <c r="E447" i="2"/>
  <c r="D447" i="2"/>
  <c r="C447" i="2"/>
  <c r="E446" i="2"/>
  <c r="D446" i="2"/>
  <c r="C446" i="2"/>
  <c r="E445" i="2"/>
  <c r="D445" i="2"/>
  <c r="C445" i="2"/>
  <c r="D444" i="2"/>
  <c r="E444" i="2" s="1"/>
  <c r="C444" i="2"/>
  <c r="E443" i="2"/>
  <c r="D443" i="2"/>
  <c r="C443" i="2"/>
  <c r="D442" i="2"/>
  <c r="E442" i="2" s="1"/>
  <c r="C442" i="2"/>
  <c r="E441" i="2"/>
  <c r="D441" i="2"/>
  <c r="C441" i="2"/>
  <c r="D440" i="2"/>
  <c r="E440" i="2" s="1"/>
  <c r="C440" i="2"/>
  <c r="E439" i="2"/>
  <c r="D439" i="2"/>
  <c r="C439" i="2"/>
  <c r="E438" i="2"/>
  <c r="D438" i="2"/>
  <c r="C438" i="2"/>
  <c r="D437" i="2"/>
  <c r="E437" i="2" s="1"/>
  <c r="C437" i="2"/>
  <c r="E436" i="2"/>
  <c r="D436" i="2"/>
  <c r="C436" i="2"/>
  <c r="D435" i="2"/>
  <c r="E435" i="2" s="1"/>
  <c r="C435" i="2"/>
  <c r="D434" i="2"/>
  <c r="E434" i="2" s="1"/>
  <c r="C434" i="2"/>
  <c r="D433" i="2"/>
  <c r="E433" i="2" s="1"/>
  <c r="C433" i="2"/>
  <c r="D432" i="2"/>
  <c r="E432" i="2" s="1"/>
  <c r="C432" i="2"/>
  <c r="D431" i="2"/>
  <c r="E431" i="2" s="1"/>
  <c r="C431" i="2"/>
  <c r="D430" i="2"/>
  <c r="E430" i="2" s="1"/>
  <c r="C430" i="2"/>
  <c r="D429" i="2"/>
  <c r="E429" i="2" s="1"/>
  <c r="C429" i="2"/>
  <c r="D428" i="2"/>
  <c r="E428" i="2" s="1"/>
  <c r="C428" i="2"/>
  <c r="D427" i="2"/>
  <c r="E427" i="2" s="1"/>
  <c r="C427" i="2"/>
  <c r="D426" i="2"/>
  <c r="E426" i="2" s="1"/>
  <c r="C426" i="2"/>
  <c r="D425" i="2"/>
  <c r="E425" i="2" s="1"/>
  <c r="C425" i="2"/>
  <c r="E424" i="2"/>
  <c r="D424" i="2"/>
  <c r="C424" i="2"/>
  <c r="D423" i="2"/>
  <c r="E423" i="2" s="1"/>
  <c r="C423" i="2"/>
  <c r="E422" i="2"/>
  <c r="D422" i="2"/>
  <c r="C422" i="2"/>
  <c r="D421" i="2"/>
  <c r="E421" i="2" s="1"/>
  <c r="C421" i="2"/>
  <c r="E420" i="2"/>
  <c r="D420" i="2"/>
  <c r="C420" i="2"/>
  <c r="D419" i="2"/>
  <c r="E419" i="2" s="1"/>
  <c r="C419" i="2"/>
  <c r="D418" i="2"/>
  <c r="E418" i="2" s="1"/>
  <c r="C418" i="2"/>
  <c r="D417" i="2"/>
  <c r="E417" i="2" s="1"/>
  <c r="C417" i="2"/>
  <c r="D416" i="2"/>
  <c r="E416" i="2" s="1"/>
  <c r="C416" i="2"/>
  <c r="D415" i="2"/>
  <c r="E415" i="2" s="1"/>
  <c r="C415" i="2"/>
  <c r="D414" i="2"/>
  <c r="E414" i="2" s="1"/>
  <c r="C414" i="2"/>
  <c r="D413" i="2"/>
  <c r="E413" i="2" s="1"/>
  <c r="C413" i="2"/>
  <c r="D412" i="2"/>
  <c r="E412" i="2" s="1"/>
  <c r="C412" i="2"/>
  <c r="D411" i="2"/>
  <c r="E411" i="2" s="1"/>
  <c r="C411" i="2"/>
  <c r="D410" i="2"/>
  <c r="E410" i="2" s="1"/>
  <c r="C410" i="2"/>
  <c r="D409" i="2"/>
  <c r="E409" i="2" s="1"/>
  <c r="C409" i="2"/>
  <c r="E408" i="2"/>
  <c r="D408" i="2"/>
  <c r="C408" i="2"/>
  <c r="D407" i="2"/>
  <c r="E407" i="2" s="1"/>
  <c r="C407" i="2"/>
  <c r="E406" i="2"/>
  <c r="D406" i="2"/>
  <c r="C406" i="2"/>
  <c r="D405" i="2"/>
  <c r="E405" i="2" s="1"/>
  <c r="C405" i="2"/>
  <c r="D404" i="2"/>
  <c r="E404" i="2" s="1"/>
  <c r="C404" i="2"/>
  <c r="D403" i="2"/>
  <c r="E403" i="2" s="1"/>
  <c r="C403" i="2"/>
  <c r="D402" i="2"/>
  <c r="E402" i="2" s="1"/>
  <c r="C402" i="2"/>
  <c r="D401" i="2"/>
  <c r="E401" i="2" s="1"/>
  <c r="C401" i="2"/>
  <c r="E400" i="2"/>
  <c r="D400" i="2"/>
  <c r="C400" i="2"/>
  <c r="D399" i="2"/>
  <c r="E399" i="2" s="1"/>
  <c r="C399" i="2"/>
  <c r="E398" i="2"/>
  <c r="D398" i="2"/>
  <c r="C398" i="2"/>
  <c r="D397" i="2"/>
  <c r="E397" i="2" s="1"/>
  <c r="C397" i="2"/>
  <c r="D396" i="2"/>
  <c r="E396" i="2" s="1"/>
  <c r="C396" i="2"/>
  <c r="D395" i="2"/>
  <c r="E395" i="2" s="1"/>
  <c r="C395" i="2"/>
  <c r="D394" i="2"/>
  <c r="E394" i="2" s="1"/>
  <c r="C394" i="2"/>
  <c r="D393" i="2"/>
  <c r="E393" i="2" s="1"/>
  <c r="C393" i="2"/>
  <c r="E392" i="2"/>
  <c r="D392" i="2"/>
  <c r="C392" i="2"/>
  <c r="D391" i="2"/>
  <c r="E391" i="2" s="1"/>
  <c r="C391" i="2"/>
  <c r="E390" i="2"/>
  <c r="D390" i="2"/>
  <c r="C390" i="2"/>
  <c r="D389" i="2"/>
  <c r="E389" i="2" s="1"/>
  <c r="C389" i="2"/>
  <c r="D388" i="2"/>
  <c r="E388" i="2" s="1"/>
  <c r="C388" i="2"/>
  <c r="D387" i="2"/>
  <c r="E387" i="2" s="1"/>
  <c r="C387" i="2"/>
  <c r="D386" i="2"/>
  <c r="E386" i="2" s="1"/>
  <c r="C386" i="2"/>
  <c r="D385" i="2"/>
  <c r="E385" i="2" s="1"/>
  <c r="C385" i="2"/>
  <c r="E384" i="2"/>
  <c r="D384" i="2"/>
  <c r="C384" i="2"/>
  <c r="D383" i="2"/>
  <c r="E383" i="2" s="1"/>
  <c r="C383" i="2"/>
  <c r="E382" i="2"/>
  <c r="D382" i="2"/>
  <c r="C382" i="2"/>
  <c r="D381" i="2"/>
  <c r="E381" i="2" s="1"/>
  <c r="C381" i="2"/>
  <c r="D380" i="2"/>
  <c r="E380" i="2" s="1"/>
  <c r="C380" i="2"/>
  <c r="D379" i="2"/>
  <c r="E379" i="2" s="1"/>
  <c r="C379" i="2"/>
  <c r="D378" i="2"/>
  <c r="E378" i="2" s="1"/>
  <c r="C378" i="2"/>
  <c r="D377" i="2"/>
  <c r="C377" i="2"/>
  <c r="E377" i="2" s="1"/>
  <c r="E376" i="2"/>
  <c r="D376" i="2"/>
  <c r="C376" i="2"/>
  <c r="D375" i="2"/>
  <c r="C375" i="2"/>
  <c r="E375" i="2" s="1"/>
  <c r="E374" i="2"/>
  <c r="D374" i="2"/>
  <c r="C374" i="2"/>
  <c r="D373" i="2"/>
  <c r="C373" i="2"/>
  <c r="E373" i="2" s="1"/>
  <c r="D372" i="2"/>
  <c r="E372" i="2" s="1"/>
  <c r="C372" i="2"/>
  <c r="D371" i="2"/>
  <c r="C371" i="2"/>
  <c r="D370" i="2"/>
  <c r="E370" i="2" s="1"/>
  <c r="C370" i="2"/>
  <c r="D369" i="2"/>
  <c r="C369" i="2"/>
  <c r="E368" i="2"/>
  <c r="D368" i="2"/>
  <c r="C368" i="2"/>
  <c r="D367" i="2"/>
  <c r="C367" i="2"/>
  <c r="E367" i="2" s="1"/>
  <c r="E366" i="2"/>
  <c r="D366" i="2"/>
  <c r="C366" i="2"/>
  <c r="D365" i="2"/>
  <c r="C365" i="2"/>
  <c r="E365" i="2" s="1"/>
  <c r="D364" i="2"/>
  <c r="E364" i="2" s="1"/>
  <c r="C364" i="2"/>
  <c r="D363" i="2"/>
  <c r="C363" i="2"/>
  <c r="D362" i="2"/>
  <c r="E362" i="2" s="1"/>
  <c r="C362" i="2"/>
  <c r="D361" i="2"/>
  <c r="C361" i="2"/>
  <c r="E360" i="2"/>
  <c r="D360" i="2"/>
  <c r="C360" i="2"/>
  <c r="D359" i="2"/>
  <c r="C359" i="2"/>
  <c r="E359" i="2" s="1"/>
  <c r="E358" i="2"/>
  <c r="D358" i="2"/>
  <c r="C358" i="2"/>
  <c r="D357" i="2"/>
  <c r="C357" i="2"/>
  <c r="E357" i="2" s="1"/>
  <c r="D356" i="2"/>
  <c r="E356" i="2" s="1"/>
  <c r="C356" i="2"/>
  <c r="D355" i="2"/>
  <c r="C355" i="2"/>
  <c r="D354" i="2"/>
  <c r="E354" i="2" s="1"/>
  <c r="C354" i="2"/>
  <c r="D353" i="2"/>
  <c r="C353" i="2"/>
  <c r="E352" i="2"/>
  <c r="D352" i="2"/>
  <c r="C352" i="2"/>
  <c r="D351" i="2"/>
  <c r="C351" i="2"/>
  <c r="E351" i="2" s="1"/>
  <c r="E350" i="2"/>
  <c r="D350" i="2"/>
  <c r="C350" i="2"/>
  <c r="D349" i="2"/>
  <c r="C349" i="2"/>
  <c r="E349" i="2" s="1"/>
  <c r="D348" i="2"/>
  <c r="E348" i="2" s="1"/>
  <c r="C348" i="2"/>
  <c r="D347" i="2"/>
  <c r="C347" i="2"/>
  <c r="D346" i="2"/>
  <c r="E346" i="2" s="1"/>
  <c r="C346" i="2"/>
  <c r="D345" i="2"/>
  <c r="C345" i="2"/>
  <c r="E344" i="2"/>
  <c r="D344" i="2"/>
  <c r="C344" i="2"/>
  <c r="D343" i="2"/>
  <c r="C343" i="2"/>
  <c r="E343" i="2" s="1"/>
  <c r="E342" i="2"/>
  <c r="D342" i="2"/>
  <c r="C342" i="2"/>
  <c r="D341" i="2"/>
  <c r="C341" i="2"/>
  <c r="E341" i="2" s="1"/>
  <c r="D340" i="2"/>
  <c r="E340" i="2" s="1"/>
  <c r="C340" i="2"/>
  <c r="D339" i="2"/>
  <c r="C339" i="2"/>
  <c r="D338" i="2"/>
  <c r="E338" i="2" s="1"/>
  <c r="C338" i="2"/>
  <c r="D337" i="2"/>
  <c r="C337" i="2"/>
  <c r="E336" i="2"/>
  <c r="D336" i="2"/>
  <c r="C336" i="2"/>
  <c r="D335" i="2"/>
  <c r="C335" i="2"/>
  <c r="E335" i="2" s="1"/>
  <c r="D334" i="2"/>
  <c r="C334" i="2"/>
  <c r="E334" i="2" s="1"/>
  <c r="D333" i="2"/>
  <c r="C333" i="2"/>
  <c r="E333" i="2" s="1"/>
  <c r="D332" i="2"/>
  <c r="C332" i="2"/>
  <c r="E332" i="2" s="1"/>
  <c r="D331" i="2"/>
  <c r="C331" i="2"/>
  <c r="D330" i="2"/>
  <c r="C330" i="2"/>
  <c r="E330" i="2" s="1"/>
  <c r="D329" i="2"/>
  <c r="C329" i="2"/>
  <c r="E328" i="2"/>
  <c r="D328" i="2"/>
  <c r="C328" i="2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D322" i="2"/>
  <c r="C322" i="2"/>
  <c r="E322" i="2" s="1"/>
  <c r="D321" i="2"/>
  <c r="C321" i="2"/>
  <c r="E320" i="2"/>
  <c r="D320" i="2"/>
  <c r="C320" i="2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D314" i="2"/>
  <c r="C314" i="2"/>
  <c r="E314" i="2" s="1"/>
  <c r="D313" i="2"/>
  <c r="C313" i="2"/>
  <c r="E312" i="2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D306" i="2"/>
  <c r="C306" i="2"/>
  <c r="E306" i="2" s="1"/>
  <c r="D305" i="2"/>
  <c r="C305" i="2"/>
  <c r="E304" i="2"/>
  <c r="D304" i="2"/>
  <c r="C304" i="2"/>
  <c r="D303" i="2"/>
  <c r="C303" i="2"/>
  <c r="E303" i="2" s="1"/>
  <c r="D302" i="2"/>
  <c r="C302" i="2"/>
  <c r="E302" i="2" s="1"/>
  <c r="D301" i="2"/>
  <c r="C301" i="2"/>
  <c r="E301" i="2" s="1"/>
  <c r="D300" i="2"/>
  <c r="C300" i="2"/>
  <c r="E300" i="2" s="1"/>
  <c r="D299" i="2"/>
  <c r="C299" i="2"/>
  <c r="D298" i="2"/>
  <c r="C298" i="2"/>
  <c r="E298" i="2" s="1"/>
  <c r="D297" i="2"/>
  <c r="C297" i="2"/>
  <c r="E296" i="2"/>
  <c r="D296" i="2"/>
  <c r="C296" i="2"/>
  <c r="D295" i="2"/>
  <c r="C295" i="2"/>
  <c r="E295" i="2" s="1"/>
  <c r="D294" i="2"/>
  <c r="C294" i="2"/>
  <c r="E294" i="2" s="1"/>
  <c r="D293" i="2"/>
  <c r="C293" i="2"/>
  <c r="E293" i="2" s="1"/>
  <c r="D292" i="2"/>
  <c r="C292" i="2"/>
  <c r="E292" i="2" s="1"/>
  <c r="D291" i="2"/>
  <c r="C291" i="2"/>
  <c r="D290" i="2"/>
  <c r="C290" i="2"/>
  <c r="E290" i="2" s="1"/>
  <c r="D289" i="2"/>
  <c r="C289" i="2"/>
  <c r="E288" i="2"/>
  <c r="D288" i="2"/>
  <c r="C288" i="2"/>
  <c r="D287" i="2"/>
  <c r="C287" i="2"/>
  <c r="E287" i="2" s="1"/>
  <c r="D286" i="2"/>
  <c r="C286" i="2"/>
  <c r="E286" i="2" s="1"/>
  <c r="D285" i="2"/>
  <c r="C285" i="2"/>
  <c r="E285" i="2" s="1"/>
  <c r="D284" i="2"/>
  <c r="C284" i="2"/>
  <c r="E284" i="2" s="1"/>
  <c r="D283" i="2"/>
  <c r="C283" i="2"/>
  <c r="D282" i="2"/>
  <c r="C282" i="2"/>
  <c r="E282" i="2" s="1"/>
  <c r="D281" i="2"/>
  <c r="C281" i="2"/>
  <c r="E280" i="2"/>
  <c r="D280" i="2"/>
  <c r="C280" i="2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D274" i="2"/>
  <c r="C274" i="2"/>
  <c r="E274" i="2" s="1"/>
  <c r="D273" i="2"/>
  <c r="C273" i="2"/>
  <c r="E272" i="2"/>
  <c r="D272" i="2"/>
  <c r="C272" i="2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D266" i="2"/>
  <c r="C266" i="2"/>
  <c r="E266" i="2" s="1"/>
  <c r="D265" i="2"/>
  <c r="C265" i="2"/>
  <c r="E264" i="2"/>
  <c r="D264" i="2"/>
  <c r="C264" i="2"/>
  <c r="D263" i="2"/>
  <c r="C263" i="2"/>
  <c r="E263" i="2" s="1"/>
  <c r="D262" i="2"/>
  <c r="C262" i="2"/>
  <c r="E262" i="2" s="1"/>
  <c r="D261" i="2"/>
  <c r="C261" i="2"/>
  <c r="E261" i="2" s="1"/>
  <c r="D260" i="2"/>
  <c r="C260" i="2"/>
  <c r="E260" i="2" s="1"/>
  <c r="D259" i="2"/>
  <c r="C259" i="2"/>
  <c r="D258" i="2"/>
  <c r="C258" i="2"/>
  <c r="E258" i="2" s="1"/>
  <c r="D257" i="2"/>
  <c r="C257" i="2"/>
  <c r="E256" i="2"/>
  <c r="D256" i="2"/>
  <c r="C256" i="2"/>
  <c r="D255" i="2"/>
  <c r="C255" i="2"/>
  <c r="E255" i="2" s="1"/>
  <c r="D254" i="2"/>
  <c r="C254" i="2"/>
  <c r="E254" i="2" s="1"/>
  <c r="D253" i="2"/>
  <c r="C253" i="2"/>
  <c r="E253" i="2" s="1"/>
  <c r="D252" i="2"/>
  <c r="C252" i="2"/>
  <c r="E252" i="2" s="1"/>
  <c r="D251" i="2"/>
  <c r="C251" i="2"/>
  <c r="D250" i="2"/>
  <c r="C250" i="2"/>
  <c r="E250" i="2" s="1"/>
  <c r="D249" i="2"/>
  <c r="C249" i="2"/>
  <c r="E248" i="2"/>
  <c r="D248" i="2"/>
  <c r="C248" i="2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D242" i="2"/>
  <c r="C242" i="2"/>
  <c r="E242" i="2" s="1"/>
  <c r="D241" i="2"/>
  <c r="C241" i="2"/>
  <c r="E240" i="2"/>
  <c r="D240" i="2"/>
  <c r="C240" i="2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D234" i="2"/>
  <c r="C234" i="2"/>
  <c r="E234" i="2" s="1"/>
  <c r="D233" i="2"/>
  <c r="C233" i="2"/>
  <c r="E232" i="2"/>
  <c r="D232" i="2"/>
  <c r="C232" i="2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D226" i="2"/>
  <c r="C226" i="2"/>
  <c r="E226" i="2" s="1"/>
  <c r="D225" i="2"/>
  <c r="C225" i="2"/>
  <c r="E224" i="2"/>
  <c r="D224" i="2"/>
  <c r="C224" i="2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D218" i="2"/>
  <c r="C218" i="2"/>
  <c r="E218" i="2" s="1"/>
  <c r="D217" i="2"/>
  <c r="C217" i="2"/>
  <c r="E216" i="2"/>
  <c r="D216" i="2"/>
  <c r="C216" i="2"/>
  <c r="D215" i="2"/>
  <c r="C215" i="2"/>
  <c r="E215" i="2" s="1"/>
  <c r="D214" i="2"/>
  <c r="C214" i="2"/>
  <c r="E214" i="2" s="1"/>
  <c r="D213" i="2"/>
  <c r="C213" i="2"/>
  <c r="E213" i="2" s="1"/>
  <c r="D212" i="2"/>
  <c r="C212" i="2"/>
  <c r="E212" i="2" s="1"/>
  <c r="D211" i="2"/>
  <c r="C211" i="2"/>
  <c r="E210" i="2"/>
  <c r="D210" i="2"/>
  <c r="C210" i="2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E204" i="2"/>
  <c r="D204" i="2"/>
  <c r="C204" i="2"/>
  <c r="D203" i="2"/>
  <c r="C203" i="2"/>
  <c r="E203" i="2" s="1"/>
  <c r="D202" i="2"/>
  <c r="E202" i="2" s="1"/>
  <c r="C202" i="2"/>
  <c r="D201" i="2"/>
  <c r="C201" i="2"/>
  <c r="D200" i="2"/>
  <c r="C200" i="2"/>
  <c r="E200" i="2" s="1"/>
  <c r="D199" i="2"/>
  <c r="C199" i="2"/>
  <c r="E199" i="2" s="1"/>
  <c r="D198" i="2"/>
  <c r="C198" i="2"/>
  <c r="E198" i="2" s="1"/>
  <c r="D197" i="2"/>
  <c r="C197" i="2"/>
  <c r="D196" i="2"/>
  <c r="C196" i="2"/>
  <c r="E196" i="2" s="1"/>
  <c r="D195" i="2"/>
  <c r="C195" i="2"/>
  <c r="E194" i="2"/>
  <c r="D194" i="2"/>
  <c r="C194" i="2"/>
  <c r="D193" i="2"/>
  <c r="C193" i="2"/>
  <c r="E193" i="2" s="1"/>
  <c r="D192" i="2"/>
  <c r="C192" i="2"/>
  <c r="E192" i="2" s="1"/>
  <c r="D191" i="2"/>
  <c r="C191" i="2"/>
  <c r="D190" i="2"/>
  <c r="C190" i="2"/>
  <c r="E190" i="2" s="1"/>
  <c r="D189" i="2"/>
  <c r="C189" i="2"/>
  <c r="E189" i="2" s="1"/>
  <c r="E188" i="2"/>
  <c r="D188" i="2"/>
  <c r="C188" i="2"/>
  <c r="D187" i="2"/>
  <c r="C187" i="2"/>
  <c r="E187" i="2" s="1"/>
  <c r="D186" i="2"/>
  <c r="E186" i="2" s="1"/>
  <c r="C186" i="2"/>
  <c r="D185" i="2"/>
  <c r="C185" i="2"/>
  <c r="D184" i="2"/>
  <c r="C184" i="2"/>
  <c r="E184" i="2" s="1"/>
  <c r="D183" i="2"/>
  <c r="C183" i="2"/>
  <c r="E183" i="2" s="1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E178" i="2" s="1"/>
  <c r="D177" i="2"/>
  <c r="C177" i="2"/>
  <c r="E177" i="2" s="1"/>
  <c r="D176" i="2"/>
  <c r="C176" i="2"/>
  <c r="E176" i="2" s="1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E167" i="2" s="1"/>
  <c r="D166" i="2"/>
  <c r="C166" i="2"/>
  <c r="E166" i="2" s="1"/>
  <c r="D165" i="2"/>
  <c r="C165" i="2"/>
  <c r="E165" i="2" s="1"/>
  <c r="D164" i="2"/>
  <c r="C164" i="2"/>
  <c r="E164" i="2" s="1"/>
  <c r="D163" i="2"/>
  <c r="C163" i="2"/>
  <c r="E163" i="2" s="1"/>
  <c r="D162" i="2"/>
  <c r="C162" i="2"/>
  <c r="E162" i="2" s="1"/>
  <c r="D161" i="2"/>
  <c r="C161" i="2"/>
  <c r="E161" i="2" s="1"/>
  <c r="D160" i="2"/>
  <c r="C160" i="2"/>
  <c r="E160" i="2" s="1"/>
  <c r="D159" i="2"/>
  <c r="C159" i="2"/>
  <c r="E159" i="2" s="1"/>
  <c r="D158" i="2"/>
  <c r="C158" i="2"/>
  <c r="E158" i="2" s="1"/>
  <c r="D157" i="2"/>
  <c r="C157" i="2"/>
  <c r="E157" i="2" s="1"/>
  <c r="D156" i="2"/>
  <c r="C156" i="2"/>
  <c r="E156" i="2" s="1"/>
  <c r="D155" i="2"/>
  <c r="C155" i="2"/>
  <c r="E155" i="2" s="1"/>
  <c r="D154" i="2"/>
  <c r="C154" i="2"/>
  <c r="E154" i="2" s="1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E149" i="2" s="1"/>
  <c r="D148" i="2"/>
  <c r="C148" i="2"/>
  <c r="E148" i="2" s="1"/>
  <c r="D147" i="2"/>
  <c r="C147" i="2"/>
  <c r="E147" i="2" s="1"/>
  <c r="D146" i="2"/>
  <c r="C146" i="2"/>
  <c r="E146" i="2" s="1"/>
  <c r="D145" i="2"/>
  <c r="C145" i="2"/>
  <c r="E145" i="2" s="1"/>
  <c r="D144" i="2"/>
  <c r="C144" i="2"/>
  <c r="E144" i="2" s="1"/>
  <c r="D143" i="2"/>
  <c r="C143" i="2"/>
  <c r="E143" i="2" s="1"/>
  <c r="D142" i="2"/>
  <c r="C142" i="2"/>
  <c r="E142" i="2" s="1"/>
  <c r="D141" i="2"/>
  <c r="C141" i="2"/>
  <c r="E141" i="2" s="1"/>
  <c r="D140" i="2"/>
  <c r="C140" i="2"/>
  <c r="E140" i="2" s="1"/>
  <c r="D139" i="2"/>
  <c r="C139" i="2"/>
  <c r="E139" i="2" s="1"/>
  <c r="D138" i="2"/>
  <c r="C138" i="2"/>
  <c r="E138" i="2" s="1"/>
  <c r="D137" i="2"/>
  <c r="C137" i="2"/>
  <c r="E137" i="2" s="1"/>
  <c r="D136" i="2"/>
  <c r="C136" i="2"/>
  <c r="E136" i="2" s="1"/>
  <c r="D135" i="2"/>
  <c r="C135" i="2"/>
  <c r="E135" i="2" s="1"/>
  <c r="D134" i="2"/>
  <c r="C134" i="2"/>
  <c r="E134" i="2" s="1"/>
  <c r="D133" i="2"/>
  <c r="C133" i="2"/>
  <c r="E133" i="2" s="1"/>
  <c r="D132" i="2"/>
  <c r="C132" i="2"/>
  <c r="E132" i="2" s="1"/>
  <c r="D131" i="2"/>
  <c r="C131" i="2"/>
  <c r="E131" i="2" s="1"/>
  <c r="D130" i="2"/>
  <c r="C130" i="2"/>
  <c r="E130" i="2" s="1"/>
  <c r="D129" i="2"/>
  <c r="C129" i="2"/>
  <c r="E129" i="2" s="1"/>
  <c r="D128" i="2"/>
  <c r="C128" i="2"/>
  <c r="E128" i="2" s="1"/>
  <c r="D127" i="2"/>
  <c r="C127" i="2"/>
  <c r="E127" i="2" s="1"/>
  <c r="D126" i="2"/>
  <c r="C126" i="2"/>
  <c r="E126" i="2" s="1"/>
  <c r="D125" i="2"/>
  <c r="C125" i="2"/>
  <c r="E125" i="2" s="1"/>
  <c r="D124" i="2"/>
  <c r="C124" i="2"/>
  <c r="E124" i="2" s="1"/>
  <c r="D123" i="2"/>
  <c r="C123" i="2"/>
  <c r="E123" i="2" s="1"/>
  <c r="D122" i="2"/>
  <c r="C122" i="2"/>
  <c r="E122" i="2" s="1"/>
  <c r="D121" i="2"/>
  <c r="C121" i="2"/>
  <c r="E121" i="2" s="1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E116" i="2" s="1"/>
  <c r="D115" i="2"/>
  <c r="C115" i="2"/>
  <c r="E115" i="2" s="1"/>
  <c r="D114" i="2"/>
  <c r="C114" i="2"/>
  <c r="E114" i="2" s="1"/>
  <c r="D113" i="2"/>
  <c r="C113" i="2"/>
  <c r="E113" i="2" s="1"/>
  <c r="D112" i="2"/>
  <c r="C112" i="2"/>
  <c r="E112" i="2" s="1"/>
  <c r="D111" i="2"/>
  <c r="C111" i="2"/>
  <c r="E111" i="2" s="1"/>
  <c r="D110" i="2"/>
  <c r="C110" i="2"/>
  <c r="E110" i="2" s="1"/>
  <c r="D109" i="2"/>
  <c r="C109" i="2"/>
  <c r="E109" i="2" s="1"/>
  <c r="D108" i="2"/>
  <c r="C108" i="2"/>
  <c r="E108" i="2" s="1"/>
  <c r="D107" i="2"/>
  <c r="C107" i="2"/>
  <c r="E107" i="2" s="1"/>
  <c r="D106" i="2"/>
  <c r="C106" i="2"/>
  <c r="E106" i="2" s="1"/>
  <c r="D105" i="2"/>
  <c r="C105" i="2"/>
  <c r="E105" i="2" s="1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E100" i="2" s="1"/>
  <c r="D99" i="2"/>
  <c r="C99" i="2"/>
  <c r="E99" i="2" s="1"/>
  <c r="D98" i="2"/>
  <c r="C98" i="2"/>
  <c r="E98" i="2" s="1"/>
  <c r="D97" i="2"/>
  <c r="C97" i="2"/>
  <c r="E97" i="2" s="1"/>
  <c r="D96" i="2"/>
  <c r="C96" i="2"/>
  <c r="E96" i="2" s="1"/>
  <c r="D95" i="2"/>
  <c r="C95" i="2"/>
  <c r="E95" i="2" s="1"/>
  <c r="D94" i="2"/>
  <c r="C94" i="2"/>
  <c r="E94" i="2" s="1"/>
  <c r="D93" i="2"/>
  <c r="C93" i="2"/>
  <c r="E93" i="2" s="1"/>
  <c r="D92" i="2"/>
  <c r="C92" i="2"/>
  <c r="E92" i="2" s="1"/>
  <c r="D91" i="2"/>
  <c r="C91" i="2"/>
  <c r="E91" i="2" s="1"/>
  <c r="D90" i="2"/>
  <c r="C90" i="2"/>
  <c r="E90" i="2" s="1"/>
  <c r="D89" i="2"/>
  <c r="C89" i="2"/>
  <c r="E89" i="2" s="1"/>
  <c r="D88" i="2"/>
  <c r="C88" i="2"/>
  <c r="E88" i="2" s="1"/>
  <c r="D87" i="2"/>
  <c r="C87" i="2"/>
  <c r="E87" i="2" s="1"/>
  <c r="D86" i="2"/>
  <c r="C86" i="2"/>
  <c r="E86" i="2" s="1"/>
  <c r="D85" i="2"/>
  <c r="C85" i="2"/>
  <c r="E85" i="2" s="1"/>
  <c r="D84" i="2"/>
  <c r="C84" i="2"/>
  <c r="E84" i="2" s="1"/>
  <c r="D83" i="2"/>
  <c r="C83" i="2"/>
  <c r="E83" i="2" s="1"/>
  <c r="D82" i="2"/>
  <c r="C82" i="2"/>
  <c r="E82" i="2" s="1"/>
  <c r="D81" i="2"/>
  <c r="C81" i="2"/>
  <c r="E81" i="2" s="1"/>
  <c r="D80" i="2"/>
  <c r="C80" i="2"/>
  <c r="E80" i="2" s="1"/>
  <c r="D79" i="2"/>
  <c r="C79" i="2"/>
  <c r="E79" i="2" s="1"/>
  <c r="D78" i="2"/>
  <c r="C78" i="2"/>
  <c r="E78" i="2" s="1"/>
  <c r="D77" i="2"/>
  <c r="C77" i="2"/>
  <c r="E77" i="2" s="1"/>
  <c r="D76" i="2"/>
  <c r="C76" i="2"/>
  <c r="E76" i="2" s="1"/>
  <c r="D75" i="2"/>
  <c r="C75" i="2"/>
  <c r="E75" i="2" s="1"/>
  <c r="D74" i="2"/>
  <c r="C74" i="2"/>
  <c r="E74" i="2" s="1"/>
  <c r="D73" i="2"/>
  <c r="C73" i="2"/>
  <c r="E73" i="2" s="1"/>
  <c r="D72" i="2"/>
  <c r="C72" i="2"/>
  <c r="E72" i="2" s="1"/>
  <c r="D71" i="2"/>
  <c r="C71" i="2"/>
  <c r="E71" i="2" s="1"/>
  <c r="D70" i="2"/>
  <c r="C70" i="2"/>
  <c r="E70" i="2" s="1"/>
  <c r="D69" i="2"/>
  <c r="C69" i="2"/>
  <c r="E69" i="2" s="1"/>
  <c r="D68" i="2"/>
  <c r="C68" i="2"/>
  <c r="E68" i="2" s="1"/>
  <c r="D67" i="2"/>
  <c r="C67" i="2"/>
  <c r="E67" i="2" s="1"/>
  <c r="D66" i="2"/>
  <c r="C66" i="2"/>
  <c r="E66" i="2" s="1"/>
  <c r="D65" i="2"/>
  <c r="C65" i="2"/>
  <c r="E65" i="2" s="1"/>
  <c r="D64" i="2"/>
  <c r="C64" i="2"/>
  <c r="E64" i="2" s="1"/>
  <c r="D63" i="2"/>
  <c r="C63" i="2"/>
  <c r="E63" i="2" s="1"/>
  <c r="D62" i="2"/>
  <c r="C62" i="2"/>
  <c r="E62" i="2" s="1"/>
  <c r="D61" i="2"/>
  <c r="C61" i="2"/>
  <c r="E61" i="2" s="1"/>
  <c r="D60" i="2"/>
  <c r="C60" i="2"/>
  <c r="E60" i="2" s="1"/>
  <c r="D59" i="2"/>
  <c r="C59" i="2"/>
  <c r="E59" i="2" s="1"/>
  <c r="D58" i="2"/>
  <c r="C58" i="2"/>
  <c r="E58" i="2" s="1"/>
  <c r="D57" i="2"/>
  <c r="C57" i="2"/>
  <c r="E57" i="2" s="1"/>
  <c r="D56" i="2"/>
  <c r="C56" i="2"/>
  <c r="E56" i="2" s="1"/>
  <c r="D55" i="2"/>
  <c r="C55" i="2"/>
  <c r="E55" i="2" s="1"/>
  <c r="D54" i="2"/>
  <c r="C54" i="2"/>
  <c r="E54" i="2" s="1"/>
  <c r="D53" i="2"/>
  <c r="C53" i="2"/>
  <c r="E53" i="2" s="1"/>
  <c r="D52" i="2"/>
  <c r="C52" i="2"/>
  <c r="E52" i="2" s="1"/>
  <c r="D51" i="2"/>
  <c r="C51" i="2"/>
  <c r="E51" i="2" s="1"/>
  <c r="D50" i="2"/>
  <c r="C50" i="2"/>
  <c r="E50" i="2" s="1"/>
  <c r="D49" i="2"/>
  <c r="C49" i="2"/>
  <c r="E49" i="2" s="1"/>
  <c r="D48" i="2"/>
  <c r="C48" i="2"/>
  <c r="E48" i="2" s="1"/>
  <c r="D47" i="2"/>
  <c r="C47" i="2"/>
  <c r="E47" i="2" s="1"/>
  <c r="D46" i="2"/>
  <c r="C46" i="2"/>
  <c r="E46" i="2" s="1"/>
  <c r="D45" i="2"/>
  <c r="C45" i="2"/>
  <c r="E45" i="2" s="1"/>
  <c r="D44" i="2"/>
  <c r="C44" i="2"/>
  <c r="E44" i="2" s="1"/>
  <c r="D43" i="2"/>
  <c r="C43" i="2"/>
  <c r="E43" i="2" s="1"/>
  <c r="D42" i="2"/>
  <c r="C42" i="2"/>
  <c r="E42" i="2" s="1"/>
  <c r="D41" i="2"/>
  <c r="C41" i="2"/>
  <c r="E41" i="2" s="1"/>
  <c r="D40" i="2"/>
  <c r="C40" i="2"/>
  <c r="E40" i="2" s="1"/>
  <c r="D39" i="2"/>
  <c r="C39" i="2"/>
  <c r="E39" i="2" s="1"/>
  <c r="D38" i="2"/>
  <c r="C38" i="2"/>
  <c r="E38" i="2" s="1"/>
  <c r="D37" i="2"/>
  <c r="C37" i="2"/>
  <c r="E37" i="2" s="1"/>
  <c r="D36" i="2"/>
  <c r="C36" i="2"/>
  <c r="E36" i="2" s="1"/>
  <c r="D35" i="2"/>
  <c r="C35" i="2"/>
  <c r="E35" i="2" s="1"/>
  <c r="D34" i="2"/>
  <c r="C34" i="2"/>
  <c r="E34" i="2" s="1"/>
  <c r="D33" i="2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D27" i="2"/>
  <c r="C27" i="2"/>
  <c r="E27" i="2" s="1"/>
  <c r="D26" i="2"/>
  <c r="C26" i="2"/>
  <c r="E26" i="2" s="1"/>
  <c r="D25" i="2"/>
  <c r="C25" i="2"/>
  <c r="E25" i="2" s="1"/>
  <c r="D24" i="2"/>
  <c r="C24" i="2"/>
  <c r="E24" i="2" s="1"/>
  <c r="D23" i="2"/>
  <c r="C23" i="2"/>
  <c r="E23" i="2" s="1"/>
  <c r="D22" i="2"/>
  <c r="C22" i="2"/>
  <c r="E22" i="2" s="1"/>
  <c r="D21" i="2"/>
  <c r="C21" i="2"/>
  <c r="E21" i="2" s="1"/>
  <c r="D20" i="2"/>
  <c r="C20" i="2"/>
  <c r="E20" i="2" s="1"/>
  <c r="D19" i="2"/>
  <c r="C19" i="2"/>
  <c r="E19" i="2" s="1"/>
  <c r="D18" i="2"/>
  <c r="C18" i="2"/>
  <c r="E18" i="2" s="1"/>
  <c r="D17" i="2"/>
  <c r="C17" i="2"/>
  <c r="E17" i="2" s="1"/>
  <c r="D16" i="2"/>
  <c r="C16" i="2"/>
  <c r="E16" i="2" s="1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B38" i="1"/>
  <c r="B37" i="1"/>
  <c r="B35" i="1"/>
  <c r="B34" i="1"/>
  <c r="B29" i="1"/>
  <c r="B28" i="1"/>
  <c r="B27" i="1"/>
  <c r="B26" i="1"/>
  <c r="B18" i="1"/>
  <c r="G5" i="5" s="1"/>
  <c r="B16" i="1"/>
  <c r="B15" i="1"/>
  <c r="B36" i="1" s="1"/>
  <c r="B14" i="1"/>
  <c r="B6" i="2" s="1"/>
  <c r="B6" i="1"/>
  <c r="A2" i="6" s="1"/>
  <c r="A1" i="1"/>
  <c r="B20" i="1" l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E185" i="2"/>
  <c r="E201" i="2"/>
  <c r="E458" i="2"/>
  <c r="E490" i="2"/>
  <c r="B21" i="1"/>
  <c r="E197" i="2"/>
  <c r="E195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5" i="2"/>
  <c r="E323" i="2"/>
  <c r="E331" i="2"/>
  <c r="E339" i="2"/>
  <c r="E347" i="2"/>
  <c r="E355" i="2"/>
  <c r="E363" i="2"/>
  <c r="E371" i="2"/>
  <c r="C5" i="5"/>
  <c r="E41" i="1" s="1"/>
  <c r="F41" i="1" s="1"/>
  <c r="B5" i="5"/>
  <c r="B4" i="5"/>
  <c r="B3" i="5"/>
  <c r="B12" i="4"/>
  <c r="B8" i="4"/>
  <c r="B4" i="4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B15" i="4"/>
  <c r="B11" i="4"/>
  <c r="B7" i="4"/>
  <c r="B3" i="4"/>
  <c r="B53" i="3"/>
  <c r="B49" i="3"/>
  <c r="B45" i="3"/>
  <c r="B41" i="3"/>
  <c r="B37" i="3"/>
  <c r="B33" i="3"/>
  <c r="B29" i="3"/>
  <c r="B25" i="3"/>
  <c r="B21" i="3"/>
  <c r="B17" i="3"/>
  <c r="B13" i="3"/>
  <c r="B9" i="3"/>
  <c r="B14" i="4"/>
  <c r="B10" i="4"/>
  <c r="B6" i="4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B13" i="4"/>
  <c r="B9" i="4"/>
  <c r="B5" i="4"/>
  <c r="B55" i="3"/>
  <c r="B51" i="3"/>
  <c r="B47" i="3"/>
  <c r="B43" i="3"/>
  <c r="B39" i="3"/>
  <c r="B35" i="3"/>
  <c r="B5" i="3"/>
  <c r="C4" i="5"/>
  <c r="B23" i="3"/>
  <c r="B7" i="3"/>
  <c r="C3" i="5"/>
  <c r="B4" i="3"/>
  <c r="B19" i="3"/>
  <c r="B3" i="3"/>
  <c r="B31" i="3"/>
  <c r="B15" i="3"/>
  <c r="B27" i="3"/>
  <c r="B11" i="3"/>
  <c r="E191" i="2"/>
  <c r="E207" i="2"/>
  <c r="E217" i="2"/>
  <c r="E225" i="2"/>
  <c r="E233" i="2"/>
  <c r="E241" i="2"/>
  <c r="E249" i="2"/>
  <c r="E257" i="2"/>
  <c r="E265" i="2"/>
  <c r="E273" i="2"/>
  <c r="E281" i="2"/>
  <c r="E289" i="2"/>
  <c r="E297" i="2"/>
  <c r="E305" i="2"/>
  <c r="E313" i="2"/>
  <c r="E321" i="2"/>
  <c r="E329" i="2"/>
  <c r="E337" i="2"/>
  <c r="E345" i="2"/>
  <c r="E353" i="2"/>
  <c r="E361" i="2"/>
  <c r="E369" i="2"/>
  <c r="G55" i="3"/>
  <c r="G51" i="3"/>
  <c r="G47" i="3"/>
  <c r="G43" i="3"/>
  <c r="G39" i="3"/>
  <c r="G35" i="3"/>
  <c r="G31" i="3"/>
  <c r="G27" i="3"/>
  <c r="G23" i="3"/>
  <c r="G19" i="3"/>
  <c r="G15" i="3"/>
  <c r="G11" i="3"/>
  <c r="G7" i="3"/>
  <c r="G54" i="3"/>
  <c r="G50" i="3"/>
  <c r="G46" i="3"/>
  <c r="G42" i="3"/>
  <c r="G38" i="3"/>
  <c r="G34" i="3"/>
  <c r="G30" i="3"/>
  <c r="G26" i="3"/>
  <c r="G22" i="3"/>
  <c r="G18" i="3"/>
  <c r="G14" i="3"/>
  <c r="G10" i="3"/>
  <c r="G6" i="3"/>
  <c r="G53" i="3"/>
  <c r="G49" i="3"/>
  <c r="G45" i="3"/>
  <c r="G41" i="3"/>
  <c r="G37" i="3"/>
  <c r="G33" i="3"/>
  <c r="G29" i="3"/>
  <c r="G25" i="3"/>
  <c r="G21" i="3"/>
  <c r="G17" i="3"/>
  <c r="G13" i="3"/>
  <c r="G9" i="3"/>
  <c r="G5" i="3"/>
  <c r="G52" i="3"/>
  <c r="G20" i="3"/>
  <c r="G44" i="3"/>
  <c r="G32" i="3"/>
  <c r="G16" i="3"/>
  <c r="G56" i="3"/>
  <c r="G36" i="3"/>
  <c r="G28" i="3"/>
  <c r="G12" i="3"/>
  <c r="G48" i="3"/>
  <c r="G4" i="3"/>
  <c r="G40" i="3"/>
  <c r="G3" i="3"/>
  <c r="G24" i="3"/>
  <c r="G8" i="3"/>
  <c r="B41" i="1"/>
  <c r="G13" i="4"/>
  <c r="G9" i="4"/>
  <c r="G5" i="4"/>
  <c r="G12" i="4"/>
  <c r="G8" i="4"/>
  <c r="G4" i="4"/>
  <c r="G15" i="4"/>
  <c r="G11" i="4"/>
  <c r="G7" i="4"/>
  <c r="G3" i="4"/>
  <c r="G10" i="4"/>
  <c r="G14" i="4"/>
  <c r="G6" i="4"/>
  <c r="B17" i="1"/>
  <c r="B39" i="1"/>
  <c r="E614" i="2"/>
  <c r="E617" i="2"/>
  <c r="E620" i="2"/>
  <c r="E630" i="2"/>
  <c r="E633" i="2"/>
  <c r="E636" i="2"/>
  <c r="E646" i="2"/>
  <c r="E649" i="2"/>
  <c r="E652" i="2"/>
  <c r="E662" i="2"/>
  <c r="E665" i="2"/>
  <c r="E668" i="2"/>
  <c r="E678" i="2"/>
  <c r="E681" i="2"/>
  <c r="E684" i="2"/>
  <c r="E694" i="2"/>
  <c r="E700" i="2"/>
  <c r="E710" i="2"/>
  <c r="E716" i="2"/>
  <c r="E726" i="2"/>
  <c r="E732" i="2"/>
  <c r="E742" i="2"/>
  <c r="E748" i="2"/>
  <c r="E758" i="2"/>
  <c r="E609" i="2"/>
  <c r="E612" i="2"/>
  <c r="E622" i="2"/>
  <c r="E625" i="2"/>
  <c r="E628" i="2"/>
  <c r="E638" i="2"/>
  <c r="E641" i="2"/>
  <c r="E644" i="2"/>
  <c r="E654" i="2"/>
  <c r="E657" i="2"/>
  <c r="E660" i="2"/>
  <c r="E670" i="2"/>
  <c r="E673" i="2"/>
  <c r="E676" i="2"/>
  <c r="E686" i="2"/>
  <c r="E689" i="2"/>
  <c r="E692" i="2"/>
  <c r="E702" i="2"/>
  <c r="E708" i="2"/>
  <c r="E718" i="2"/>
  <c r="E724" i="2"/>
  <c r="E734" i="2"/>
  <c r="E740" i="2"/>
  <c r="E750" i="2"/>
  <c r="E756" i="2"/>
  <c r="E897" i="2"/>
  <c r="E505" i="2"/>
  <c r="E513" i="2"/>
  <c r="E521" i="2"/>
  <c r="E881" i="2"/>
  <c r="E611" i="2"/>
  <c r="E619" i="2"/>
  <c r="E627" i="2"/>
  <c r="E635" i="2"/>
  <c r="E643" i="2"/>
  <c r="E651" i="2"/>
  <c r="E659" i="2"/>
  <c r="E667" i="2"/>
  <c r="E675" i="2"/>
  <c r="E683" i="2"/>
  <c r="E691" i="2"/>
  <c r="E856" i="2"/>
  <c r="E613" i="2"/>
  <c r="E621" i="2"/>
  <c r="E629" i="2"/>
  <c r="E637" i="2"/>
  <c r="E645" i="2"/>
  <c r="E653" i="2"/>
  <c r="E661" i="2"/>
  <c r="E669" i="2"/>
  <c r="E677" i="2"/>
  <c r="E685" i="2"/>
  <c r="E693" i="2"/>
  <c r="E904" i="2"/>
  <c r="E851" i="2"/>
  <c r="E867" i="2"/>
  <c r="E883" i="2"/>
  <c r="E899" i="2"/>
  <c r="E911" i="2"/>
  <c r="E919" i="2"/>
  <c r="E927" i="2"/>
  <c r="E935" i="2"/>
  <c r="E943" i="2"/>
  <c r="E951" i="2"/>
  <c r="E1434" i="2"/>
  <c r="E861" i="2"/>
  <c r="E877" i="2"/>
  <c r="E893" i="2"/>
  <c r="E1257" i="2"/>
  <c r="E859" i="2"/>
  <c r="E875" i="2"/>
  <c r="E891" i="2"/>
  <c r="E907" i="2"/>
  <c r="E915" i="2"/>
  <c r="E923" i="2"/>
  <c r="E931" i="2"/>
  <c r="E939" i="2"/>
  <c r="E947" i="2"/>
  <c r="E955" i="2"/>
  <c r="E1190" i="2"/>
  <c r="E1306" i="2"/>
  <c r="E857" i="2"/>
  <c r="E873" i="2"/>
  <c r="E889" i="2"/>
  <c r="E905" i="2"/>
  <c r="E1187" i="2"/>
  <c r="E1209" i="2"/>
  <c r="E1273" i="2"/>
  <c r="E1402" i="2"/>
  <c r="E1186" i="2"/>
  <c r="E1199" i="2"/>
  <c r="E1218" i="2"/>
  <c r="E1234" i="2"/>
  <c r="E1250" i="2"/>
  <c r="E1266" i="2"/>
  <c r="E1282" i="2"/>
  <c r="E1330" i="2"/>
  <c r="E1362" i="2"/>
  <c r="E1394" i="2"/>
  <c r="E1426" i="2"/>
  <c r="E1458" i="2"/>
  <c r="E1490" i="2"/>
  <c r="E1191" i="2"/>
  <c r="E1194" i="2"/>
  <c r="E1210" i="2"/>
  <c r="E1226" i="2"/>
  <c r="E1242" i="2"/>
  <c r="E1258" i="2"/>
  <c r="E1274" i="2"/>
  <c r="E1314" i="2"/>
  <c r="E1346" i="2"/>
  <c r="E1378" i="2"/>
  <c r="E1410" i="2"/>
  <c r="E1442" i="2"/>
  <c r="E1474" i="2"/>
  <c r="E1195" i="2"/>
  <c r="E1198" i="2"/>
  <c r="E1217" i="2"/>
  <c r="E1233" i="2"/>
  <c r="E1249" i="2"/>
  <c r="E1265" i="2"/>
  <c r="E1281" i="2"/>
  <c r="E1298" i="2"/>
  <c r="E1322" i="2"/>
  <c r="E1354" i="2"/>
  <c r="E1386" i="2"/>
  <c r="E1418" i="2"/>
  <c r="E1450" i="2"/>
  <c r="E1482" i="2"/>
  <c r="E1207" i="2"/>
  <c r="E1215" i="2"/>
  <c r="E1223" i="2"/>
  <c r="E1231" i="2"/>
  <c r="E1239" i="2"/>
  <c r="E1247" i="2"/>
  <c r="E1255" i="2"/>
  <c r="E1263" i="2"/>
  <c r="E1271" i="2"/>
  <c r="E1279" i="2"/>
  <c r="E1287" i="2"/>
  <c r="E1295" i="2"/>
  <c r="E1303" i="2"/>
  <c r="E1311" i="2"/>
  <c r="E1319" i="2"/>
  <c r="E1327" i="2"/>
  <c r="E1335" i="2"/>
  <c r="E1343" i="2"/>
  <c r="E1351" i="2"/>
  <c r="E1359" i="2"/>
  <c r="E1367" i="2"/>
  <c r="E1375" i="2"/>
  <c r="E1383" i="2"/>
  <c r="E1391" i="2"/>
  <c r="E1399" i="2"/>
  <c r="E1407" i="2"/>
  <c r="E1415" i="2"/>
  <c r="E1423" i="2"/>
  <c r="E1431" i="2"/>
  <c r="E1439" i="2"/>
  <c r="E1447" i="2"/>
  <c r="E1455" i="2"/>
  <c r="E1463" i="2"/>
  <c r="E1471" i="2"/>
  <c r="E1479" i="2"/>
  <c r="E1487" i="2"/>
  <c r="E1495" i="2"/>
  <c r="E1503" i="2"/>
  <c r="E1206" i="2"/>
  <c r="E1214" i="2"/>
  <c r="E1222" i="2"/>
  <c r="E1230" i="2"/>
  <c r="E1238" i="2"/>
  <c r="E1246" i="2"/>
  <c r="E1254" i="2"/>
  <c r="E1262" i="2"/>
  <c r="E1270" i="2"/>
  <c r="E1278" i="2"/>
  <c r="E1286" i="2"/>
  <c r="E1294" i="2"/>
  <c r="E1302" i="2"/>
  <c r="E1310" i="2"/>
  <c r="E1318" i="2"/>
  <c r="E1326" i="2"/>
  <c r="E1334" i="2"/>
  <c r="E1342" i="2"/>
  <c r="E1350" i="2"/>
  <c r="E1358" i="2"/>
  <c r="E1366" i="2"/>
  <c r="E1374" i="2"/>
  <c r="E1382" i="2"/>
  <c r="E1390" i="2"/>
  <c r="E1398" i="2"/>
  <c r="E1406" i="2"/>
  <c r="E1414" i="2"/>
  <c r="E1422" i="2"/>
  <c r="E1430" i="2"/>
  <c r="E1438" i="2"/>
  <c r="E1446" i="2"/>
  <c r="E1454" i="2"/>
  <c r="E1462" i="2"/>
  <c r="E1470" i="2"/>
  <c r="E1478" i="2"/>
  <c r="E1486" i="2"/>
  <c r="E1494" i="2"/>
  <c r="C17" i="3" l="1"/>
  <c r="D17" i="3" s="1"/>
  <c r="E17" i="3"/>
  <c r="K17" i="3" s="1"/>
  <c r="C46" i="3"/>
  <c r="E46" i="3" s="1"/>
  <c r="K46" i="3" s="1"/>
  <c r="C51" i="3"/>
  <c r="D51" i="3" s="1"/>
  <c r="C53" i="3"/>
  <c r="D53" i="3" s="1"/>
  <c r="D24" i="3"/>
  <c r="C24" i="3"/>
  <c r="E24" i="3" s="1"/>
  <c r="K24" i="3" s="1"/>
  <c r="C4" i="3"/>
  <c r="D4" i="3" s="1"/>
  <c r="E4" i="3"/>
  <c r="K4" i="3" s="1"/>
  <c r="E43" i="3"/>
  <c r="K43" i="3" s="1"/>
  <c r="D43" i="3"/>
  <c r="C43" i="3"/>
  <c r="E12" i="3"/>
  <c r="K12" i="3" s="1"/>
  <c r="D12" i="3"/>
  <c r="C12" i="3"/>
  <c r="C44" i="3"/>
  <c r="E44" i="3" s="1"/>
  <c r="K44" i="3" s="1"/>
  <c r="D13" i="3"/>
  <c r="C13" i="3"/>
  <c r="E13" i="3"/>
  <c r="K13" i="3" s="1"/>
  <c r="D45" i="3"/>
  <c r="C45" i="3"/>
  <c r="E45" i="3"/>
  <c r="K45" i="3" s="1"/>
  <c r="C10" i="3"/>
  <c r="E10" i="3" s="1"/>
  <c r="K10" i="3" s="1"/>
  <c r="C42" i="3"/>
  <c r="E42" i="3" s="1"/>
  <c r="K42" i="3" s="1"/>
  <c r="E4" i="5"/>
  <c r="D4" i="5"/>
  <c r="G3" i="2"/>
  <c r="C4" i="4"/>
  <c r="E4" i="4" s="1"/>
  <c r="K4" i="4" s="1"/>
  <c r="C61" i="1"/>
  <c r="A49" i="1"/>
  <c r="C58" i="1"/>
  <c r="D58" i="1" s="1"/>
  <c r="C9" i="6" s="1"/>
  <c r="B53" i="1"/>
  <c r="D53" i="1" s="1"/>
  <c r="B22" i="1"/>
  <c r="B55" i="1"/>
  <c r="D55" i="1" s="1"/>
  <c r="C6" i="6" s="1"/>
  <c r="C47" i="3"/>
  <c r="E47" i="3" s="1"/>
  <c r="K47" i="3" s="1"/>
  <c r="E48" i="3"/>
  <c r="K48" i="3" s="1"/>
  <c r="D48" i="3"/>
  <c r="C48" i="3"/>
  <c r="C49" i="3"/>
  <c r="D49" i="3" s="1"/>
  <c r="E49" i="3"/>
  <c r="K49" i="3" s="1"/>
  <c r="E5" i="5"/>
  <c r="D5" i="5"/>
  <c r="F5" i="5" s="1"/>
  <c r="E23" i="3"/>
  <c r="K23" i="3" s="1"/>
  <c r="D23" i="3"/>
  <c r="C23" i="3"/>
  <c r="C56" i="3"/>
  <c r="E56" i="3" s="1"/>
  <c r="K56" i="3" s="1"/>
  <c r="C54" i="3"/>
  <c r="E54" i="3" s="1"/>
  <c r="K54" i="3" s="1"/>
  <c r="E15" i="3"/>
  <c r="K15" i="3" s="1"/>
  <c r="D15" i="3"/>
  <c r="C15" i="3"/>
  <c r="E5" i="4"/>
  <c r="K5" i="4" s="1"/>
  <c r="D5" i="4"/>
  <c r="C5" i="4"/>
  <c r="D6" i="4"/>
  <c r="C6" i="4"/>
  <c r="E6" i="4" s="1"/>
  <c r="K6" i="4" s="1"/>
  <c r="E26" i="3"/>
  <c r="K26" i="3" s="1"/>
  <c r="C26" i="3"/>
  <c r="D26" i="3" s="1"/>
  <c r="C31" i="3"/>
  <c r="E31" i="3" s="1"/>
  <c r="K31" i="3" s="1"/>
  <c r="D5" i="3"/>
  <c r="C5" i="3"/>
  <c r="E5" i="3" s="1"/>
  <c r="K5" i="3" s="1"/>
  <c r="E9" i="4"/>
  <c r="K9" i="4" s="1"/>
  <c r="D9" i="4"/>
  <c r="C9" i="4"/>
  <c r="D32" i="3"/>
  <c r="C32" i="3"/>
  <c r="E32" i="3" s="1"/>
  <c r="K32" i="3" s="1"/>
  <c r="E10" i="4"/>
  <c r="K10" i="4" s="1"/>
  <c r="C10" i="4"/>
  <c r="D10" i="4" s="1"/>
  <c r="D33" i="3"/>
  <c r="C33" i="3"/>
  <c r="E33" i="3"/>
  <c r="K33" i="3" s="1"/>
  <c r="D11" i="4"/>
  <c r="C11" i="4"/>
  <c r="E11" i="4" s="1"/>
  <c r="K11" i="4" s="1"/>
  <c r="C30" i="3"/>
  <c r="E30" i="3" s="1"/>
  <c r="K30" i="3" s="1"/>
  <c r="D30" i="3"/>
  <c r="C8" i="4"/>
  <c r="E8" i="4" s="1"/>
  <c r="K8" i="4" s="1"/>
  <c r="E16" i="3"/>
  <c r="K16" i="3" s="1"/>
  <c r="D16" i="3"/>
  <c r="C16" i="3"/>
  <c r="C14" i="3"/>
  <c r="E14" i="3" s="1"/>
  <c r="K14" i="3" s="1"/>
  <c r="D11" i="3"/>
  <c r="C11" i="3"/>
  <c r="E11" i="3" s="1"/>
  <c r="K11" i="3" s="1"/>
  <c r="E20" i="3"/>
  <c r="K20" i="3" s="1"/>
  <c r="C20" i="3"/>
  <c r="D20" i="3" s="1"/>
  <c r="D21" i="3"/>
  <c r="C21" i="3"/>
  <c r="E21" i="3"/>
  <c r="K21" i="3" s="1"/>
  <c r="E50" i="3"/>
  <c r="K50" i="3" s="1"/>
  <c r="D50" i="3"/>
  <c r="C50" i="3"/>
  <c r="E55" i="3"/>
  <c r="K55" i="3" s="1"/>
  <c r="D55" i="3"/>
  <c r="C55" i="3"/>
  <c r="C25" i="3"/>
  <c r="E25" i="3" s="1"/>
  <c r="K25" i="3" s="1"/>
  <c r="E22" i="3"/>
  <c r="K22" i="3" s="1"/>
  <c r="C22" i="3"/>
  <c r="D22" i="3" s="1"/>
  <c r="E28" i="3"/>
  <c r="K28" i="3" s="1"/>
  <c r="C28" i="3"/>
  <c r="D28" i="3" s="1"/>
  <c r="D29" i="3"/>
  <c r="C29" i="3"/>
  <c r="E29" i="3" s="1"/>
  <c r="K29" i="3" s="1"/>
  <c r="C3" i="3"/>
  <c r="B8" i="6" s="1"/>
  <c r="C13" i="4"/>
  <c r="E13" i="4" s="1"/>
  <c r="K13" i="4" s="1"/>
  <c r="E36" i="3"/>
  <c r="K36" i="3" s="1"/>
  <c r="D36" i="3"/>
  <c r="C36" i="3"/>
  <c r="E14" i="4"/>
  <c r="K14" i="4" s="1"/>
  <c r="D14" i="4"/>
  <c r="C14" i="4"/>
  <c r="C15" i="4"/>
  <c r="D15" i="4" s="1"/>
  <c r="E15" i="4"/>
  <c r="K15" i="4" s="1"/>
  <c r="E34" i="3"/>
  <c r="K34" i="3" s="1"/>
  <c r="C34" i="3"/>
  <c r="D34" i="3" s="1"/>
  <c r="E12" i="4"/>
  <c r="K12" i="4" s="1"/>
  <c r="C12" i="4"/>
  <c r="D12" i="4" s="1"/>
  <c r="B7" i="6"/>
  <c r="F3" i="2"/>
  <c r="H3" i="2" s="1"/>
  <c r="E7" i="3"/>
  <c r="K7" i="3" s="1"/>
  <c r="C7" i="3"/>
  <c r="D7" i="3" s="1"/>
  <c r="E52" i="3"/>
  <c r="K52" i="3" s="1"/>
  <c r="C52" i="3"/>
  <c r="D52" i="3" s="1"/>
  <c r="C18" i="3"/>
  <c r="D18" i="3" s="1"/>
  <c r="C27" i="3"/>
  <c r="E27" i="3" s="1"/>
  <c r="K27" i="3" s="1"/>
  <c r="C3" i="4"/>
  <c r="B51" i="1" s="1"/>
  <c r="E3" i="4"/>
  <c r="K3" i="4" s="1"/>
  <c r="C7" i="4"/>
  <c r="E7" i="4" s="1"/>
  <c r="K7" i="4" s="1"/>
  <c r="E35" i="3"/>
  <c r="K35" i="3" s="1"/>
  <c r="D35" i="3"/>
  <c r="C35" i="3"/>
  <c r="C37" i="3"/>
  <c r="D37" i="3" s="1"/>
  <c r="E37" i="3"/>
  <c r="K37" i="3" s="1"/>
  <c r="G4" i="5"/>
  <c r="G3" i="5"/>
  <c r="B40" i="1"/>
  <c r="E19" i="3"/>
  <c r="K19" i="3" s="1"/>
  <c r="C19" i="3"/>
  <c r="D19" i="3" s="1"/>
  <c r="C39" i="3"/>
  <c r="D39" i="3" s="1"/>
  <c r="C8" i="3"/>
  <c r="E8" i="3" s="1"/>
  <c r="K8" i="3" s="1"/>
  <c r="C40" i="3"/>
  <c r="E40" i="3" s="1"/>
  <c r="K40" i="3" s="1"/>
  <c r="C9" i="3"/>
  <c r="E9" i="3" s="1"/>
  <c r="K9" i="3" s="1"/>
  <c r="C41" i="3"/>
  <c r="D41" i="3" s="1"/>
  <c r="C6" i="3"/>
  <c r="D6" i="3" s="1"/>
  <c r="E38" i="3"/>
  <c r="K38" i="3" s="1"/>
  <c r="C38" i="3"/>
  <c r="D38" i="3" s="1"/>
  <c r="E3" i="5"/>
  <c r="D3" i="5"/>
  <c r="J37" i="3" l="1"/>
  <c r="F37" i="3"/>
  <c r="J18" i="3"/>
  <c r="J4" i="3"/>
  <c r="F4" i="3"/>
  <c r="J22" i="3"/>
  <c r="F22" i="3"/>
  <c r="J38" i="3"/>
  <c r="F38" i="3"/>
  <c r="F19" i="3"/>
  <c r="J19" i="3"/>
  <c r="J49" i="3"/>
  <c r="F49" i="3"/>
  <c r="F7" i="3"/>
  <c r="J7" i="3"/>
  <c r="J53" i="3"/>
  <c r="F52" i="3"/>
  <c r="J52" i="3"/>
  <c r="F51" i="3"/>
  <c r="J51" i="3"/>
  <c r="J34" i="3"/>
  <c r="F34" i="3"/>
  <c r="J15" i="4"/>
  <c r="F15" i="4"/>
  <c r="F10" i="4"/>
  <c r="J10" i="4"/>
  <c r="J39" i="3"/>
  <c r="J6" i="3"/>
  <c r="J41" i="3"/>
  <c r="F20" i="3"/>
  <c r="J20" i="3"/>
  <c r="J12" i="4"/>
  <c r="F12" i="4"/>
  <c r="F28" i="3"/>
  <c r="J28" i="3"/>
  <c r="J26" i="3"/>
  <c r="F26" i="3"/>
  <c r="J17" i="3"/>
  <c r="F17" i="3"/>
  <c r="J45" i="3"/>
  <c r="F45" i="3"/>
  <c r="F12" i="3"/>
  <c r="J12" i="3"/>
  <c r="E51" i="3"/>
  <c r="K51" i="3" s="1"/>
  <c r="J11" i="4"/>
  <c r="F11" i="4"/>
  <c r="E6" i="3"/>
  <c r="K6" i="3" s="1"/>
  <c r="D40" i="3"/>
  <c r="D13" i="4"/>
  <c r="D25" i="3"/>
  <c r="D31" i="3"/>
  <c r="D54" i="3"/>
  <c r="F24" i="3"/>
  <c r="J24" i="3"/>
  <c r="E39" i="3"/>
  <c r="K39" i="3" s="1"/>
  <c r="F11" i="3"/>
  <c r="J11" i="3"/>
  <c r="F6" i="4"/>
  <c r="J6" i="4"/>
  <c r="D8" i="4"/>
  <c r="I5" i="5"/>
  <c r="H5" i="5"/>
  <c r="C41" i="1"/>
  <c r="D41" i="1" s="1"/>
  <c r="G41" i="1" s="1"/>
  <c r="B59" i="1"/>
  <c r="B60" i="1"/>
  <c r="B61" i="1"/>
  <c r="D61" i="1" s="1"/>
  <c r="D42" i="3"/>
  <c r="F3" i="5"/>
  <c r="C40" i="1" s="1"/>
  <c r="D40" i="1" s="1"/>
  <c r="E41" i="3"/>
  <c r="K41" i="3" s="1"/>
  <c r="D3" i="4"/>
  <c r="D14" i="3"/>
  <c r="D47" i="3"/>
  <c r="C59" i="1"/>
  <c r="C52" i="1"/>
  <c r="D4" i="4"/>
  <c r="D46" i="3"/>
  <c r="E18" i="3"/>
  <c r="K18" i="3" s="1"/>
  <c r="F14" i="4"/>
  <c r="J14" i="4"/>
  <c r="E36" i="1"/>
  <c r="F36" i="1" s="1"/>
  <c r="E34" i="1"/>
  <c r="F34" i="1" s="1"/>
  <c r="E35" i="1"/>
  <c r="F35" i="1" s="1"/>
  <c r="J21" i="3"/>
  <c r="F21" i="3"/>
  <c r="F9" i="4"/>
  <c r="J9" i="4"/>
  <c r="F5" i="4"/>
  <c r="J5" i="4"/>
  <c r="E39" i="1"/>
  <c r="F39" i="1" s="1"/>
  <c r="C60" i="1"/>
  <c r="E37" i="1"/>
  <c r="F37" i="1" s="1"/>
  <c r="J13" i="3"/>
  <c r="F13" i="3"/>
  <c r="F43" i="3"/>
  <c r="J43" i="3"/>
  <c r="E53" i="3"/>
  <c r="K53" i="3" s="1"/>
  <c r="D9" i="3"/>
  <c r="J29" i="3"/>
  <c r="F29" i="3"/>
  <c r="F32" i="3"/>
  <c r="J32" i="3"/>
  <c r="F35" i="3"/>
  <c r="J35" i="3"/>
  <c r="J30" i="3"/>
  <c r="F30" i="3"/>
  <c r="D3" i="3"/>
  <c r="D10" i="3"/>
  <c r="D7" i="4"/>
  <c r="F55" i="3"/>
  <c r="J55" i="3"/>
  <c r="J33" i="3"/>
  <c r="F33" i="3"/>
  <c r="D8" i="3"/>
  <c r="D27" i="3"/>
  <c r="D56" i="3"/>
  <c r="C29" i="1"/>
  <c r="B56" i="1"/>
  <c r="D56" i="1" s="1"/>
  <c r="C7" i="6" s="1"/>
  <c r="B62" i="1"/>
  <c r="E3" i="3"/>
  <c r="C38" i="1"/>
  <c r="D38" i="1" s="1"/>
  <c r="C62" i="1"/>
  <c r="B54" i="1"/>
  <c r="B57" i="1"/>
  <c r="D57" i="1" s="1"/>
  <c r="C8" i="6" s="1"/>
  <c r="B9" i="6"/>
  <c r="D44" i="3"/>
  <c r="F36" i="3"/>
  <c r="J36" i="3"/>
  <c r="F16" i="3"/>
  <c r="J16" i="3"/>
  <c r="F15" i="3"/>
  <c r="J15" i="3"/>
  <c r="E40" i="1"/>
  <c r="F40" i="1" s="1"/>
  <c r="C51" i="1"/>
  <c r="D51" i="1" s="1"/>
  <c r="F4" i="5"/>
  <c r="J50" i="3"/>
  <c r="F50" i="3"/>
  <c r="J5" i="3"/>
  <c r="F5" i="3"/>
  <c r="F23" i="3"/>
  <c r="J23" i="3"/>
  <c r="F48" i="3"/>
  <c r="J48" i="3"/>
  <c r="B52" i="1"/>
  <c r="E38" i="1"/>
  <c r="F38" i="1" s="1"/>
  <c r="C54" i="1"/>
  <c r="B6" i="6"/>
  <c r="G40" i="1" l="1"/>
  <c r="I6" i="4"/>
  <c r="H6" i="4"/>
  <c r="J25" i="3"/>
  <c r="F25" i="3"/>
  <c r="I12" i="3"/>
  <c r="H12" i="3"/>
  <c r="I28" i="3"/>
  <c r="H28" i="3"/>
  <c r="F6" i="3"/>
  <c r="I34" i="3"/>
  <c r="H34" i="3"/>
  <c r="I22" i="3"/>
  <c r="H22" i="3"/>
  <c r="F13" i="4"/>
  <c r="J13" i="4"/>
  <c r="I45" i="3"/>
  <c r="H45" i="3"/>
  <c r="I12" i="4"/>
  <c r="H12" i="4"/>
  <c r="H7" i="3"/>
  <c r="I7" i="3"/>
  <c r="I4" i="5"/>
  <c r="H4" i="5"/>
  <c r="D59" i="1"/>
  <c r="H11" i="3"/>
  <c r="I11" i="3"/>
  <c r="D60" i="1"/>
  <c r="F47" i="3"/>
  <c r="J47" i="3"/>
  <c r="D62" i="1"/>
  <c r="H5" i="4"/>
  <c r="I5" i="4"/>
  <c r="I36" i="3"/>
  <c r="H36" i="3"/>
  <c r="I17" i="3"/>
  <c r="H17" i="3"/>
  <c r="F39" i="3"/>
  <c r="H51" i="3"/>
  <c r="I51" i="3"/>
  <c r="F44" i="3"/>
  <c r="J44" i="3"/>
  <c r="H55" i="3"/>
  <c r="I55" i="3"/>
  <c r="H35" i="3"/>
  <c r="I35" i="3"/>
  <c r="H43" i="3"/>
  <c r="I43" i="3"/>
  <c r="I14" i="4"/>
  <c r="H14" i="4"/>
  <c r="J3" i="4"/>
  <c r="F3" i="4"/>
  <c r="C28" i="1"/>
  <c r="C37" i="1"/>
  <c r="D37" i="1" s="1"/>
  <c r="G37" i="1" s="1"/>
  <c r="I11" i="4"/>
  <c r="H11" i="4"/>
  <c r="F18" i="3"/>
  <c r="D52" i="1"/>
  <c r="I16" i="3"/>
  <c r="H16" i="3"/>
  <c r="G38" i="1"/>
  <c r="I33" i="3"/>
  <c r="H33" i="3"/>
  <c r="I30" i="3"/>
  <c r="H30" i="3"/>
  <c r="K3" i="3"/>
  <c r="C35" i="1"/>
  <c r="D35" i="1" s="1"/>
  <c r="G35" i="1" s="1"/>
  <c r="C27" i="1"/>
  <c r="C3" i="2"/>
  <c r="F40" i="3"/>
  <c r="J40" i="3"/>
  <c r="I49" i="3"/>
  <c r="H49" i="3"/>
  <c r="I4" i="3"/>
  <c r="H4" i="3"/>
  <c r="I48" i="3"/>
  <c r="H48" i="3"/>
  <c r="J14" i="3"/>
  <c r="F14" i="3"/>
  <c r="H23" i="3"/>
  <c r="I23" i="3"/>
  <c r="D29" i="1"/>
  <c r="E29" i="1"/>
  <c r="J7" i="4"/>
  <c r="F7" i="4"/>
  <c r="I13" i="3"/>
  <c r="H13" i="3"/>
  <c r="H9" i="4"/>
  <c r="I9" i="4"/>
  <c r="I24" i="3"/>
  <c r="H24" i="3"/>
  <c r="I26" i="3"/>
  <c r="H26" i="3"/>
  <c r="I20" i="3"/>
  <c r="H20" i="3"/>
  <c r="I10" i="4"/>
  <c r="H10" i="4"/>
  <c r="I52" i="3"/>
  <c r="H52" i="3"/>
  <c r="H19" i="3"/>
  <c r="I19" i="3"/>
  <c r="F8" i="3"/>
  <c r="J8" i="3"/>
  <c r="I5" i="3"/>
  <c r="H5" i="3"/>
  <c r="F56" i="3"/>
  <c r="J56" i="3"/>
  <c r="J10" i="3"/>
  <c r="F10" i="3"/>
  <c r="I32" i="3"/>
  <c r="H32" i="3"/>
  <c r="I21" i="3"/>
  <c r="H21" i="3"/>
  <c r="J46" i="3"/>
  <c r="F46" i="3"/>
  <c r="I3" i="5"/>
  <c r="H3" i="5"/>
  <c r="J8" i="4"/>
  <c r="F8" i="4"/>
  <c r="J54" i="3"/>
  <c r="F54" i="3"/>
  <c r="F41" i="3"/>
  <c r="I15" i="4"/>
  <c r="H15" i="4"/>
  <c r="F53" i="3"/>
  <c r="I38" i="3"/>
  <c r="H38" i="3"/>
  <c r="I37" i="3"/>
  <c r="H37" i="3"/>
  <c r="I50" i="3"/>
  <c r="H50" i="3"/>
  <c r="J9" i="3"/>
  <c r="F9" i="3"/>
  <c r="H15" i="3"/>
  <c r="I15" i="3"/>
  <c r="D54" i="1"/>
  <c r="F27" i="3"/>
  <c r="J27" i="3"/>
  <c r="F3" i="3"/>
  <c r="J3" i="3"/>
  <c r="B3" i="2"/>
  <c r="C34" i="1"/>
  <c r="D34" i="1" s="1"/>
  <c r="G34" i="1" s="1"/>
  <c r="C26" i="1"/>
  <c r="I29" i="3"/>
  <c r="H29" i="3"/>
  <c r="J4" i="4"/>
  <c r="F4" i="4"/>
  <c r="J42" i="3"/>
  <c r="F42" i="3"/>
  <c r="F31" i="3"/>
  <c r="J31" i="3"/>
  <c r="D26" i="1" l="1"/>
  <c r="E26" i="1"/>
  <c r="I8" i="4"/>
  <c r="H8" i="4"/>
  <c r="I18" i="3"/>
  <c r="H18" i="3"/>
  <c r="I44" i="3"/>
  <c r="H44" i="3"/>
  <c r="I42" i="3"/>
  <c r="H42" i="3"/>
  <c r="I53" i="3"/>
  <c r="H53" i="3"/>
  <c r="I8" i="3"/>
  <c r="H8" i="3"/>
  <c r="I14" i="3"/>
  <c r="H14" i="3"/>
  <c r="I7" i="4"/>
  <c r="H7" i="4"/>
  <c r="I4" i="4"/>
  <c r="H4" i="4"/>
  <c r="I3" i="3"/>
  <c r="H3" i="3"/>
  <c r="D3" i="2"/>
  <c r="E3" i="2"/>
  <c r="C36" i="1"/>
  <c r="D36" i="1" s="1"/>
  <c r="G36" i="1" s="1"/>
  <c r="I46" i="3"/>
  <c r="H46" i="3"/>
  <c r="D28" i="1"/>
  <c r="E28" i="1"/>
  <c r="H47" i="3"/>
  <c r="I47" i="3"/>
  <c r="I25" i="3"/>
  <c r="H25" i="3"/>
  <c r="I40" i="3"/>
  <c r="H40" i="3"/>
  <c r="H39" i="3"/>
  <c r="I39" i="3"/>
  <c r="I41" i="3"/>
  <c r="H41" i="3"/>
  <c r="I56" i="3"/>
  <c r="H56" i="3"/>
  <c r="D27" i="1"/>
  <c r="E27" i="1"/>
  <c r="I3" i="4"/>
  <c r="H3" i="4"/>
  <c r="C39" i="1"/>
  <c r="D39" i="1" s="1"/>
  <c r="G39" i="1" s="1"/>
  <c r="H35" i="1" s="1"/>
  <c r="I54" i="3"/>
  <c r="H54" i="3"/>
  <c r="H31" i="3"/>
  <c r="I31" i="3"/>
  <c r="I9" i="3"/>
  <c r="H9" i="3"/>
  <c r="I10" i="3"/>
  <c r="H10" i="3"/>
  <c r="H13" i="4"/>
  <c r="I13" i="4"/>
  <c r="H27" i="3"/>
  <c r="I27" i="3"/>
  <c r="I6" i="3"/>
  <c r="H6" i="3"/>
  <c r="H36" i="1" l="1"/>
  <c r="H38" i="1"/>
  <c r="H34" i="1"/>
  <c r="H39" i="1"/>
  <c r="H37" i="1"/>
  <c r="H41" i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Noto Sans CJK SC"/>
            <family val="2"/>
          </rPr>
          <t>最初の行：空欄なら期の開始日になります。開始日と違う日から始める時は、日にちの数字だけ入力してください。</t>
        </r>
      </text>
    </comment>
    <comment ref="K6" authorId="0" shapeId="0" xr:uid="{00000000-0006-0000-0100-000002000000}">
      <text>
        <r>
          <rPr>
            <sz val="10"/>
            <rFont val="Noto Sans CJK SC"/>
            <family val="2"/>
          </rPr>
          <t>小原の診断解決の売上（持込とは分けて入力）</t>
        </r>
      </text>
    </comment>
  </commentList>
</comments>
</file>

<file path=xl/sharedStrings.xml><?xml version="1.0" encoding="utf-8"?>
<sst xmlns="http://schemas.openxmlformats.org/spreadsheetml/2006/main" count="161" uniqueCount="109">
  <si>
    <r>
      <rPr>
        <b/>
        <sz val="11"/>
        <rFont val="Noto Sans CJK SC"/>
        <family val="2"/>
      </rPr>
      <t xml:space="preserve">■ 入力項目（黄色セルのみ編集）　新しい期は </t>
    </r>
    <r>
      <rPr>
        <b/>
        <sz val="11"/>
        <rFont val="Arial"/>
        <family val="2"/>
      </rPr>
      <t>B4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>B5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 xml:space="preserve">B13 </t>
    </r>
    <r>
      <rPr>
        <b/>
        <sz val="11"/>
        <rFont val="Noto Sans CJK SC"/>
        <family val="2"/>
      </rPr>
      <t>を変更するだけ</t>
    </r>
  </si>
  <si>
    <t>期の開始年</t>
  </si>
  <si>
    <t>期の開始月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</si>
  <si>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</si>
  <si>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</si>
  <si>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</si>
  <si>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</si>
  <si>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</si>
  <si>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</si>
  <si>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</si>
  <si>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期の名称（表示用）</t>
  </si>
  <si>
    <r>
      <rPr>
        <b/>
        <sz val="11"/>
        <color rgb="FF0000FF"/>
        <rFont val="Arial"/>
        <family val="2"/>
      </rPr>
      <t>39</t>
    </r>
    <r>
      <rPr>
        <b/>
        <sz val="11"/>
        <color rgb="FF0000FF"/>
        <rFont val="Noto Sans CJK SC"/>
        <family val="2"/>
      </rPr>
      <t>期 夏期</t>
    </r>
  </si>
  <si>
    <t>期の開始日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</si>
  <si>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</si>
  <si>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</si>
  <si>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</si>
  <si>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</si>
  <si>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現在の週番号（期の開始前は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</si>
  <si>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現在の月番号（期の開始前は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</si>
  <si>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</si>
  <si>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</si>
  <si>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</si>
  <si>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</si>
  <si>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</si>
  <si>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</si>
  <si>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</si>
  <si>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</si>
  <si>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</si>
  <si>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</si>
  <si>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</si>
  <si>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</si>
  <si>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</si>
  <si>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</si>
  <si>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</si>
  <si>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</si>
  <si>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</si>
  <si>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</si>
  <si>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</si>
  <si>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</si>
  <si>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</si>
  <si>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）。半期・年間はチーム月予算からの参考換算値です。</t>
    </r>
  </si>
  <si>
    <t>※ 週は月曜始まり。月をまたぐ週も前後月の実績を含めて集計します。</t>
  </si>
  <si>
    <r>
      <rPr>
        <i/>
        <sz val="9"/>
        <color rgb="FF808080"/>
        <rFont val="Noto Sans CJK SC"/>
        <family val="2"/>
      </rPr>
      <t xml:space="preserve">※【新しい期の作り方】このファイルをコピー → </t>
    </r>
    <r>
      <rPr>
        <i/>
        <sz val="9"/>
        <color rgb="FF808080"/>
        <rFont val="Arial"/>
        <family val="2"/>
      </rPr>
      <t>B4</t>
    </r>
    <r>
      <rPr>
        <i/>
        <sz val="9"/>
        <color rgb="FF808080"/>
        <rFont val="Noto Sans CJK SC"/>
        <family val="2"/>
      </rPr>
      <t>（開始年）・</t>
    </r>
    <r>
      <rPr>
        <i/>
        <sz val="9"/>
        <color rgb="FF808080"/>
        <rFont val="Arial"/>
        <family val="2"/>
      </rPr>
      <t>B5</t>
    </r>
    <r>
      <rPr>
        <i/>
        <sz val="9"/>
        <color rgb="FF808080"/>
        <rFont val="Noto Sans CJK SC"/>
        <family val="2"/>
      </rPr>
      <t>（開始月）・</t>
    </r>
    <r>
      <rPr>
        <i/>
        <sz val="9"/>
        <color rgb="FF808080"/>
        <rFont val="Arial"/>
        <family val="2"/>
      </rPr>
      <t>B13</t>
    </r>
    <r>
      <rPr>
        <i/>
        <sz val="9"/>
        <color rgb="FF808080"/>
        <rFont val="Noto Sans CJK SC"/>
        <family val="2"/>
      </rPr>
      <t>（期の名称）を変更 → 受注ログに入力開始。</t>
    </r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</si>
  <si>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</si>
  <si>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</si>
  <si>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</si>
  <si>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</si>
  <si>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</si>
  <si>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</si>
  <si>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</si>
  <si>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診断解決</t>
  </si>
  <si>
    <t>―</t>
  </si>
  <si>
    <t>RYTS</t>
  </si>
  <si>
    <t>大洲店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</si>
  <si>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</si>
  <si>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</si>
  <si>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</si>
  <si>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</si>
  <si>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</si>
  <si>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</si>
  <si>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</si>
  <si>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</si>
  <si>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</si>
  <si>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</si>
  <si>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</si>
  <si>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</si>
  <si>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</si>
  <si>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</si>
  <si>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</si>
  <si>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</si>
  <si>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</si>
  <si>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</si>
  <si>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</si>
  <si>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</si>
  <si>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</si>
  <si>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</si>
  <si>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</si>
  <si>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r>
      <rPr>
        <i/>
        <sz val="9"/>
        <color rgb="FF808080"/>
        <rFont val="Arial"/>
        <family val="2"/>
      </rPr>
      <t>※ A</t>
    </r>
    <r>
      <rPr>
        <i/>
        <sz val="9"/>
        <color rgb="FF808080"/>
        <rFont val="Noto Sans CJK SC"/>
        <family val="2"/>
      </rPr>
      <t>列（日にちだけ）に数字を入れると、</t>
    </r>
    <r>
      <rPr>
        <i/>
        <sz val="9"/>
        <color rgb="FF808080"/>
        <rFont val="Arial"/>
        <family val="2"/>
      </rPr>
      <t>B</t>
    </r>
    <r>
      <rPr>
        <i/>
        <sz val="9"/>
        <color rgb="FF808080"/>
        <rFont val="Noto Sans CJK SC"/>
        <family val="2"/>
      </rPr>
      <t>列の日付が自動計算されます。空欄なら上の行と同じ日付です（月またぎも自動判定）。</t>
    </r>
  </si>
  <si>
    <t>※ 実際に入力されたセルには自動で緑色、次に入力する行にはオレンジ色が付きます。</t>
  </si>
  <si>
    <r>
      <rPr>
        <i/>
        <sz val="9"/>
        <color rgb="FF808080"/>
        <rFont val="Noto Sans CJK SC"/>
        <family val="2"/>
      </rPr>
      <t>※ 松山本店・持込・</t>
    </r>
    <r>
      <rPr>
        <i/>
        <sz val="9"/>
        <color rgb="FF808080"/>
        <rFont val="Arial"/>
        <family val="2"/>
      </rPr>
      <t>RYTS</t>
    </r>
    <r>
      <rPr>
        <i/>
        <sz val="9"/>
        <color rgb="FF808080"/>
        <rFont val="Noto Sans CJK SC"/>
        <family val="2"/>
      </rPr>
      <t>の</t>
    </r>
    <r>
      <rPr>
        <i/>
        <sz val="9"/>
        <color rgb="FF808080"/>
        <rFont val="Arial"/>
        <family val="2"/>
      </rPr>
      <t>3</t>
    </r>
    <r>
      <rPr>
        <i/>
        <sz val="9"/>
        <color rgb="FF808080"/>
        <rFont val="Noto Sans CJK SC"/>
        <family val="2"/>
      </rPr>
      <t>列合計が「松山本店の売上」です。診断解決は小原のみ別列で入力します。</t>
    </r>
  </si>
  <si>
    <t>※ 小原は新居浜店、前園は大洲店・西予店・宇和島店の列がありません（担当外のため）。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</si>
  <si>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コードを入力すると、小原計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前園計に自動で金額換算されます（単価はサマリーで変更）。</t>
    </r>
  </si>
  <si>
    <r>
      <rPr>
        <i/>
        <sz val="9"/>
        <color rgb="FF808080"/>
        <rFont val="Noto Sans CJK SC"/>
        <family val="2"/>
      </rPr>
      <t>※ 行が足りなくなったら、一番下の行を選んで下にドラッグして増やしてください（集計は</t>
    </r>
    <r>
      <rPr>
        <i/>
        <sz val="9"/>
        <color rgb="FF808080"/>
        <rFont val="Arial"/>
        <family val="2"/>
      </rPr>
      <t>10</t>
    </r>
    <r>
      <rPr>
        <i/>
        <sz val="9"/>
        <color rgb="FF808080"/>
        <rFont val="Noto Sans CJK SC"/>
        <family val="2"/>
      </rPr>
      <t>万行目まで自動で含まれます）。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</si>
  <si>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</si>
  <si>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</si>
  <si>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</si>
  <si>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</si>
  <si>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</si>
  <si>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</si>
  <si>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</si>
  <si>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</si>
  <si>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</si>
  <si>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</si>
  <si>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</si>
  <si>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＝チーム月予算）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</si>
  <si>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</si>
  <si>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</si>
  <si>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</si>
  <si>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</si>
  <si>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</si>
  <si>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</si>
  <si>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</si>
  <si>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</si>
  <si>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</si>
  <si>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</si>
  <si>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</si>
  <si>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</si>
  <si>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</si>
  <si>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※「印刷用」シートを開いて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で、この内容だけが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</si>
</sst>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1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rgb="FF0000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sz val="10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0" borderId="0" xfId="0" applyFont="1"/>
    <xf numFmtId="0" fontId="2" fillId="0" borderId="0" xfId="0" applyFont="1"/>
    <xf numFmtId="0" fontId="4" fillId="0" borderId="0" xfId="0" applyFont="1"/>
    <xf numFmtId="176" fontId="5" fillId="3" borderId="1" xfId="0" applyNumberFormat="1" applyFont="1" applyFill="1" applyBorder="1" applyAlignment="1">
      <alignment horizontal="center"/>
    </xf>
    <xf numFmtId="177" fontId="5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78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49" fontId="5" fillId="3" borderId="1" xfId="0" applyNumberFormat="1" applyFont="1" applyFill="1" applyBorder="1" applyAlignment="1">
      <alignment horizontal="center"/>
    </xf>
    <xf numFmtId="179" fontId="6" fillId="0" borderId="1" xfId="0" applyNumberFormat="1" applyFont="1" applyBorder="1"/>
    <xf numFmtId="178" fontId="6" fillId="0" borderId="1" xfId="0" applyNumberFormat="1" applyFont="1" applyBorder="1"/>
    <xf numFmtId="1" fontId="6" fillId="0" borderId="1" xfId="0" applyNumberFormat="1" applyFont="1" applyBorder="1"/>
    <xf numFmtId="0" fontId="4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/>
    </xf>
    <xf numFmtId="18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8" fontId="5" fillId="6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78" fontId="5" fillId="7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78" fontId="5" fillId="8" borderId="1" xfId="0" applyNumberFormat="1" applyFont="1" applyFill="1" applyBorder="1" applyAlignment="1">
      <alignment horizontal="center"/>
    </xf>
    <xf numFmtId="1" fontId="5" fillId="8" borderId="1" xfId="0" applyNumberFormat="1" applyFont="1" applyFill="1" applyBorder="1" applyAlignment="1">
      <alignment horizontal="center"/>
    </xf>
    <xf numFmtId="182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1" xfId="0" applyFont="1" applyBorder="1"/>
    <xf numFmtId="178" fontId="19" fillId="0" borderId="1" xfId="0" applyNumberFormat="1" applyFont="1" applyBorder="1" applyAlignment="1">
      <alignment horizontal="center"/>
    </xf>
    <xf numFmtId="0" fontId="11" fillId="0" borderId="0" xfId="0" applyFont="1"/>
    <xf numFmtId="0" fontId="1" fillId="2" borderId="0" xfId="0" applyFont="1" applyFill="1" applyAlignment="1">
      <alignment horizontal="left" vertical="center" indent="1"/>
    </xf>
    <xf numFmtId="0" fontId="10" fillId="0" borderId="0" xfId="0" applyFont="1"/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6" fillId="0" borderId="0" xfId="0" applyFont="1"/>
    <xf numFmtId="0" fontId="17" fillId="0" borderId="0" xfId="0" applyFont="1"/>
  </cellXfs>
  <cellStyles count="1">
    <cellStyle name="標準" xfId="0" builtinId="0"/>
  </cellStyles>
  <dxfs count="8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topLeftCell="A34" zoomScaleNormal="100" workbookViewId="0">
      <selection sqref="A1:H1"/>
    </sheetView>
  </sheetViews>
  <sheetFormatPr defaultColWidth="8.7109375" defaultRowHeight="15"/>
  <cols>
    <col min="1" max="1" width="26" customWidth="1"/>
    <col min="2" max="8" width="16" customWidth="1"/>
    <col min="9" max="9" width="4" customWidth="1"/>
  </cols>
  <sheetData>
    <row r="1" spans="1:8" ht="25.5" customHeight="1">
      <c r="A1" s="39" t="str">
        <f>"売上ダッシュボード（"&amp;B13&amp;"）"</f>
        <v>売上ダッシュボード（39期 夏期）</v>
      </c>
      <c r="B1" s="39"/>
      <c r="C1" s="39"/>
      <c r="D1" s="39"/>
      <c r="E1" s="39"/>
      <c r="F1" s="39"/>
      <c r="G1" s="39"/>
      <c r="H1" s="39"/>
    </row>
    <row r="3" spans="1:8">
      <c r="A3" s="2" t="s">
        <v>0</v>
      </c>
    </row>
    <row r="4" spans="1:8">
      <c r="A4" s="3" t="s">
        <v>1</v>
      </c>
      <c r="B4" s="4">
        <v>2026</v>
      </c>
    </row>
    <row r="5" spans="1:8">
      <c r="A5" s="3" t="s">
        <v>2</v>
      </c>
      <c r="B5" s="5">
        <v>11</v>
      </c>
    </row>
    <row r="6" spans="1:8">
      <c r="A6" s="3" t="s">
        <v>3</v>
      </c>
      <c r="B6" s="6">
        <f ca="1">TODAY()</f>
        <v>46320</v>
      </c>
    </row>
    <row r="7" spans="1:8">
      <c r="A7" s="3" t="s">
        <v>4</v>
      </c>
      <c r="B7" s="7">
        <v>250000</v>
      </c>
    </row>
    <row r="8" spans="1:8">
      <c r="A8" s="3" t="s">
        <v>5</v>
      </c>
      <c r="B8" s="7">
        <v>1000000</v>
      </c>
    </row>
    <row r="9" spans="1:8">
      <c r="A9" s="8" t="s">
        <v>6</v>
      </c>
      <c r="B9" s="7">
        <v>25000</v>
      </c>
    </row>
    <row r="10" spans="1:8">
      <c r="A10" s="8" t="s">
        <v>7</v>
      </c>
      <c r="B10" s="7">
        <v>7241</v>
      </c>
    </row>
    <row r="11" spans="1:8">
      <c r="A11" s="8" t="s">
        <v>8</v>
      </c>
      <c r="B11" s="7">
        <v>4379</v>
      </c>
    </row>
    <row r="12" spans="1:8">
      <c r="A12" s="8" t="s">
        <v>9</v>
      </c>
      <c r="B12" s="7">
        <v>30000</v>
      </c>
    </row>
    <row r="13" spans="1:8">
      <c r="A13" s="3" t="s">
        <v>10</v>
      </c>
      <c r="B13" s="9" t="s">
        <v>11</v>
      </c>
    </row>
    <row r="14" spans="1:8">
      <c r="A14" s="3" t="s">
        <v>12</v>
      </c>
      <c r="B14" s="10">
        <f>DATE(B4,B5,1)</f>
        <v>46327</v>
      </c>
    </row>
    <row r="15" spans="1:8">
      <c r="A15" s="3" t="s">
        <v>13</v>
      </c>
      <c r="B15" s="11">
        <f>B7*2</f>
        <v>500000</v>
      </c>
    </row>
    <row r="16" spans="1:8">
      <c r="A16" s="3" t="s">
        <v>14</v>
      </c>
      <c r="B16" s="11">
        <f>B8*2</f>
        <v>2000000</v>
      </c>
    </row>
    <row r="17" spans="1:5">
      <c r="A17" s="3" t="s">
        <v>15</v>
      </c>
      <c r="B17" s="11">
        <f>B16*6</f>
        <v>12000000</v>
      </c>
    </row>
    <row r="18" spans="1:5">
      <c r="A18" s="3" t="s">
        <v>16</v>
      </c>
      <c r="B18" s="11">
        <f>B16*12</f>
        <v>24000000</v>
      </c>
    </row>
    <row r="20" spans="1:5">
      <c r="A20" s="3" t="s">
        <v>17</v>
      </c>
      <c r="B20" s="12">
        <f ca="1">MAX(1,MIN(54,INT((B6-(B14-WEEKDAY(B14,2)+1))/7)+1))</f>
        <v>1</v>
      </c>
    </row>
    <row r="21" spans="1:5">
      <c r="A21" s="3" t="s">
        <v>18</v>
      </c>
      <c r="B21" s="12">
        <f ca="1">MAX(1,MIN(13,(YEAR(B6)-YEAR(B14))*12+MONTH(B6)-MONTH(B14)+1))</f>
        <v>1</v>
      </c>
    </row>
    <row r="22" spans="1:5">
      <c r="A22" s="3" t="s">
        <v>19</v>
      </c>
      <c r="B22" s="13" t="str">
        <f ca="1">IF(B21&lt;=6,"上半期","下半期")</f>
        <v>上半期</v>
      </c>
    </row>
    <row r="24" spans="1:5">
      <c r="A24" s="2" t="s">
        <v>20</v>
      </c>
    </row>
    <row r="25" spans="1:5" ht="21.75" customHeight="1">
      <c r="A25" s="14" t="s">
        <v>21</v>
      </c>
      <c r="B25" s="14" t="s">
        <v>22</v>
      </c>
      <c r="C25" s="14" t="s">
        <v>23</v>
      </c>
      <c r="D25" s="14" t="s">
        <v>24</v>
      </c>
      <c r="E25" s="14" t="s">
        <v>25</v>
      </c>
    </row>
    <row r="26" spans="1:5">
      <c r="A26" s="15" t="s">
        <v>26</v>
      </c>
      <c r="B26" s="16">
        <f>B7</f>
        <v>250000</v>
      </c>
      <c r="C26" s="16">
        <f ca="1">INDEX(週次集計!D3:D56,$B$20)</f>
        <v>0</v>
      </c>
      <c r="D26" s="17">
        <f ca="1">IFERROR(C26/B26,0)</f>
        <v>0</v>
      </c>
      <c r="E26" s="16">
        <f ca="1">MAX(B26-C26,0)</f>
        <v>250000</v>
      </c>
    </row>
    <row r="27" spans="1:5">
      <c r="A27" s="15" t="s">
        <v>27</v>
      </c>
      <c r="B27" s="16">
        <f>B7</f>
        <v>250000</v>
      </c>
      <c r="C27" s="16">
        <f ca="1">INDEX(週次集計!E3:E56,$B$20)</f>
        <v>0</v>
      </c>
      <c r="D27" s="17">
        <f ca="1">IFERROR(C27/B27,0)</f>
        <v>0</v>
      </c>
      <c r="E27" s="16">
        <f ca="1">MAX(B27-C27,0)</f>
        <v>250000</v>
      </c>
    </row>
    <row r="28" spans="1:5">
      <c r="A28" s="15" t="s">
        <v>28</v>
      </c>
      <c r="B28" s="16">
        <f>B8</f>
        <v>1000000</v>
      </c>
      <c r="C28" s="16">
        <f ca="1">INDEX(月次集計!D3:D15,$B$21)</f>
        <v>0</v>
      </c>
      <c r="D28" s="17">
        <f ca="1">IFERROR(C28/B28,0)</f>
        <v>0</v>
      </c>
      <c r="E28" s="16">
        <f ca="1">MAX(B28-C28,0)</f>
        <v>1000000</v>
      </c>
    </row>
    <row r="29" spans="1:5">
      <c r="A29" s="15" t="s">
        <v>29</v>
      </c>
      <c r="B29" s="16">
        <f>B8</f>
        <v>1000000</v>
      </c>
      <c r="C29" s="16">
        <f ca="1">INDEX(月次集計!E3:E15,$B$21)</f>
        <v>0</v>
      </c>
      <c r="D29" s="17">
        <f ca="1">IFERROR(C29/B29,0)</f>
        <v>0</v>
      </c>
      <c r="E29" s="16">
        <f ca="1">MAX(B29-C29,0)</f>
        <v>1000000</v>
      </c>
    </row>
    <row r="32" spans="1:5">
      <c r="A32" s="2" t="s">
        <v>30</v>
      </c>
    </row>
    <row r="33" spans="1:8" ht="27.75" customHeight="1">
      <c r="A33" s="14" t="s">
        <v>21</v>
      </c>
      <c r="B33" s="14" t="s">
        <v>22</v>
      </c>
      <c r="C33" s="14" t="s">
        <v>23</v>
      </c>
      <c r="D33" s="14" t="s">
        <v>25</v>
      </c>
      <c r="E33" s="14" t="s">
        <v>31</v>
      </c>
      <c r="F33" s="14" t="s">
        <v>32</v>
      </c>
      <c r="G33" s="18" t="s">
        <v>33</v>
      </c>
      <c r="H33" s="14" t="s">
        <v>34</v>
      </c>
    </row>
    <row r="34" spans="1:8">
      <c r="A34" s="15" t="s">
        <v>26</v>
      </c>
      <c r="B34" s="16">
        <f>B7</f>
        <v>250000</v>
      </c>
      <c r="C34" s="16">
        <f ca="1">INDEX(週次集計!D3:D56,$B$20)</f>
        <v>0</v>
      </c>
      <c r="D34" s="16">
        <f t="shared" ref="D34:D41" ca="1" si="0">MAX(B34-C34,0)</f>
        <v>250000</v>
      </c>
      <c r="E34" s="19">
        <f ca="1">INDEX(週次集計!C3:C56,$B$20)</f>
        <v>46327</v>
      </c>
      <c r="F34" s="20">
        <f t="shared" ref="F34:F41" ca="1" si="1">MAX(E34-$B$6+1,1)</f>
        <v>8</v>
      </c>
      <c r="G34" s="16">
        <f t="shared" ref="G34:G41" ca="1" si="2">IFERROR(D34/F34,0)</f>
        <v>31250</v>
      </c>
      <c r="H34" s="21">
        <f t="shared" ref="H34:H41" ca="1" si="3">RANK(G34,$G$34:$G$41)</f>
        <v>5</v>
      </c>
    </row>
    <row r="35" spans="1:8">
      <c r="A35" s="15" t="s">
        <v>27</v>
      </c>
      <c r="B35" s="16">
        <f>B7</f>
        <v>250000</v>
      </c>
      <c r="C35" s="16">
        <f ca="1">INDEX(週次集計!E3:E56,$B$20)</f>
        <v>0</v>
      </c>
      <c r="D35" s="16">
        <f t="shared" ca="1" si="0"/>
        <v>250000</v>
      </c>
      <c r="E35" s="19">
        <f ca="1">INDEX(週次集計!C3:C56,$B$20)</f>
        <v>46327</v>
      </c>
      <c r="F35" s="20">
        <f t="shared" ca="1" si="1"/>
        <v>8</v>
      </c>
      <c r="G35" s="16">
        <f t="shared" ca="1" si="2"/>
        <v>31250</v>
      </c>
      <c r="H35" s="21">
        <f t="shared" ca="1" si="3"/>
        <v>5</v>
      </c>
    </row>
    <row r="36" spans="1:8">
      <c r="A36" s="15" t="s">
        <v>35</v>
      </c>
      <c r="B36" s="16">
        <f>B15</f>
        <v>500000</v>
      </c>
      <c r="C36" s="16">
        <f ca="1">INDEX(週次集計!F3:F56,$B$20)</f>
        <v>0</v>
      </c>
      <c r="D36" s="16">
        <f t="shared" ca="1" si="0"/>
        <v>500000</v>
      </c>
      <c r="E36" s="19">
        <f ca="1">INDEX(週次集計!C3:C56,$B$20)</f>
        <v>46327</v>
      </c>
      <c r="F36" s="20">
        <f t="shared" ca="1" si="1"/>
        <v>8</v>
      </c>
      <c r="G36" s="16">
        <f t="shared" ca="1" si="2"/>
        <v>62500</v>
      </c>
      <c r="H36" s="21">
        <f t="shared" ca="1" si="3"/>
        <v>3</v>
      </c>
    </row>
    <row r="37" spans="1:8">
      <c r="A37" s="15" t="s">
        <v>28</v>
      </c>
      <c r="B37" s="16">
        <f>B8</f>
        <v>1000000</v>
      </c>
      <c r="C37" s="16">
        <f ca="1">INDEX(月次集計!D3:D15,$B$21)</f>
        <v>0</v>
      </c>
      <c r="D37" s="16">
        <f t="shared" ca="1" si="0"/>
        <v>1000000</v>
      </c>
      <c r="E37" s="19">
        <f ca="1">INDEX(月次集計!C3:C15,$B$21)</f>
        <v>46356</v>
      </c>
      <c r="F37" s="20">
        <f t="shared" ca="1" si="1"/>
        <v>37</v>
      </c>
      <c r="G37" s="16">
        <f t="shared" ca="1" si="2"/>
        <v>27027.027027027027</v>
      </c>
      <c r="H37" s="21">
        <f t="shared" ca="1" si="3"/>
        <v>7</v>
      </c>
    </row>
    <row r="38" spans="1:8">
      <c r="A38" s="15" t="s">
        <v>29</v>
      </c>
      <c r="B38" s="16">
        <f>B8</f>
        <v>1000000</v>
      </c>
      <c r="C38" s="16">
        <f ca="1">INDEX(月次集計!E3:E15,$B$21)</f>
        <v>0</v>
      </c>
      <c r="D38" s="16">
        <f t="shared" ca="1" si="0"/>
        <v>1000000</v>
      </c>
      <c r="E38" s="19">
        <f ca="1">INDEX(月次集計!C3:C15,$B$21)</f>
        <v>46356</v>
      </c>
      <c r="F38" s="20">
        <f t="shared" ca="1" si="1"/>
        <v>37</v>
      </c>
      <c r="G38" s="16">
        <f t="shared" ca="1" si="2"/>
        <v>27027.027027027027</v>
      </c>
      <c r="H38" s="21">
        <f t="shared" ca="1" si="3"/>
        <v>7</v>
      </c>
    </row>
    <row r="39" spans="1:8">
      <c r="A39" s="15" t="s">
        <v>36</v>
      </c>
      <c r="B39" s="16">
        <f>B16</f>
        <v>2000000</v>
      </c>
      <c r="C39" s="16">
        <f ca="1">INDEX(月次集計!F3:F15,$B$21)</f>
        <v>0</v>
      </c>
      <c r="D39" s="16">
        <f t="shared" ca="1" si="0"/>
        <v>2000000</v>
      </c>
      <c r="E39" s="19">
        <f ca="1">INDEX(月次集計!C3:C15,$B$21)</f>
        <v>46356</v>
      </c>
      <c r="F39" s="20">
        <f t="shared" ca="1" si="1"/>
        <v>37</v>
      </c>
      <c r="G39" s="16">
        <f t="shared" ca="1" si="2"/>
        <v>54054.054054054053</v>
      </c>
      <c r="H39" s="21">
        <f t="shared" ca="1" si="3"/>
        <v>4</v>
      </c>
    </row>
    <row r="40" spans="1:8">
      <c r="A40" s="15" t="s">
        <v>37</v>
      </c>
      <c r="B40" s="16">
        <f>B17</f>
        <v>12000000</v>
      </c>
      <c r="C40" s="16">
        <f ca="1">INDEX(半期年間集計!F3:F5,IF($B$22="上半期",1,2))</f>
        <v>0</v>
      </c>
      <c r="D40" s="16">
        <f t="shared" ca="1" si="0"/>
        <v>12000000</v>
      </c>
      <c r="E40" s="19">
        <f ca="1">INDEX(半期年間集計!C3:C5,IF($B$22="上半期",1,2))</f>
        <v>46507</v>
      </c>
      <c r="F40" s="20">
        <f t="shared" ca="1" si="1"/>
        <v>188</v>
      </c>
      <c r="G40" s="16">
        <f t="shared" ca="1" si="2"/>
        <v>63829.787234042553</v>
      </c>
      <c r="H40" s="21">
        <f t="shared" ca="1" si="3"/>
        <v>2</v>
      </c>
    </row>
    <row r="41" spans="1:8">
      <c r="A41" s="15" t="s">
        <v>38</v>
      </c>
      <c r="B41" s="16">
        <f>B18</f>
        <v>24000000</v>
      </c>
      <c r="C41" s="16">
        <f>INDEX(半期年間集計!F3:F5,3)</f>
        <v>0</v>
      </c>
      <c r="D41" s="16">
        <f t="shared" si="0"/>
        <v>24000000</v>
      </c>
      <c r="E41" s="19">
        <f>INDEX(半期年間集計!C3:C5,3)</f>
        <v>46691</v>
      </c>
      <c r="F41" s="20">
        <f t="shared" ca="1" si="1"/>
        <v>372</v>
      </c>
      <c r="G41" s="16">
        <f t="shared" ca="1" si="2"/>
        <v>64516.129032258068</v>
      </c>
      <c r="H41" s="21">
        <f t="shared" ca="1" si="3"/>
        <v>1</v>
      </c>
    </row>
    <row r="43" spans="1:8">
      <c r="A43" s="40" t="s">
        <v>39</v>
      </c>
      <c r="B43" s="40"/>
      <c r="C43" s="40"/>
      <c r="D43" s="40"/>
      <c r="E43" s="40"/>
      <c r="F43" s="40"/>
      <c r="G43" s="40"/>
      <c r="H43" s="40"/>
    </row>
    <row r="44" spans="1:8">
      <c r="A44" s="40" t="s">
        <v>40</v>
      </c>
      <c r="B44" s="40"/>
      <c r="C44" s="40"/>
      <c r="D44" s="40"/>
      <c r="E44" s="40"/>
      <c r="F44" s="40"/>
      <c r="G44" s="40"/>
      <c r="H44" s="40"/>
    </row>
    <row r="45" spans="1:8">
      <c r="A45" s="40" t="s">
        <v>41</v>
      </c>
      <c r="B45" s="40"/>
      <c r="C45" s="40"/>
      <c r="D45" s="40"/>
      <c r="E45" s="40"/>
      <c r="F45" s="40"/>
      <c r="G45" s="40"/>
      <c r="H45" s="40"/>
    </row>
    <row r="46" spans="1:8">
      <c r="A46" s="40" t="s">
        <v>42</v>
      </c>
      <c r="B46" s="40"/>
      <c r="C46" s="40"/>
      <c r="D46" s="40"/>
      <c r="E46" s="40"/>
      <c r="F46" s="40"/>
      <c r="G46" s="40"/>
      <c r="H46" s="40"/>
    </row>
    <row r="48" spans="1:8">
      <c r="A48" s="2" t="s">
        <v>43</v>
      </c>
    </row>
    <row r="49" spans="1:8">
      <c r="A49" s="1" t="str">
        <f ca="1">"（"&amp;TEXT(INDEX(月次集計!$B$3:$B$15,$B$21),"m月")&amp;"分）"</f>
        <v>（11月分）</v>
      </c>
    </row>
    <row r="50" spans="1:8">
      <c r="A50" s="14" t="s">
        <v>44</v>
      </c>
      <c r="B50" s="14" t="s">
        <v>45</v>
      </c>
      <c r="C50" s="14" t="s">
        <v>46</v>
      </c>
      <c r="D50" s="14" t="s">
        <v>47</v>
      </c>
    </row>
    <row r="51" spans="1:8">
      <c r="A51" s="13" t="s">
        <v>48</v>
      </c>
      <c r="B51" s="16">
        <f ca="1">SUMIFS(受注ログ!$I$6:$I$100000,受注ログ!$B$6:$B$100000,"&gt;="&amp;INDEX(月次集計!$B$3:$B$15,$B$21),受注ログ!$B$6:$B$100000,"&lt;="&amp;INDEX(月次集計!$C$3:$C$15,$B$21))</f>
        <v>0</v>
      </c>
      <c r="C51" s="16">
        <f ca="1">SUMIFS(受注ログ!$T$6:$T$100000,受注ログ!$B$6:$B$100000,"&gt;="&amp;INDEX(月次集計!$B$3:$B$15,$B$21),受注ログ!$B$6:$B$100000,"&lt;="&amp;INDEX(月次集計!$C$3:$C$15,$B$21))</f>
        <v>0</v>
      </c>
      <c r="D51" s="16">
        <f ca="1">B51+C51</f>
        <v>0</v>
      </c>
    </row>
    <row r="52" spans="1:8">
      <c r="A52" s="13" t="s">
        <v>49</v>
      </c>
      <c r="B52" s="16">
        <f ca="1">SUMIFS(受注ログ!$J$6:$J$100000,受注ログ!$B$6:$B$100000,"&gt;="&amp;INDEX(月次集計!$B$3:$B$15,$B$21),受注ログ!$B$6:$B$100000,"&lt;="&amp;INDEX(月次集計!$C$3:$C$15,$B$21))</f>
        <v>0</v>
      </c>
      <c r="C52" s="16">
        <f ca="1">SUMIFS(受注ログ!$U$6:$U$100000,受注ログ!$B$6:$B$100000,"&gt;="&amp;INDEX(月次集計!$B$3:$B$15,$B$21),受注ログ!$B$6:$B$100000,"&lt;="&amp;INDEX(月次集計!$C$3:$C$15,$B$21))</f>
        <v>0</v>
      </c>
      <c r="D52" s="16">
        <f ca="1">B52+C52</f>
        <v>0</v>
      </c>
    </row>
    <row r="53" spans="1:8">
      <c r="A53" s="13" t="s">
        <v>50</v>
      </c>
      <c r="B53" s="16">
        <f ca="1">SUMIFS(受注ログ!$K$6:$K$100000,受注ログ!$B$6:$B$100000,"&gt;="&amp;INDEX(月次集計!$B$3:$B$15,$B$21),受注ログ!$B$6:$B$100000,"&lt;="&amp;INDEX(月次集計!$C$3:$C$15,$B$21))</f>
        <v>0</v>
      </c>
      <c r="C53" s="21" t="s">
        <v>51</v>
      </c>
      <c r="D53" s="16">
        <f ca="1">B53</f>
        <v>0</v>
      </c>
    </row>
    <row r="54" spans="1:8">
      <c r="A54" s="22" t="s">
        <v>52</v>
      </c>
      <c r="B54" s="16">
        <f ca="1">SUMIFS(受注ログ!$L$6:$L$100000,受注ログ!$B$6:$B$100000,"&gt;="&amp;INDEX(月次集計!$B$3:$B$15,$B$21),受注ログ!$B$6:$B$100000,"&lt;="&amp;INDEX(月次集計!$C$3:$C$15,$B$21))</f>
        <v>0</v>
      </c>
      <c r="C54" s="16">
        <f ca="1">SUMIFS(受注ログ!$V$6:$V$100000,受注ログ!$B$6:$B$100000,"&gt;="&amp;INDEX(月次集計!$B$3:$B$15,$B$21),受注ログ!$B$6:$B$100000,"&lt;="&amp;INDEX(月次集計!$C$3:$C$15,$B$21))</f>
        <v>0</v>
      </c>
      <c r="D54" s="16">
        <f ca="1">B54+C54</f>
        <v>0</v>
      </c>
    </row>
    <row r="55" spans="1:8">
      <c r="A55" s="13" t="s">
        <v>53</v>
      </c>
      <c r="B55" s="16">
        <f ca="1">SUMIFS(受注ログ!$M$6:$M$100000,受注ログ!$B$6:$B$100000,"&gt;="&amp;INDEX(月次集計!$B$3:$B$15,$B$21),受注ログ!$B$6:$B$100000,"&lt;="&amp;INDEX(月次集計!$C$3:$C$15,$B$21))</f>
        <v>0</v>
      </c>
      <c r="C55" s="21" t="s">
        <v>51</v>
      </c>
      <c r="D55" s="16">
        <f ca="1">B55</f>
        <v>0</v>
      </c>
    </row>
    <row r="56" spans="1:8">
      <c r="A56" s="13" t="s">
        <v>54</v>
      </c>
      <c r="B56" s="16">
        <f ca="1">SUMIFS(受注ログ!$N$6:$N$100000,受注ログ!$B$6:$B$100000,"&gt;="&amp;INDEX(月次集計!$B$3:$B$15,$B$21),受注ログ!$B$6:$B$100000,"&lt;="&amp;INDEX(月次集計!$C$3:$C$15,$B$21))</f>
        <v>0</v>
      </c>
      <c r="C56" s="21" t="s">
        <v>51</v>
      </c>
      <c r="D56" s="16">
        <f ca="1">B56</f>
        <v>0</v>
      </c>
    </row>
    <row r="57" spans="1:8">
      <c r="A57" s="13" t="s">
        <v>55</v>
      </c>
      <c r="B57" s="16">
        <f ca="1">SUMIFS(受注ログ!$O$6:$O$100000,受注ログ!$B$6:$B$100000,"&gt;="&amp;INDEX(月次集計!$B$3:$B$15,$B$21),受注ログ!$B$6:$B$100000,"&lt;="&amp;INDEX(月次集計!$C$3:$C$15,$B$21))</f>
        <v>0</v>
      </c>
      <c r="C57" s="21" t="s">
        <v>51</v>
      </c>
      <c r="D57" s="16">
        <f ca="1">B57</f>
        <v>0</v>
      </c>
    </row>
    <row r="58" spans="1:8">
      <c r="A58" s="13" t="s">
        <v>56</v>
      </c>
      <c r="B58" s="21" t="s">
        <v>51</v>
      </c>
      <c r="C58" s="16">
        <f ca="1">SUMIFS(受注ログ!$W$6:$W$100000,受注ログ!$B$6:$B$100000,"&gt;="&amp;INDEX(月次集計!$B$3:$B$15,$B$21),受注ログ!$B$6:$B$100000,"&lt;="&amp;INDEX(月次集計!$C$3:$C$15,$B$21))</f>
        <v>0</v>
      </c>
      <c r="D58" s="16">
        <f ca="1">C58</f>
        <v>0</v>
      </c>
    </row>
    <row r="59" spans="1:8">
      <c r="A59" s="13" t="s">
        <v>57</v>
      </c>
      <c r="B59" s="16">
        <f ca="1">SUMIFS(受注ログ!$P$6:$P$100000,受注ログ!$B$6:$B$100000,"&gt;="&amp;INDEX(月次集計!$B$3:$B$15,$B$21),受注ログ!$B$6:$B$100000,"&lt;="&amp;INDEX(月次集計!$C$3:$C$15,$B$21))</f>
        <v>0</v>
      </c>
      <c r="C59" s="16">
        <f ca="1">SUMIFS(受注ログ!$X$6:$X$100000,受注ログ!$B$6:$B$100000,"&gt;="&amp;INDEX(月次集計!$B$3:$B$15,$B$21),受注ログ!$B$6:$B$100000,"&lt;="&amp;INDEX(月次集計!$C$3:$C$15,$B$21))</f>
        <v>0</v>
      </c>
      <c r="D59" s="16">
        <f ca="1">B59+C59</f>
        <v>0</v>
      </c>
    </row>
    <row r="60" spans="1:8">
      <c r="A60" s="22" t="s">
        <v>58</v>
      </c>
      <c r="B60" s="16">
        <f ca="1">SUMIFS(受注ログ!$Q$6:$Q$100000,受注ログ!$B$6:$B$100000,"&gt;="&amp;INDEX(月次集計!$B$3:$B$15,$B$21),受注ログ!$B$6:$B$100000,"&lt;="&amp;INDEX(月次集計!$C$3:$C$15,$B$21))*$B$9</f>
        <v>0</v>
      </c>
      <c r="C60" s="16">
        <f ca="1">SUMIFS(受注ログ!$Y$6:$Y$100000,受注ログ!$B$6:$B$100000,"&gt;="&amp;INDEX(月次集計!$B$3:$B$15,$B$21),受注ログ!$B$6:$B$100000,"&lt;="&amp;INDEX(月次集計!$C$3:$C$15,$B$21))*$B$9</f>
        <v>0</v>
      </c>
      <c r="D60" s="16">
        <f ca="1">B60+C60</f>
        <v>0</v>
      </c>
    </row>
    <row r="61" spans="1:8">
      <c r="A61" s="22" t="s">
        <v>59</v>
      </c>
      <c r="B61" s="16">
        <f ca="1">COUNTIFS(受注ログ!$R$6:$R$100000,200,受注ログ!$B$6:$B$100000,"&gt;="&amp;INDEX(月次集計!$B$3:$B$15,$B$21),受注ログ!$B$6:$B$100000,"&lt;="&amp;INDEX(月次集計!$C$3:$C$15,$B$21))*$B$10+COUNTIFS(受注ログ!$R$6:$R$100000,100,受注ログ!$B$6:$B$100000,"&gt;="&amp;INDEX(月次集計!$B$3:$B$15,$B$21),受注ログ!$B$6:$B$100000,"&lt;="&amp;INDEX(月次集計!$C$3:$C$15,$B$21))*$B$11</f>
        <v>0</v>
      </c>
      <c r="C61" s="16">
        <f ca="1">COUNTIFS(受注ログ!$Z$6:$Z$100000,200,受注ログ!$B$6:$B$100000,"&gt;="&amp;INDEX(月次集計!$B$3:$B$15,$B$21),受注ログ!$B$6:$B$100000,"&lt;="&amp;INDEX(月次集計!$C$3:$C$15,$B$21))*$B$10+COUNTIFS(受注ログ!$Z$6:$Z$100000,100,受注ログ!$B$6:$B$100000,"&gt;="&amp;INDEX(月次集計!$B$3:$B$15,$B$21),受注ログ!$B$6:$B$100000,"&lt;="&amp;INDEX(月次集計!$C$3:$C$15,$B$21))*$B$11</f>
        <v>0</v>
      </c>
      <c r="D61" s="16">
        <f ca="1">B61+C61</f>
        <v>0</v>
      </c>
    </row>
    <row r="62" spans="1:8">
      <c r="A62" s="22" t="s">
        <v>60</v>
      </c>
      <c r="B62" s="16">
        <f ca="1">SUMIFS(受注ログ!$S$6:$S$100000,受注ログ!$B$6:$B$100000,"&gt;="&amp;INDEX(月次集計!$B$3:$B$15,$B$21),受注ログ!$B$6:$B$100000,"&lt;="&amp;INDEX(月次集計!$C$3:$C$15,$B$21))*$B$12</f>
        <v>0</v>
      </c>
      <c r="C62" s="16">
        <f ca="1">SUMIFS(受注ログ!$AA$6:$AA$100000,受注ログ!$B$6:$B$100000,"&gt;="&amp;INDEX(月次集計!$B$3:$B$15,$B$21),受注ログ!$B$6:$B$100000,"&lt;="&amp;INDEX(月次集計!$C$3:$C$15,$B$21))*$B$12</f>
        <v>0</v>
      </c>
      <c r="D62" s="16">
        <f ca="1">B62+C62</f>
        <v>0</v>
      </c>
    </row>
    <row r="63" spans="1:8">
      <c r="A63" s="38" t="s">
        <v>61</v>
      </c>
      <c r="B63" s="38"/>
      <c r="C63" s="38"/>
      <c r="D63" s="38"/>
      <c r="E63" s="38"/>
      <c r="F63" s="38"/>
      <c r="G63" s="38"/>
      <c r="H63" s="38"/>
    </row>
  </sheetData>
  <mergeCells count="6">
    <mergeCell ref="A63:H63"/>
    <mergeCell ref="A1:H1"/>
    <mergeCell ref="A43:H43"/>
    <mergeCell ref="A44:H44"/>
    <mergeCell ref="A45:H45"/>
    <mergeCell ref="A46:H46"/>
  </mergeCells>
  <phoneticPr fontId="20"/>
  <conditionalFormatting sqref="H34:H41">
    <cfRule type="cellIs" dxfId="7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12"/>
  <sheetViews>
    <sheetView showGridLines="0" tabSelected="1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L15" sqref="L15"/>
    </sheetView>
  </sheetViews>
  <sheetFormatPr defaultColWidth="8.7109375" defaultRowHeight="15"/>
  <cols>
    <col min="1" max="1" width="6" customWidth="1"/>
    <col min="2" max="2" width="11" customWidth="1"/>
    <col min="3" max="5" width="12" customWidth="1"/>
    <col min="6" max="8" width="11" customWidth="1"/>
    <col min="9" max="16" width="9" customWidth="1"/>
    <col min="17" max="19" width="7" customWidth="1"/>
    <col min="20" max="24" width="9" customWidth="1"/>
    <col min="25" max="27" width="7" customWidth="1"/>
  </cols>
  <sheetData>
    <row r="1" spans="1:27" ht="25.5" customHeight="1">
      <c r="A1" s="39" t="s">
        <v>62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24" customHeight="1">
      <c r="A2" s="23"/>
      <c r="B2" s="24" t="s">
        <v>63</v>
      </c>
      <c r="C2" s="24" t="s">
        <v>64</v>
      </c>
      <c r="D2" s="24" t="s">
        <v>65</v>
      </c>
      <c r="E2" s="24" t="s">
        <v>66</v>
      </c>
      <c r="F2" s="24" t="s">
        <v>67</v>
      </c>
      <c r="G2" s="24" t="s">
        <v>68</v>
      </c>
      <c r="H2" s="24" t="s">
        <v>69</v>
      </c>
    </row>
    <row r="3" spans="1:27" ht="19.5" customHeight="1">
      <c r="A3" s="25"/>
      <c r="B3" s="25">
        <f ca="1">MAX(サマリー!$B$7-INDEX(週次集計!$D$3:$D$56,サマリー!$B$20),0)</f>
        <v>250000</v>
      </c>
      <c r="C3" s="25">
        <f ca="1">MAX(サマリー!$B$7-INDEX(週次集計!$E$3:$E$56,サマリー!$B$20),0)</f>
        <v>250000</v>
      </c>
      <c r="D3" s="25">
        <f ca="1">INDEX(週次集計!$F$3:$F$56,サマリー!$B$20)</f>
        <v>0</v>
      </c>
      <c r="E3" s="25">
        <f ca="1">MAX(サマリー!$B$15-INDEX(週次集計!$F$3:$F$56,サマリー!$B$20),0)</f>
        <v>500000</v>
      </c>
      <c r="F3" s="25">
        <f ca="1">SUMIFS($C$6:$C$100000,$B$6:$B$100000,TODAY())</f>
        <v>0</v>
      </c>
      <c r="G3" s="25">
        <f ca="1">SUMIFS($D$6:$D$100000,$B$6:$B$100000,TODAY())</f>
        <v>0</v>
      </c>
      <c r="H3" s="25">
        <f ca="1">F3+G3</f>
        <v>0</v>
      </c>
    </row>
    <row r="4" spans="1:27" ht="19.5" customHeight="1">
      <c r="I4" s="41" t="s">
        <v>45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2" t="s">
        <v>46</v>
      </c>
      <c r="U4" s="42"/>
      <c r="V4" s="42"/>
      <c r="W4" s="42"/>
      <c r="X4" s="42"/>
      <c r="Y4" s="42"/>
      <c r="Z4" s="42"/>
      <c r="AA4" s="42"/>
    </row>
    <row r="5" spans="1:27" ht="31.5" customHeight="1">
      <c r="A5" s="14" t="s">
        <v>70</v>
      </c>
      <c r="B5" s="14" t="s">
        <v>71</v>
      </c>
      <c r="C5" s="14" t="s">
        <v>72</v>
      </c>
      <c r="D5" s="14" t="s">
        <v>73</v>
      </c>
      <c r="E5" s="14" t="s">
        <v>47</v>
      </c>
      <c r="F5" s="14"/>
      <c r="G5" s="14"/>
      <c r="H5" s="14"/>
      <c r="I5" s="14" t="s">
        <v>48</v>
      </c>
      <c r="J5" s="14" t="s">
        <v>49</v>
      </c>
      <c r="K5" s="14" t="s">
        <v>50</v>
      </c>
      <c r="L5" s="18" t="s">
        <v>52</v>
      </c>
      <c r="M5" s="14" t="s">
        <v>53</v>
      </c>
      <c r="N5" s="14" t="s">
        <v>54</v>
      </c>
      <c r="O5" s="14" t="s">
        <v>55</v>
      </c>
      <c r="P5" s="14" t="s">
        <v>57</v>
      </c>
      <c r="Q5" s="18" t="s">
        <v>74</v>
      </c>
      <c r="R5" s="18" t="s">
        <v>75</v>
      </c>
      <c r="S5" s="18" t="s">
        <v>76</v>
      </c>
      <c r="T5" s="14" t="s">
        <v>48</v>
      </c>
      <c r="U5" s="14" t="s">
        <v>49</v>
      </c>
      <c r="V5" s="18" t="s">
        <v>52</v>
      </c>
      <c r="W5" s="14" t="s">
        <v>56</v>
      </c>
      <c r="X5" s="14" t="s">
        <v>57</v>
      </c>
      <c r="Y5" s="18" t="s">
        <v>74</v>
      </c>
      <c r="Z5" s="18" t="s">
        <v>75</v>
      </c>
      <c r="AA5" s="18" t="s">
        <v>76</v>
      </c>
    </row>
    <row r="6" spans="1:27">
      <c r="A6" s="26"/>
      <c r="B6" s="19">
        <f>IF(A6="",サマリー!$B$14,DATE(YEAR(サマリー!$B$14),MONTH(サマリー!$B$14),A6))</f>
        <v>46327</v>
      </c>
      <c r="C6" s="27">
        <f>I6+J6+K6+L6+M6+N6+O6+P6+IF(Q6="",0,Q6*サマリー!$B$9)+IF(R6="",0,IF(R6=200,サマリー!$B$10,IF(R6=100,サマリー!$B$11,0)))+IF(S6="",0,S6*サマリー!$B$12)</f>
        <v>0</v>
      </c>
      <c r="D6" s="27">
        <f>T6+U6+V6+W6+X6+IF(Y6="",0,Y6*サマリー!$B$9)+IF(Z6="",0,IF(Z6=200,サマリー!$B$10,IF(Z6=100,サマリー!$B$11,0)))+IF(AA6="",0,AA6*サマリー!$B$12)</f>
        <v>0</v>
      </c>
      <c r="E6" s="27">
        <f t="shared" ref="E6:E69" si="0">C6+D6</f>
        <v>0</v>
      </c>
      <c r="I6" s="28"/>
      <c r="J6" s="28"/>
      <c r="K6" s="28"/>
      <c r="L6" s="28"/>
      <c r="M6" s="28"/>
      <c r="N6" s="28"/>
      <c r="O6" s="28"/>
      <c r="P6" s="28"/>
      <c r="Q6" s="26"/>
      <c r="R6" s="26"/>
      <c r="S6" s="26"/>
      <c r="T6" s="28"/>
      <c r="U6" s="28"/>
      <c r="V6" s="28"/>
      <c r="W6" s="28"/>
      <c r="X6" s="28"/>
      <c r="Y6" s="26"/>
      <c r="Z6" s="26"/>
      <c r="AA6" s="26"/>
    </row>
    <row r="7" spans="1:27">
      <c r="A7" s="29"/>
      <c r="B7" s="19">
        <f t="shared" ref="B7:B70" si="1">IF(A7="",B6,IF(A7&lt;DAY(B6),DATE(YEAR(B6),MONTH(B6)+1,A7),DATE(YEAR(B6),MONTH(B6),A7)))</f>
        <v>46327</v>
      </c>
      <c r="C7" s="27">
        <f>I7+J7+K7+L7+M7+N7+O7+P7+IF(Q7="",0,Q7*サマリー!$B$9)+IF(R7="",0,IF(R7=200,サマリー!$B$10,IF(R7=100,サマリー!$B$11,0)))+IF(S7="",0,S7*サマリー!$B$12)</f>
        <v>0</v>
      </c>
      <c r="D7" s="27">
        <f>T7+U7+V7+W7+X7+IF(Y7="",0,Y7*サマリー!$B$9)+IF(Z7="",0,IF(Z7=200,サマリー!$B$10,IF(Z7=100,サマリー!$B$11,0)))+IF(AA7="",0,AA7*サマリー!$B$12)</f>
        <v>0</v>
      </c>
      <c r="E7" s="27">
        <f t="shared" si="0"/>
        <v>0</v>
      </c>
      <c r="I7" s="30"/>
      <c r="J7" s="30"/>
      <c r="K7" s="30"/>
      <c r="L7" s="30"/>
      <c r="M7" s="30"/>
      <c r="N7" s="30"/>
      <c r="O7" s="30"/>
      <c r="P7" s="30"/>
      <c r="Q7" s="31"/>
      <c r="R7" s="31"/>
      <c r="S7" s="31"/>
      <c r="T7" s="32"/>
      <c r="U7" s="32"/>
      <c r="V7" s="32"/>
      <c r="W7" s="32"/>
      <c r="X7" s="32"/>
      <c r="Y7" s="33"/>
      <c r="Z7" s="33"/>
      <c r="AA7" s="33"/>
    </row>
    <row r="8" spans="1:27">
      <c r="A8" s="29"/>
      <c r="B8" s="19">
        <f t="shared" si="1"/>
        <v>46327</v>
      </c>
      <c r="C8" s="27">
        <f>I8+J8+K8+L8+M8+N8+O8+P8+IF(Q8="",0,Q8*サマリー!$B$9)+IF(R8="",0,IF(R8=200,サマリー!$B$10,IF(R8=100,サマリー!$B$11,0)))+IF(S8="",0,S8*サマリー!$B$12)</f>
        <v>0</v>
      </c>
      <c r="D8" s="27">
        <f>T8+U8+V8+W8+X8+IF(Y8="",0,Y8*サマリー!$B$9)+IF(Z8="",0,IF(Z8=200,サマリー!$B$10,IF(Z8=100,サマリー!$B$11,0)))+IF(AA8="",0,AA8*サマリー!$B$12)</f>
        <v>0</v>
      </c>
      <c r="E8" s="27">
        <f t="shared" si="0"/>
        <v>0</v>
      </c>
      <c r="I8" s="30"/>
      <c r="J8" s="30"/>
      <c r="K8" s="30"/>
      <c r="L8" s="30"/>
      <c r="M8" s="30"/>
      <c r="N8" s="30"/>
      <c r="O8" s="30"/>
      <c r="P8" s="30"/>
      <c r="Q8" s="31"/>
      <c r="R8" s="31"/>
      <c r="S8" s="31"/>
      <c r="T8" s="32"/>
      <c r="U8" s="32"/>
      <c r="V8" s="32"/>
      <c r="W8" s="32"/>
      <c r="X8" s="32"/>
      <c r="Y8" s="33"/>
      <c r="Z8" s="33"/>
      <c r="AA8" s="33"/>
    </row>
    <row r="9" spans="1:27">
      <c r="A9" s="29"/>
      <c r="B9" s="19">
        <f t="shared" si="1"/>
        <v>46327</v>
      </c>
      <c r="C9" s="27">
        <f>I9+J9+K9+L9+M9+N9+O9+P9+IF(Q9="",0,Q9*サマリー!$B$9)+IF(R9="",0,IF(R9=200,サマリー!$B$10,IF(R9=100,サマリー!$B$11,0)))+IF(S9="",0,S9*サマリー!$B$12)</f>
        <v>0</v>
      </c>
      <c r="D9" s="27">
        <f>T9+U9+V9+W9+X9+IF(Y9="",0,Y9*サマリー!$B$9)+IF(Z9="",0,IF(Z9=200,サマリー!$B$10,IF(Z9=100,サマリー!$B$11,0)))+IF(AA9="",0,AA9*サマリー!$B$12)</f>
        <v>0</v>
      </c>
      <c r="E9" s="27">
        <f t="shared" si="0"/>
        <v>0</v>
      </c>
      <c r="I9" s="30"/>
      <c r="J9" s="30"/>
      <c r="K9" s="30"/>
      <c r="L9" s="30"/>
      <c r="M9" s="30"/>
      <c r="N9" s="30"/>
      <c r="O9" s="30"/>
      <c r="P9" s="30"/>
      <c r="Q9" s="31"/>
      <c r="R9" s="31"/>
      <c r="S9" s="31"/>
      <c r="T9" s="32"/>
      <c r="U9" s="32"/>
      <c r="V9" s="32"/>
      <c r="W9" s="32"/>
      <c r="X9" s="32"/>
      <c r="Y9" s="33"/>
      <c r="Z9" s="33"/>
      <c r="AA9" s="33"/>
    </row>
    <row r="10" spans="1:27">
      <c r="A10" s="29"/>
      <c r="B10" s="19">
        <f t="shared" si="1"/>
        <v>46327</v>
      </c>
      <c r="C10" s="27">
        <f>I10+J10+K10+L10+M10+N10+O10+P10+IF(Q10="",0,Q10*サマリー!$B$9)+IF(R10="",0,IF(R10=200,サマリー!$B$10,IF(R10=100,サマリー!$B$11,0)))+IF(S10="",0,S10*サマリー!$B$12)</f>
        <v>0</v>
      </c>
      <c r="D10" s="27">
        <f>T10+U10+V10+W10+X10+IF(Y10="",0,Y10*サマリー!$B$9)+IF(Z10="",0,IF(Z10=200,サマリー!$B$10,IF(Z10=100,サマリー!$B$11,0)))+IF(AA10="",0,AA10*サマリー!$B$12)</f>
        <v>0</v>
      </c>
      <c r="E10" s="27">
        <f t="shared" si="0"/>
        <v>0</v>
      </c>
      <c r="I10" s="30"/>
      <c r="J10" s="30"/>
      <c r="K10" s="30"/>
      <c r="L10" s="30"/>
      <c r="M10" s="30"/>
      <c r="N10" s="30"/>
      <c r="O10" s="30"/>
      <c r="P10" s="30"/>
      <c r="Q10" s="31"/>
      <c r="R10" s="31"/>
      <c r="S10" s="31"/>
      <c r="T10" s="32"/>
      <c r="U10" s="32"/>
      <c r="V10" s="32"/>
      <c r="W10" s="32"/>
      <c r="X10" s="32"/>
      <c r="Y10" s="33"/>
      <c r="Z10" s="33"/>
      <c r="AA10" s="33"/>
    </row>
    <row r="11" spans="1:27">
      <c r="A11" s="29"/>
      <c r="B11" s="19">
        <f t="shared" si="1"/>
        <v>46327</v>
      </c>
      <c r="C11" s="27">
        <f>I11+J11+K11+L11+M11+N11+O11+P11+IF(Q11="",0,Q11*サマリー!$B$9)+IF(R11="",0,IF(R11=200,サマリー!$B$10,IF(R11=100,サマリー!$B$11,0)))+IF(S11="",0,S11*サマリー!$B$12)</f>
        <v>0</v>
      </c>
      <c r="D11" s="27">
        <f>T11+U11+V11+W11+X11+IF(Y11="",0,Y11*サマリー!$B$9)+IF(Z11="",0,IF(Z11=200,サマリー!$B$10,IF(Z11=100,サマリー!$B$11,0)))+IF(AA11="",0,AA11*サマリー!$B$12)</f>
        <v>0</v>
      </c>
      <c r="E11" s="27">
        <f t="shared" si="0"/>
        <v>0</v>
      </c>
      <c r="I11" s="30"/>
      <c r="J11" s="30"/>
      <c r="K11" s="30"/>
      <c r="L11" s="30"/>
      <c r="M11" s="30"/>
      <c r="N11" s="30"/>
      <c r="O11" s="30"/>
      <c r="P11" s="30"/>
      <c r="Q11" s="31"/>
      <c r="R11" s="31"/>
      <c r="S11" s="31"/>
      <c r="T11" s="32"/>
      <c r="U11" s="32"/>
      <c r="V11" s="32"/>
      <c r="W11" s="32"/>
      <c r="X11" s="32"/>
      <c r="Y11" s="33"/>
      <c r="Z11" s="33"/>
      <c r="AA11" s="33"/>
    </row>
    <row r="12" spans="1:27">
      <c r="A12" s="29"/>
      <c r="B12" s="19">
        <f t="shared" si="1"/>
        <v>46327</v>
      </c>
      <c r="C12" s="27">
        <f>I12+J12+K12+L12+M12+N12+O12+P12+IF(Q12="",0,Q12*サマリー!$B$9)+IF(R12="",0,IF(R12=200,サマリー!$B$10,IF(R12=100,サマリー!$B$11,0)))+IF(S12="",0,S12*サマリー!$B$12)</f>
        <v>0</v>
      </c>
      <c r="D12" s="27">
        <f>T12+U12+V12+W12+X12+IF(Y12="",0,Y12*サマリー!$B$9)+IF(Z12="",0,IF(Z12=200,サマリー!$B$10,IF(Z12=100,サマリー!$B$11,0)))+IF(AA12="",0,AA12*サマリー!$B$12)</f>
        <v>0</v>
      </c>
      <c r="E12" s="27">
        <f t="shared" si="0"/>
        <v>0</v>
      </c>
      <c r="I12" s="30"/>
      <c r="J12" s="30"/>
      <c r="K12" s="30"/>
      <c r="L12" s="30"/>
      <c r="M12" s="30"/>
      <c r="N12" s="30"/>
      <c r="O12" s="30"/>
      <c r="P12" s="30"/>
      <c r="Q12" s="31"/>
      <c r="R12" s="31"/>
      <c r="S12" s="31"/>
      <c r="T12" s="32"/>
      <c r="U12" s="32"/>
      <c r="V12" s="32"/>
      <c r="W12" s="32"/>
      <c r="X12" s="32"/>
      <c r="Y12" s="33"/>
      <c r="Z12" s="33"/>
      <c r="AA12" s="33"/>
    </row>
    <row r="13" spans="1:27">
      <c r="A13" s="29"/>
      <c r="B13" s="19">
        <f t="shared" si="1"/>
        <v>46327</v>
      </c>
      <c r="C13" s="27">
        <f>I13+J13+K13+L13+M13+N13+O13+P13+IF(Q13="",0,Q13*サマリー!$B$9)+IF(R13="",0,IF(R13=200,サマリー!$B$10,IF(R13=100,サマリー!$B$11,0)))+IF(S13="",0,S13*サマリー!$B$12)</f>
        <v>0</v>
      </c>
      <c r="D13" s="27">
        <f>T13+U13+V13+W13+X13+IF(Y13="",0,Y13*サマリー!$B$9)+IF(Z13="",0,IF(Z13=200,サマリー!$B$10,IF(Z13=100,サマリー!$B$11,0)))+IF(AA13="",0,AA13*サマリー!$B$12)</f>
        <v>0</v>
      </c>
      <c r="E13" s="27">
        <f t="shared" si="0"/>
        <v>0</v>
      </c>
      <c r="I13" s="30"/>
      <c r="J13" s="30"/>
      <c r="K13" s="30"/>
      <c r="L13" s="30"/>
      <c r="M13" s="30"/>
      <c r="N13" s="30"/>
      <c r="O13" s="30"/>
      <c r="P13" s="30"/>
      <c r="Q13" s="31"/>
      <c r="R13" s="31"/>
      <c r="S13" s="31"/>
      <c r="T13" s="32"/>
      <c r="U13" s="32"/>
      <c r="V13" s="32"/>
      <c r="W13" s="32"/>
      <c r="X13" s="32"/>
      <c r="Y13" s="33"/>
      <c r="Z13" s="33"/>
      <c r="AA13" s="33"/>
    </row>
    <row r="14" spans="1:27">
      <c r="A14" s="29"/>
      <c r="B14" s="19">
        <f t="shared" si="1"/>
        <v>46327</v>
      </c>
      <c r="C14" s="27">
        <f>I14+J14+K14+L14+M14+N14+O14+P14+IF(Q14="",0,Q14*サマリー!$B$9)+IF(R14="",0,IF(R14=200,サマリー!$B$10,IF(R14=100,サマリー!$B$11,0)))+IF(S14="",0,S14*サマリー!$B$12)</f>
        <v>0</v>
      </c>
      <c r="D14" s="27">
        <f>T14+U14+V14+W14+X14+IF(Y14="",0,Y14*サマリー!$B$9)+IF(Z14="",0,IF(Z14=200,サマリー!$B$10,IF(Z14=100,サマリー!$B$11,0)))+IF(AA14="",0,AA14*サマリー!$B$12)</f>
        <v>0</v>
      </c>
      <c r="E14" s="27">
        <f t="shared" si="0"/>
        <v>0</v>
      </c>
      <c r="I14" s="30"/>
      <c r="J14" s="30"/>
      <c r="K14" s="30"/>
      <c r="L14" s="30"/>
      <c r="M14" s="30"/>
      <c r="N14" s="30"/>
      <c r="O14" s="30"/>
      <c r="P14" s="30"/>
      <c r="Q14" s="31"/>
      <c r="R14" s="31"/>
      <c r="S14" s="31"/>
      <c r="T14" s="32"/>
      <c r="U14" s="32"/>
      <c r="V14" s="32"/>
      <c r="W14" s="32"/>
      <c r="X14" s="32"/>
      <c r="Y14" s="33"/>
      <c r="Z14" s="33"/>
      <c r="AA14" s="33"/>
    </row>
    <row r="15" spans="1:27">
      <c r="A15" s="29"/>
      <c r="B15" s="19">
        <f t="shared" si="1"/>
        <v>46327</v>
      </c>
      <c r="C15" s="27">
        <f>I15+J15+K15+L15+M15+N15+O15+P15+IF(Q15="",0,Q15*サマリー!$B$9)+IF(R15="",0,IF(R15=200,サマリー!$B$10,IF(R15=100,サマリー!$B$11,0)))+IF(S15="",0,S15*サマリー!$B$12)</f>
        <v>0</v>
      </c>
      <c r="D15" s="27">
        <f>T15+U15+V15+W15+X15+IF(Y15="",0,Y15*サマリー!$B$9)+IF(Z15="",0,IF(Z15=200,サマリー!$B$10,IF(Z15=100,サマリー!$B$11,0)))+IF(AA15="",0,AA15*サマリー!$B$12)</f>
        <v>0</v>
      </c>
      <c r="E15" s="27">
        <f t="shared" si="0"/>
        <v>0</v>
      </c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3"/>
      <c r="Z15" s="33"/>
      <c r="AA15" s="33"/>
    </row>
    <row r="16" spans="1:27">
      <c r="A16" s="29"/>
      <c r="B16" s="19">
        <f t="shared" si="1"/>
        <v>46327</v>
      </c>
      <c r="C16" s="27">
        <f>I16+J16+K16+L16+M16+N16+O16+P16+IF(Q16="",0,Q16*サマリー!$B$9)+IF(R16="",0,IF(R16=200,サマリー!$B$10,IF(R16=100,サマリー!$B$11,0)))+IF(S16="",0,S16*サマリー!$B$12)</f>
        <v>0</v>
      </c>
      <c r="D16" s="27">
        <f>T16+U16+V16+W16+X16+IF(Y16="",0,Y16*サマリー!$B$9)+IF(Z16="",0,IF(Z16=200,サマリー!$B$10,IF(Z16=100,サマリー!$B$11,0)))+IF(AA16="",0,AA16*サマリー!$B$12)</f>
        <v>0</v>
      </c>
      <c r="E16" s="27">
        <f t="shared" si="0"/>
        <v>0</v>
      </c>
      <c r="I16" s="30"/>
      <c r="J16" s="30"/>
      <c r="K16" s="30"/>
      <c r="L16" s="30"/>
      <c r="M16" s="30"/>
      <c r="N16" s="30"/>
      <c r="O16" s="30"/>
      <c r="P16" s="30"/>
      <c r="Q16" s="31"/>
      <c r="R16" s="31"/>
      <c r="S16" s="31"/>
      <c r="T16" s="32"/>
      <c r="U16" s="32"/>
      <c r="V16" s="32"/>
      <c r="W16" s="32"/>
      <c r="X16" s="32"/>
      <c r="Y16" s="33"/>
      <c r="Z16" s="33"/>
      <c r="AA16" s="33"/>
    </row>
    <row r="17" spans="1:27">
      <c r="A17" s="29"/>
      <c r="B17" s="19">
        <f t="shared" si="1"/>
        <v>46327</v>
      </c>
      <c r="C17" s="27">
        <f>I17+J17+K17+L17+M17+N17+O17+P17+IF(Q17="",0,Q17*サマリー!$B$9)+IF(R17="",0,IF(R17=200,サマリー!$B$10,IF(R17=100,サマリー!$B$11,0)))+IF(S17="",0,S17*サマリー!$B$12)</f>
        <v>0</v>
      </c>
      <c r="D17" s="27">
        <f>T17+U17+V17+W17+X17+IF(Y17="",0,Y17*サマリー!$B$9)+IF(Z17="",0,IF(Z17=200,サマリー!$B$10,IF(Z17=100,サマリー!$B$11,0)))+IF(AA17="",0,AA17*サマリー!$B$12)</f>
        <v>0</v>
      </c>
      <c r="E17" s="27">
        <f t="shared" si="0"/>
        <v>0</v>
      </c>
      <c r="I17" s="30"/>
      <c r="J17" s="30"/>
      <c r="K17" s="30"/>
      <c r="L17" s="30"/>
      <c r="M17" s="30"/>
      <c r="N17" s="30"/>
      <c r="O17" s="30"/>
      <c r="P17" s="30"/>
      <c r="Q17" s="31"/>
      <c r="R17" s="31"/>
      <c r="S17" s="31"/>
      <c r="T17" s="32"/>
      <c r="U17" s="32"/>
      <c r="V17" s="32"/>
      <c r="W17" s="32"/>
      <c r="X17" s="32"/>
      <c r="Y17" s="33"/>
      <c r="Z17" s="33"/>
      <c r="AA17" s="33"/>
    </row>
    <row r="18" spans="1:27">
      <c r="A18" s="29"/>
      <c r="B18" s="19">
        <f t="shared" si="1"/>
        <v>46327</v>
      </c>
      <c r="C18" s="27">
        <f>I18+J18+K18+L18+M18+N18+O18+P18+IF(Q18="",0,Q18*サマリー!$B$9)+IF(R18="",0,IF(R18=200,サマリー!$B$10,IF(R18=100,サマリー!$B$11,0)))+IF(S18="",0,S18*サマリー!$B$12)</f>
        <v>0</v>
      </c>
      <c r="D18" s="27">
        <f>T18+U18+V18+W18+X18+IF(Y18="",0,Y18*サマリー!$B$9)+IF(Z18="",0,IF(Z18=200,サマリー!$B$10,IF(Z18=100,サマリー!$B$11,0)))+IF(AA18="",0,AA18*サマリー!$B$12)</f>
        <v>0</v>
      </c>
      <c r="E18" s="27">
        <f t="shared" si="0"/>
        <v>0</v>
      </c>
      <c r="I18" s="30"/>
      <c r="J18" s="30"/>
      <c r="K18" s="30"/>
      <c r="L18" s="30"/>
      <c r="M18" s="30"/>
      <c r="N18" s="30"/>
      <c r="O18" s="30"/>
      <c r="P18" s="30"/>
      <c r="Q18" s="31"/>
      <c r="R18" s="31"/>
      <c r="S18" s="31"/>
      <c r="T18" s="32"/>
      <c r="U18" s="32"/>
      <c r="V18" s="32"/>
      <c r="W18" s="32"/>
      <c r="X18" s="32"/>
      <c r="Y18" s="33"/>
      <c r="Z18" s="33"/>
      <c r="AA18" s="33"/>
    </row>
    <row r="19" spans="1:27">
      <c r="A19" s="29"/>
      <c r="B19" s="19">
        <f t="shared" si="1"/>
        <v>46327</v>
      </c>
      <c r="C19" s="27">
        <f>I19+J19+K19+L19+M19+N19+O19+P19+IF(Q19="",0,Q19*サマリー!$B$9)+IF(R19="",0,IF(R19=200,サマリー!$B$10,IF(R19=100,サマリー!$B$11,0)))+IF(S19="",0,S19*サマリー!$B$12)</f>
        <v>0</v>
      </c>
      <c r="D19" s="27">
        <f>T19+U19+V19+W19+X19+IF(Y19="",0,Y19*サマリー!$B$9)+IF(Z19="",0,IF(Z19=200,サマリー!$B$10,IF(Z19=100,サマリー!$B$11,0)))+IF(AA19="",0,AA19*サマリー!$B$12)</f>
        <v>0</v>
      </c>
      <c r="E19" s="27">
        <f t="shared" si="0"/>
        <v>0</v>
      </c>
      <c r="I19" s="30"/>
      <c r="J19" s="30"/>
      <c r="K19" s="30"/>
      <c r="L19" s="30"/>
      <c r="M19" s="30"/>
      <c r="N19" s="30"/>
      <c r="O19" s="30"/>
      <c r="P19" s="30"/>
      <c r="Q19" s="31"/>
      <c r="R19" s="31"/>
      <c r="S19" s="31"/>
      <c r="T19" s="32"/>
      <c r="U19" s="32"/>
      <c r="V19" s="32"/>
      <c r="W19" s="32"/>
      <c r="X19" s="32"/>
      <c r="Y19" s="33"/>
      <c r="Z19" s="33"/>
      <c r="AA19" s="33"/>
    </row>
    <row r="20" spans="1:27">
      <c r="A20" s="29"/>
      <c r="B20" s="19">
        <f t="shared" si="1"/>
        <v>46327</v>
      </c>
      <c r="C20" s="27">
        <f>I20+J20+K20+L20+M20+N20+O20+P20+IF(Q20="",0,Q20*サマリー!$B$9)+IF(R20="",0,IF(R20=200,サマリー!$B$10,IF(R20=100,サマリー!$B$11,0)))+IF(S20="",0,S20*サマリー!$B$12)</f>
        <v>0</v>
      </c>
      <c r="D20" s="27">
        <f>T20+U20+V20+W20+X20+IF(Y20="",0,Y20*サマリー!$B$9)+IF(Z20="",0,IF(Z20=200,サマリー!$B$10,IF(Z20=100,サマリー!$B$11,0)))+IF(AA20="",0,AA20*サマリー!$B$12)</f>
        <v>0</v>
      </c>
      <c r="E20" s="27">
        <f t="shared" si="0"/>
        <v>0</v>
      </c>
      <c r="I20" s="30"/>
      <c r="J20" s="30"/>
      <c r="K20" s="30"/>
      <c r="L20" s="30"/>
      <c r="M20" s="30"/>
      <c r="N20" s="30"/>
      <c r="O20" s="30"/>
      <c r="P20" s="30"/>
      <c r="Q20" s="31"/>
      <c r="R20" s="31"/>
      <c r="S20" s="31"/>
      <c r="T20" s="32"/>
      <c r="U20" s="32"/>
      <c r="V20" s="32"/>
      <c r="W20" s="32"/>
      <c r="X20" s="32"/>
      <c r="Y20" s="33"/>
      <c r="Z20" s="33"/>
      <c r="AA20" s="33"/>
    </row>
    <row r="21" spans="1:27">
      <c r="A21" s="29"/>
      <c r="B21" s="19">
        <f t="shared" si="1"/>
        <v>46327</v>
      </c>
      <c r="C21" s="27">
        <f>I21+J21+K21+L21+M21+N21+O21+P21+IF(Q21="",0,Q21*サマリー!$B$9)+IF(R21="",0,IF(R21=200,サマリー!$B$10,IF(R21=100,サマリー!$B$11,0)))+IF(S21="",0,S21*サマリー!$B$12)</f>
        <v>0</v>
      </c>
      <c r="D21" s="27">
        <f>T21+U21+V21+W21+X21+IF(Y21="",0,Y21*サマリー!$B$9)+IF(Z21="",0,IF(Z21=200,サマリー!$B$10,IF(Z21=100,サマリー!$B$11,0)))+IF(AA21="",0,AA21*サマリー!$B$12)</f>
        <v>0</v>
      </c>
      <c r="E21" s="27">
        <f t="shared" si="0"/>
        <v>0</v>
      </c>
      <c r="I21" s="30"/>
      <c r="J21" s="30"/>
      <c r="K21" s="30"/>
      <c r="L21" s="30"/>
      <c r="M21" s="30"/>
      <c r="N21" s="30"/>
      <c r="O21" s="30"/>
      <c r="P21" s="30"/>
      <c r="Q21" s="31"/>
      <c r="R21" s="31"/>
      <c r="S21" s="31"/>
      <c r="T21" s="32"/>
      <c r="U21" s="32"/>
      <c r="V21" s="32"/>
      <c r="W21" s="32"/>
      <c r="X21" s="32"/>
      <c r="Y21" s="33"/>
      <c r="Z21" s="33"/>
      <c r="AA21" s="33"/>
    </row>
    <row r="22" spans="1:27">
      <c r="A22" s="29"/>
      <c r="B22" s="19">
        <f t="shared" si="1"/>
        <v>46327</v>
      </c>
      <c r="C22" s="27">
        <f>I22+J22+K22+L22+M22+N22+O22+P22+IF(Q22="",0,Q22*サマリー!$B$9)+IF(R22="",0,IF(R22=200,サマリー!$B$10,IF(R22=100,サマリー!$B$11,0)))+IF(S22="",0,S22*サマリー!$B$12)</f>
        <v>0</v>
      </c>
      <c r="D22" s="27">
        <f>T22+U22+V22+W22+X22+IF(Y22="",0,Y22*サマリー!$B$9)+IF(Z22="",0,IF(Z22=200,サマリー!$B$10,IF(Z22=100,サマリー!$B$11,0)))+IF(AA22="",0,AA22*サマリー!$B$12)</f>
        <v>0</v>
      </c>
      <c r="E22" s="27">
        <f t="shared" si="0"/>
        <v>0</v>
      </c>
      <c r="I22" s="30"/>
      <c r="J22" s="30"/>
      <c r="K22" s="30"/>
      <c r="L22" s="30"/>
      <c r="M22" s="30"/>
      <c r="N22" s="30"/>
      <c r="O22" s="30"/>
      <c r="P22" s="30"/>
      <c r="Q22" s="31"/>
      <c r="R22" s="31"/>
      <c r="S22" s="31"/>
      <c r="T22" s="32"/>
      <c r="U22" s="32"/>
      <c r="V22" s="32"/>
      <c r="W22" s="32"/>
      <c r="X22" s="32"/>
      <c r="Y22" s="33"/>
      <c r="Z22" s="33"/>
      <c r="AA22" s="33"/>
    </row>
    <row r="23" spans="1:27">
      <c r="A23" s="29"/>
      <c r="B23" s="19">
        <f t="shared" si="1"/>
        <v>46327</v>
      </c>
      <c r="C23" s="27">
        <f>I23+J23+K23+L23+M23+N23+O23+P23+IF(Q23="",0,Q23*サマリー!$B$9)+IF(R23="",0,IF(R23=200,サマリー!$B$10,IF(R23=100,サマリー!$B$11,0)))+IF(S23="",0,S23*サマリー!$B$12)</f>
        <v>0</v>
      </c>
      <c r="D23" s="27">
        <f>T23+U23+V23+W23+X23+IF(Y23="",0,Y23*サマリー!$B$9)+IF(Z23="",0,IF(Z23=200,サマリー!$B$10,IF(Z23=100,サマリー!$B$11,0)))+IF(AA23="",0,AA23*サマリー!$B$12)</f>
        <v>0</v>
      </c>
      <c r="E23" s="27">
        <f t="shared" si="0"/>
        <v>0</v>
      </c>
      <c r="I23" s="30"/>
      <c r="J23" s="30"/>
      <c r="K23" s="30"/>
      <c r="L23" s="30"/>
      <c r="M23" s="30"/>
      <c r="N23" s="30"/>
      <c r="O23" s="30"/>
      <c r="P23" s="30"/>
      <c r="Q23" s="31"/>
      <c r="R23" s="31"/>
      <c r="S23" s="31"/>
      <c r="T23" s="32"/>
      <c r="U23" s="32"/>
      <c r="V23" s="32"/>
      <c r="W23" s="32"/>
      <c r="X23" s="32"/>
      <c r="Y23" s="33"/>
      <c r="Z23" s="33"/>
      <c r="AA23" s="33"/>
    </row>
    <row r="24" spans="1:27">
      <c r="A24" s="29"/>
      <c r="B24" s="19">
        <f t="shared" si="1"/>
        <v>46327</v>
      </c>
      <c r="C24" s="27">
        <f>I24+J24+K24+L24+M24+N24+O24+P24+IF(Q24="",0,Q24*サマリー!$B$9)+IF(R24="",0,IF(R24=200,サマリー!$B$10,IF(R24=100,サマリー!$B$11,0)))+IF(S24="",0,S24*サマリー!$B$12)</f>
        <v>0</v>
      </c>
      <c r="D24" s="27">
        <f>T24+U24+V24+W24+X24+IF(Y24="",0,Y24*サマリー!$B$9)+IF(Z24="",0,IF(Z24=200,サマリー!$B$10,IF(Z24=100,サマリー!$B$11,0)))+IF(AA24="",0,AA24*サマリー!$B$12)</f>
        <v>0</v>
      </c>
      <c r="E24" s="27">
        <f t="shared" si="0"/>
        <v>0</v>
      </c>
      <c r="I24" s="30"/>
      <c r="J24" s="30"/>
      <c r="K24" s="30"/>
      <c r="L24" s="30"/>
      <c r="M24" s="30"/>
      <c r="N24" s="30"/>
      <c r="O24" s="30"/>
      <c r="P24" s="30"/>
      <c r="Q24" s="31"/>
      <c r="R24" s="31"/>
      <c r="S24" s="31"/>
      <c r="T24" s="32"/>
      <c r="U24" s="32"/>
      <c r="V24" s="32"/>
      <c r="W24" s="32"/>
      <c r="X24" s="32"/>
      <c r="Y24" s="33"/>
      <c r="Z24" s="33"/>
      <c r="AA24" s="33"/>
    </row>
    <row r="25" spans="1:27">
      <c r="A25" s="29"/>
      <c r="B25" s="19">
        <f t="shared" si="1"/>
        <v>46327</v>
      </c>
      <c r="C25" s="27">
        <f>I25+J25+K25+L25+M25+N25+O25+P25+IF(Q25="",0,Q25*サマリー!$B$9)+IF(R25="",0,IF(R25=200,サマリー!$B$10,IF(R25=100,サマリー!$B$11,0)))+IF(S25="",0,S25*サマリー!$B$12)</f>
        <v>0</v>
      </c>
      <c r="D25" s="27">
        <f>T25+U25+V25+W25+X25+IF(Y25="",0,Y25*サマリー!$B$9)+IF(Z25="",0,IF(Z25=200,サマリー!$B$10,IF(Z25=100,サマリー!$B$11,0)))+IF(AA25="",0,AA25*サマリー!$B$12)</f>
        <v>0</v>
      </c>
      <c r="E25" s="27">
        <f t="shared" si="0"/>
        <v>0</v>
      </c>
      <c r="I25" s="30"/>
      <c r="J25" s="30"/>
      <c r="K25" s="30"/>
      <c r="L25" s="30"/>
      <c r="M25" s="30"/>
      <c r="N25" s="30"/>
      <c r="O25" s="30"/>
      <c r="P25" s="30"/>
      <c r="Q25" s="31"/>
      <c r="R25" s="31"/>
      <c r="S25" s="31"/>
      <c r="T25" s="32"/>
      <c r="U25" s="32"/>
      <c r="V25" s="32"/>
      <c r="W25" s="32"/>
      <c r="X25" s="32"/>
      <c r="Y25" s="33"/>
      <c r="Z25" s="33"/>
      <c r="AA25" s="33"/>
    </row>
    <row r="26" spans="1:27">
      <c r="A26" s="29"/>
      <c r="B26" s="19">
        <f t="shared" si="1"/>
        <v>46327</v>
      </c>
      <c r="C26" s="27">
        <f>I26+J26+K26+L26+M26+N26+O26+P26+IF(Q26="",0,Q26*サマリー!$B$9)+IF(R26="",0,IF(R26=200,サマリー!$B$10,IF(R26=100,サマリー!$B$11,0)))+IF(S26="",0,S26*サマリー!$B$12)</f>
        <v>0</v>
      </c>
      <c r="D26" s="27">
        <f>T26+U26+V26+W26+X26+IF(Y26="",0,Y26*サマリー!$B$9)+IF(Z26="",0,IF(Z26=200,サマリー!$B$10,IF(Z26=100,サマリー!$B$11,0)))+IF(AA26="",0,AA26*サマリー!$B$12)</f>
        <v>0</v>
      </c>
      <c r="E26" s="27">
        <f t="shared" si="0"/>
        <v>0</v>
      </c>
      <c r="I26" s="30"/>
      <c r="J26" s="30"/>
      <c r="K26" s="30"/>
      <c r="L26" s="30"/>
      <c r="M26" s="30"/>
      <c r="N26" s="30"/>
      <c r="O26" s="30"/>
      <c r="P26" s="30"/>
      <c r="Q26" s="31"/>
      <c r="R26" s="31"/>
      <c r="S26" s="31"/>
      <c r="T26" s="32"/>
      <c r="U26" s="32"/>
      <c r="V26" s="32"/>
      <c r="W26" s="32"/>
      <c r="X26" s="32"/>
      <c r="Y26" s="33"/>
      <c r="Z26" s="33"/>
      <c r="AA26" s="33"/>
    </row>
    <row r="27" spans="1:27">
      <c r="A27" s="29"/>
      <c r="B27" s="19">
        <f t="shared" si="1"/>
        <v>46327</v>
      </c>
      <c r="C27" s="27">
        <f>I27+J27+K27+L27+M27+N27+O27+P27+IF(Q27="",0,Q27*サマリー!$B$9)+IF(R27="",0,IF(R27=200,サマリー!$B$10,IF(R27=100,サマリー!$B$11,0)))+IF(S27="",0,S27*サマリー!$B$12)</f>
        <v>0</v>
      </c>
      <c r="D27" s="27">
        <f>T27+U27+V27+W27+X27+IF(Y27="",0,Y27*サマリー!$B$9)+IF(Z27="",0,IF(Z27=200,サマリー!$B$10,IF(Z27=100,サマリー!$B$11,0)))+IF(AA27="",0,AA27*サマリー!$B$12)</f>
        <v>0</v>
      </c>
      <c r="E27" s="27">
        <f t="shared" si="0"/>
        <v>0</v>
      </c>
      <c r="I27" s="30"/>
      <c r="J27" s="30"/>
      <c r="K27" s="30"/>
      <c r="L27" s="30"/>
      <c r="M27" s="30"/>
      <c r="N27" s="30"/>
      <c r="O27" s="30"/>
      <c r="P27" s="30"/>
      <c r="Q27" s="31"/>
      <c r="R27" s="31"/>
      <c r="S27" s="31"/>
      <c r="T27" s="32"/>
      <c r="U27" s="32"/>
      <c r="V27" s="32"/>
      <c r="W27" s="32"/>
      <c r="X27" s="32"/>
      <c r="Y27" s="33"/>
      <c r="Z27" s="33"/>
      <c r="AA27" s="33"/>
    </row>
    <row r="28" spans="1:27">
      <c r="A28" s="29"/>
      <c r="B28" s="19">
        <f t="shared" si="1"/>
        <v>46327</v>
      </c>
      <c r="C28" s="27">
        <f>I28+J28+K28+L28+M28+N28+O28+P28+IF(Q28="",0,Q28*サマリー!$B$9)+IF(R28="",0,IF(R28=200,サマリー!$B$10,IF(R28=100,サマリー!$B$11,0)))+IF(S28="",0,S28*サマリー!$B$12)</f>
        <v>0</v>
      </c>
      <c r="D28" s="27">
        <f>T28+U28+V28+W28+X28+IF(Y28="",0,Y28*サマリー!$B$9)+IF(Z28="",0,IF(Z28=200,サマリー!$B$10,IF(Z28=100,サマリー!$B$11,0)))+IF(AA28="",0,AA28*サマリー!$B$12)</f>
        <v>0</v>
      </c>
      <c r="E28" s="27">
        <f t="shared" si="0"/>
        <v>0</v>
      </c>
      <c r="I28" s="30"/>
      <c r="J28" s="30"/>
      <c r="K28" s="30"/>
      <c r="L28" s="30"/>
      <c r="M28" s="30"/>
      <c r="N28" s="30"/>
      <c r="O28" s="30"/>
      <c r="P28" s="30"/>
      <c r="Q28" s="31"/>
      <c r="R28" s="31"/>
      <c r="S28" s="31"/>
      <c r="T28" s="32"/>
      <c r="U28" s="32"/>
      <c r="V28" s="32"/>
      <c r="W28" s="32"/>
      <c r="X28" s="32"/>
      <c r="Y28" s="33"/>
      <c r="Z28" s="33"/>
      <c r="AA28" s="33"/>
    </row>
    <row r="29" spans="1:27">
      <c r="A29" s="29"/>
      <c r="B29" s="19">
        <f t="shared" si="1"/>
        <v>46327</v>
      </c>
      <c r="C29" s="27">
        <f>I29+J29+K29+L29+M29+N29+O29+P29+IF(Q29="",0,Q29*サマリー!$B$9)+IF(R29="",0,IF(R29=200,サマリー!$B$10,IF(R29=100,サマリー!$B$11,0)))+IF(S29="",0,S29*サマリー!$B$12)</f>
        <v>0</v>
      </c>
      <c r="D29" s="27">
        <f>T29+U29+V29+W29+X29+IF(Y29="",0,Y29*サマリー!$B$9)+IF(Z29="",0,IF(Z29=200,サマリー!$B$10,IF(Z29=100,サマリー!$B$11,0)))+IF(AA29="",0,AA29*サマリー!$B$12)</f>
        <v>0</v>
      </c>
      <c r="E29" s="27">
        <f t="shared" si="0"/>
        <v>0</v>
      </c>
      <c r="I29" s="30"/>
      <c r="J29" s="30"/>
      <c r="K29" s="30"/>
      <c r="L29" s="30"/>
      <c r="M29" s="30"/>
      <c r="N29" s="30"/>
      <c r="O29" s="30"/>
      <c r="P29" s="30"/>
      <c r="Q29" s="31"/>
      <c r="R29" s="31"/>
      <c r="S29" s="31"/>
      <c r="T29" s="32"/>
      <c r="U29" s="32"/>
      <c r="V29" s="32"/>
      <c r="W29" s="32"/>
      <c r="X29" s="32"/>
      <c r="Y29" s="33"/>
      <c r="Z29" s="33"/>
      <c r="AA29" s="33"/>
    </row>
    <row r="30" spans="1:27">
      <c r="A30" s="29"/>
      <c r="B30" s="19">
        <f t="shared" si="1"/>
        <v>46327</v>
      </c>
      <c r="C30" s="27">
        <f>I30+J30+K30+L30+M30+N30+O30+P30+IF(Q30="",0,Q30*サマリー!$B$9)+IF(R30="",0,IF(R30=200,サマリー!$B$10,IF(R30=100,サマリー!$B$11,0)))+IF(S30="",0,S30*サマリー!$B$12)</f>
        <v>0</v>
      </c>
      <c r="D30" s="27">
        <f>T30+U30+V30+W30+X30+IF(Y30="",0,Y30*サマリー!$B$9)+IF(Z30="",0,IF(Z30=200,サマリー!$B$10,IF(Z30=100,サマリー!$B$11,0)))+IF(AA30="",0,AA30*サマリー!$B$12)</f>
        <v>0</v>
      </c>
      <c r="E30" s="27">
        <f t="shared" si="0"/>
        <v>0</v>
      </c>
      <c r="I30" s="30"/>
      <c r="J30" s="30"/>
      <c r="K30" s="30"/>
      <c r="L30" s="30"/>
      <c r="M30" s="30"/>
      <c r="N30" s="30"/>
      <c r="O30" s="30"/>
      <c r="P30" s="30"/>
      <c r="Q30" s="31"/>
      <c r="R30" s="31"/>
      <c r="S30" s="31"/>
      <c r="T30" s="32"/>
      <c r="U30" s="32"/>
      <c r="V30" s="32"/>
      <c r="W30" s="32"/>
      <c r="X30" s="32"/>
      <c r="Y30" s="33"/>
      <c r="Z30" s="33"/>
      <c r="AA30" s="33"/>
    </row>
    <row r="31" spans="1:27">
      <c r="A31" s="29"/>
      <c r="B31" s="19">
        <f t="shared" si="1"/>
        <v>46327</v>
      </c>
      <c r="C31" s="27">
        <f>I31+J31+K31+L31+M31+N31+O31+P31+IF(Q31="",0,Q31*サマリー!$B$9)+IF(R31="",0,IF(R31=200,サマリー!$B$10,IF(R31=100,サマリー!$B$11,0)))+IF(S31="",0,S31*サマリー!$B$12)</f>
        <v>0</v>
      </c>
      <c r="D31" s="27">
        <f>T31+U31+V31+W31+X31+IF(Y31="",0,Y31*サマリー!$B$9)+IF(Z31="",0,IF(Z31=200,サマリー!$B$10,IF(Z31=100,サマリー!$B$11,0)))+IF(AA31="",0,AA31*サマリー!$B$12)</f>
        <v>0</v>
      </c>
      <c r="E31" s="27">
        <f t="shared" si="0"/>
        <v>0</v>
      </c>
      <c r="I31" s="30"/>
      <c r="J31" s="30"/>
      <c r="K31" s="30"/>
      <c r="L31" s="30"/>
      <c r="M31" s="30"/>
      <c r="N31" s="30"/>
      <c r="O31" s="30"/>
      <c r="P31" s="30"/>
      <c r="Q31" s="31"/>
      <c r="R31" s="31"/>
      <c r="S31" s="31"/>
      <c r="T31" s="32"/>
      <c r="U31" s="32"/>
      <c r="V31" s="32"/>
      <c r="W31" s="32"/>
      <c r="X31" s="32"/>
      <c r="Y31" s="33"/>
      <c r="Z31" s="33"/>
      <c r="AA31" s="33"/>
    </row>
    <row r="32" spans="1:27">
      <c r="A32" s="29"/>
      <c r="B32" s="19">
        <f t="shared" si="1"/>
        <v>46327</v>
      </c>
      <c r="C32" s="27">
        <f>I32+J32+K32+L32+M32+N32+O32+P32+IF(Q32="",0,Q32*サマリー!$B$9)+IF(R32="",0,IF(R32=200,サマリー!$B$10,IF(R32=100,サマリー!$B$11,0)))+IF(S32="",0,S32*サマリー!$B$12)</f>
        <v>0</v>
      </c>
      <c r="D32" s="27">
        <f>T32+U32+V32+W32+X32+IF(Y32="",0,Y32*サマリー!$B$9)+IF(Z32="",0,IF(Z32=200,サマリー!$B$10,IF(Z32=100,サマリー!$B$11,0)))+IF(AA32="",0,AA32*サマリー!$B$12)</f>
        <v>0</v>
      </c>
      <c r="E32" s="27">
        <f t="shared" si="0"/>
        <v>0</v>
      </c>
      <c r="I32" s="30"/>
      <c r="J32" s="30"/>
      <c r="K32" s="30"/>
      <c r="L32" s="30"/>
      <c r="M32" s="30"/>
      <c r="N32" s="30"/>
      <c r="O32" s="30"/>
      <c r="P32" s="30"/>
      <c r="Q32" s="31"/>
      <c r="R32" s="31"/>
      <c r="S32" s="31"/>
      <c r="T32" s="32"/>
      <c r="U32" s="32"/>
      <c r="V32" s="32"/>
      <c r="W32" s="32"/>
      <c r="X32" s="32"/>
      <c r="Y32" s="33"/>
      <c r="Z32" s="33"/>
      <c r="AA32" s="33"/>
    </row>
    <row r="33" spans="1:27">
      <c r="A33" s="29"/>
      <c r="B33" s="19">
        <f t="shared" si="1"/>
        <v>46327</v>
      </c>
      <c r="C33" s="27">
        <f>I33+J33+K33+L33+M33+N33+O33+P33+IF(Q33="",0,Q33*サマリー!$B$9)+IF(R33="",0,IF(R33=200,サマリー!$B$10,IF(R33=100,サマリー!$B$11,0)))+IF(S33="",0,S33*サマリー!$B$12)</f>
        <v>0</v>
      </c>
      <c r="D33" s="27">
        <f>T33+U33+V33+W33+X33+IF(Y33="",0,Y33*サマリー!$B$9)+IF(Z33="",0,IF(Z33=200,サマリー!$B$10,IF(Z33=100,サマリー!$B$11,0)))+IF(AA33="",0,AA33*サマリー!$B$12)</f>
        <v>0</v>
      </c>
      <c r="E33" s="27">
        <f t="shared" si="0"/>
        <v>0</v>
      </c>
      <c r="I33" s="30"/>
      <c r="J33" s="30"/>
      <c r="K33" s="30"/>
      <c r="L33" s="30"/>
      <c r="M33" s="30"/>
      <c r="N33" s="30"/>
      <c r="O33" s="30"/>
      <c r="P33" s="30"/>
      <c r="Q33" s="31"/>
      <c r="R33" s="31"/>
      <c r="S33" s="31"/>
      <c r="T33" s="32"/>
      <c r="U33" s="32"/>
      <c r="V33" s="32"/>
      <c r="W33" s="32"/>
      <c r="X33" s="32"/>
      <c r="Y33" s="33"/>
      <c r="Z33" s="33"/>
      <c r="AA33" s="33"/>
    </row>
    <row r="34" spans="1:27">
      <c r="A34" s="29"/>
      <c r="B34" s="19">
        <f t="shared" si="1"/>
        <v>46327</v>
      </c>
      <c r="C34" s="27">
        <f>I34+J34+K34+L34+M34+N34+O34+P34+IF(Q34="",0,Q34*サマリー!$B$9)+IF(R34="",0,IF(R34=200,サマリー!$B$10,IF(R34=100,サマリー!$B$11,0)))+IF(S34="",0,S34*サマリー!$B$12)</f>
        <v>0</v>
      </c>
      <c r="D34" s="27">
        <f>T34+U34+V34+W34+X34+IF(Y34="",0,Y34*サマリー!$B$9)+IF(Z34="",0,IF(Z34=200,サマリー!$B$10,IF(Z34=100,サマリー!$B$11,0)))+IF(AA34="",0,AA34*サマリー!$B$12)</f>
        <v>0</v>
      </c>
      <c r="E34" s="27">
        <f t="shared" si="0"/>
        <v>0</v>
      </c>
      <c r="I34" s="30"/>
      <c r="J34" s="30"/>
      <c r="K34" s="30"/>
      <c r="L34" s="30"/>
      <c r="M34" s="30"/>
      <c r="N34" s="30"/>
      <c r="O34" s="30"/>
      <c r="P34" s="30"/>
      <c r="Q34" s="31"/>
      <c r="R34" s="31"/>
      <c r="S34" s="31"/>
      <c r="T34" s="32"/>
      <c r="U34" s="32"/>
      <c r="V34" s="32"/>
      <c r="W34" s="32"/>
      <c r="X34" s="32"/>
      <c r="Y34" s="33"/>
      <c r="Z34" s="33"/>
      <c r="AA34" s="33"/>
    </row>
    <row r="35" spans="1:27">
      <c r="A35" s="29"/>
      <c r="B35" s="19">
        <f t="shared" si="1"/>
        <v>46327</v>
      </c>
      <c r="C35" s="27">
        <f>I35+J35+K35+L35+M35+N35+O35+P35+IF(Q35="",0,Q35*サマリー!$B$9)+IF(R35="",0,IF(R35=200,サマリー!$B$10,IF(R35=100,サマリー!$B$11,0)))+IF(S35="",0,S35*サマリー!$B$12)</f>
        <v>0</v>
      </c>
      <c r="D35" s="27">
        <f>T35+U35+V35+W35+X35+IF(Y35="",0,Y35*サマリー!$B$9)+IF(Z35="",0,IF(Z35=200,サマリー!$B$10,IF(Z35=100,サマリー!$B$11,0)))+IF(AA35="",0,AA35*サマリー!$B$12)</f>
        <v>0</v>
      </c>
      <c r="E35" s="27">
        <f t="shared" si="0"/>
        <v>0</v>
      </c>
      <c r="I35" s="30"/>
      <c r="J35" s="30"/>
      <c r="K35" s="30"/>
      <c r="L35" s="30"/>
      <c r="M35" s="30"/>
      <c r="N35" s="30"/>
      <c r="O35" s="30"/>
      <c r="P35" s="30"/>
      <c r="Q35" s="31"/>
      <c r="R35" s="31"/>
      <c r="S35" s="31"/>
      <c r="T35" s="32"/>
      <c r="U35" s="32"/>
      <c r="V35" s="32"/>
      <c r="W35" s="32"/>
      <c r="X35" s="32"/>
      <c r="Y35" s="33"/>
      <c r="Z35" s="33"/>
      <c r="AA35" s="33"/>
    </row>
    <row r="36" spans="1:27">
      <c r="A36" s="29"/>
      <c r="B36" s="19">
        <f t="shared" si="1"/>
        <v>46327</v>
      </c>
      <c r="C36" s="27">
        <f>I36+J36+K36+L36+M36+N36+O36+P36+IF(Q36="",0,Q36*サマリー!$B$9)+IF(R36="",0,IF(R36=200,サマリー!$B$10,IF(R36=100,サマリー!$B$11,0)))+IF(S36="",0,S36*サマリー!$B$12)</f>
        <v>0</v>
      </c>
      <c r="D36" s="27">
        <f>T36+U36+V36+W36+X36+IF(Y36="",0,Y36*サマリー!$B$9)+IF(Z36="",0,IF(Z36=200,サマリー!$B$10,IF(Z36=100,サマリー!$B$11,0)))+IF(AA36="",0,AA36*サマリー!$B$12)</f>
        <v>0</v>
      </c>
      <c r="E36" s="27">
        <f t="shared" si="0"/>
        <v>0</v>
      </c>
      <c r="I36" s="30"/>
      <c r="J36" s="30"/>
      <c r="K36" s="30"/>
      <c r="L36" s="30"/>
      <c r="M36" s="30"/>
      <c r="N36" s="30"/>
      <c r="O36" s="30"/>
      <c r="P36" s="30"/>
      <c r="Q36" s="31"/>
      <c r="R36" s="31"/>
      <c r="S36" s="31"/>
      <c r="T36" s="32"/>
      <c r="U36" s="32"/>
      <c r="V36" s="32"/>
      <c r="W36" s="32"/>
      <c r="X36" s="32"/>
      <c r="Y36" s="33"/>
      <c r="Z36" s="33"/>
      <c r="AA36" s="33"/>
    </row>
    <row r="37" spans="1:27">
      <c r="A37" s="29"/>
      <c r="B37" s="19">
        <f t="shared" si="1"/>
        <v>46327</v>
      </c>
      <c r="C37" s="27">
        <f>I37+J37+K37+L37+M37+N37+O37+P37+IF(Q37="",0,Q37*サマリー!$B$9)+IF(R37="",0,IF(R37=200,サマリー!$B$10,IF(R37=100,サマリー!$B$11,0)))+IF(S37="",0,S37*サマリー!$B$12)</f>
        <v>0</v>
      </c>
      <c r="D37" s="27">
        <f>T37+U37+V37+W37+X37+IF(Y37="",0,Y37*サマリー!$B$9)+IF(Z37="",0,IF(Z37=200,サマリー!$B$10,IF(Z37=100,サマリー!$B$11,0)))+IF(AA37="",0,AA37*サマリー!$B$12)</f>
        <v>0</v>
      </c>
      <c r="E37" s="27">
        <f t="shared" si="0"/>
        <v>0</v>
      </c>
      <c r="I37" s="30"/>
      <c r="J37" s="30"/>
      <c r="K37" s="30"/>
      <c r="L37" s="30"/>
      <c r="M37" s="30"/>
      <c r="N37" s="30"/>
      <c r="O37" s="30"/>
      <c r="P37" s="30"/>
      <c r="Q37" s="31"/>
      <c r="R37" s="31"/>
      <c r="S37" s="31"/>
      <c r="T37" s="32"/>
      <c r="U37" s="32"/>
      <c r="V37" s="32"/>
      <c r="W37" s="32"/>
      <c r="X37" s="32"/>
      <c r="Y37" s="33"/>
      <c r="Z37" s="33"/>
      <c r="AA37" s="33"/>
    </row>
    <row r="38" spans="1:27">
      <c r="A38" s="29"/>
      <c r="B38" s="19">
        <f t="shared" si="1"/>
        <v>46327</v>
      </c>
      <c r="C38" s="27">
        <f>I38+J38+K38+L38+M38+N38+O38+P38+IF(Q38="",0,Q38*サマリー!$B$9)+IF(R38="",0,IF(R38=200,サマリー!$B$10,IF(R38=100,サマリー!$B$11,0)))+IF(S38="",0,S38*サマリー!$B$12)</f>
        <v>0</v>
      </c>
      <c r="D38" s="27">
        <f>T38+U38+V38+W38+X38+IF(Y38="",0,Y38*サマリー!$B$9)+IF(Z38="",0,IF(Z38=200,サマリー!$B$10,IF(Z38=100,サマリー!$B$11,0)))+IF(AA38="",0,AA38*サマリー!$B$12)</f>
        <v>0</v>
      </c>
      <c r="E38" s="27">
        <f t="shared" si="0"/>
        <v>0</v>
      </c>
      <c r="I38" s="30"/>
      <c r="J38" s="30"/>
      <c r="K38" s="30"/>
      <c r="L38" s="30"/>
      <c r="M38" s="30"/>
      <c r="N38" s="30"/>
      <c r="O38" s="30"/>
      <c r="P38" s="30"/>
      <c r="Q38" s="31"/>
      <c r="R38" s="31"/>
      <c r="S38" s="31"/>
      <c r="T38" s="32"/>
      <c r="U38" s="32"/>
      <c r="V38" s="32"/>
      <c r="W38" s="32"/>
      <c r="X38" s="32"/>
      <c r="Y38" s="33"/>
      <c r="Z38" s="33"/>
      <c r="AA38" s="33"/>
    </row>
    <row r="39" spans="1:27">
      <c r="A39" s="29"/>
      <c r="B39" s="19">
        <f t="shared" si="1"/>
        <v>46327</v>
      </c>
      <c r="C39" s="27">
        <f>I39+J39+K39+L39+M39+N39+O39+P39+IF(Q39="",0,Q39*サマリー!$B$9)+IF(R39="",0,IF(R39=200,サマリー!$B$10,IF(R39=100,サマリー!$B$11,0)))+IF(S39="",0,S39*サマリー!$B$12)</f>
        <v>0</v>
      </c>
      <c r="D39" s="27">
        <f>T39+U39+V39+W39+X39+IF(Y39="",0,Y39*サマリー!$B$9)+IF(Z39="",0,IF(Z39=200,サマリー!$B$10,IF(Z39=100,サマリー!$B$11,0)))+IF(AA39="",0,AA39*サマリー!$B$12)</f>
        <v>0</v>
      </c>
      <c r="E39" s="27">
        <f t="shared" si="0"/>
        <v>0</v>
      </c>
      <c r="I39" s="30"/>
      <c r="J39" s="30"/>
      <c r="K39" s="30"/>
      <c r="L39" s="30"/>
      <c r="M39" s="30"/>
      <c r="N39" s="30"/>
      <c r="O39" s="30"/>
      <c r="P39" s="30"/>
      <c r="Q39" s="31"/>
      <c r="R39" s="31"/>
      <c r="S39" s="31"/>
      <c r="T39" s="32"/>
      <c r="U39" s="32"/>
      <c r="V39" s="32"/>
      <c r="W39" s="32"/>
      <c r="X39" s="32"/>
      <c r="Y39" s="33"/>
      <c r="Z39" s="33"/>
      <c r="AA39" s="33"/>
    </row>
    <row r="40" spans="1:27">
      <c r="A40" s="29"/>
      <c r="B40" s="19">
        <f t="shared" si="1"/>
        <v>46327</v>
      </c>
      <c r="C40" s="27">
        <f>I40+J40+K40+L40+M40+N40+O40+P40+IF(Q40="",0,Q40*サマリー!$B$9)+IF(R40="",0,IF(R40=200,サマリー!$B$10,IF(R40=100,サマリー!$B$11,0)))+IF(S40="",0,S40*サマリー!$B$12)</f>
        <v>0</v>
      </c>
      <c r="D40" s="27">
        <f>T40+U40+V40+W40+X40+IF(Y40="",0,Y40*サマリー!$B$9)+IF(Z40="",0,IF(Z40=200,サマリー!$B$10,IF(Z40=100,サマリー!$B$11,0)))+IF(AA40="",0,AA40*サマリー!$B$12)</f>
        <v>0</v>
      </c>
      <c r="E40" s="27">
        <f t="shared" si="0"/>
        <v>0</v>
      </c>
      <c r="I40" s="30"/>
      <c r="J40" s="30"/>
      <c r="K40" s="30"/>
      <c r="L40" s="30"/>
      <c r="M40" s="30"/>
      <c r="N40" s="30"/>
      <c r="O40" s="30"/>
      <c r="P40" s="30"/>
      <c r="Q40" s="31"/>
      <c r="R40" s="31"/>
      <c r="S40" s="31"/>
      <c r="T40" s="32"/>
      <c r="U40" s="32"/>
      <c r="V40" s="32"/>
      <c r="W40" s="32"/>
      <c r="X40" s="32"/>
      <c r="Y40" s="33"/>
      <c r="Z40" s="33"/>
      <c r="AA40" s="33"/>
    </row>
    <row r="41" spans="1:27">
      <c r="A41" s="29"/>
      <c r="B41" s="19">
        <f t="shared" si="1"/>
        <v>46327</v>
      </c>
      <c r="C41" s="27">
        <f>I41+J41+K41+L41+M41+N41+O41+P41+IF(Q41="",0,Q41*サマリー!$B$9)+IF(R41="",0,IF(R41=200,サマリー!$B$10,IF(R41=100,サマリー!$B$11,0)))+IF(S41="",0,S41*サマリー!$B$12)</f>
        <v>0</v>
      </c>
      <c r="D41" s="27">
        <f>T41+U41+V41+W41+X41+IF(Y41="",0,Y41*サマリー!$B$9)+IF(Z41="",0,IF(Z41=200,サマリー!$B$10,IF(Z41=100,サマリー!$B$11,0)))+IF(AA41="",0,AA41*サマリー!$B$12)</f>
        <v>0</v>
      </c>
      <c r="E41" s="27">
        <f t="shared" si="0"/>
        <v>0</v>
      </c>
      <c r="I41" s="30"/>
      <c r="J41" s="30"/>
      <c r="K41" s="30"/>
      <c r="L41" s="30"/>
      <c r="M41" s="30"/>
      <c r="N41" s="30"/>
      <c r="O41" s="30"/>
      <c r="P41" s="30"/>
      <c r="Q41" s="31"/>
      <c r="R41" s="31"/>
      <c r="S41" s="31"/>
      <c r="T41" s="32"/>
      <c r="U41" s="32"/>
      <c r="V41" s="32"/>
      <c r="W41" s="32"/>
      <c r="X41" s="32"/>
      <c r="Y41" s="33"/>
      <c r="Z41" s="33"/>
      <c r="AA41" s="33"/>
    </row>
    <row r="42" spans="1:27">
      <c r="A42" s="29"/>
      <c r="B42" s="19">
        <f t="shared" si="1"/>
        <v>46327</v>
      </c>
      <c r="C42" s="27">
        <f>I42+J42+K42+L42+M42+N42+O42+P42+IF(Q42="",0,Q42*サマリー!$B$9)+IF(R42="",0,IF(R42=200,サマリー!$B$10,IF(R42=100,サマリー!$B$11,0)))+IF(S42="",0,S42*サマリー!$B$12)</f>
        <v>0</v>
      </c>
      <c r="D42" s="27">
        <f>T42+U42+V42+W42+X42+IF(Y42="",0,Y42*サマリー!$B$9)+IF(Z42="",0,IF(Z42=200,サマリー!$B$10,IF(Z42=100,サマリー!$B$11,0)))+IF(AA42="",0,AA42*サマリー!$B$12)</f>
        <v>0</v>
      </c>
      <c r="E42" s="27">
        <f t="shared" si="0"/>
        <v>0</v>
      </c>
      <c r="I42" s="30"/>
      <c r="J42" s="30"/>
      <c r="K42" s="30"/>
      <c r="L42" s="30"/>
      <c r="M42" s="30"/>
      <c r="N42" s="30"/>
      <c r="O42" s="30"/>
      <c r="P42" s="30"/>
      <c r="Q42" s="31"/>
      <c r="R42" s="31"/>
      <c r="S42" s="31"/>
      <c r="T42" s="32"/>
      <c r="U42" s="32"/>
      <c r="V42" s="32"/>
      <c r="W42" s="32"/>
      <c r="X42" s="32"/>
      <c r="Y42" s="33"/>
      <c r="Z42" s="33"/>
      <c r="AA42" s="33"/>
    </row>
    <row r="43" spans="1:27">
      <c r="A43" s="29"/>
      <c r="B43" s="19">
        <f t="shared" si="1"/>
        <v>46327</v>
      </c>
      <c r="C43" s="27">
        <f>I43+J43+K43+L43+M43+N43+O43+P43+IF(Q43="",0,Q43*サマリー!$B$9)+IF(R43="",0,IF(R43=200,サマリー!$B$10,IF(R43=100,サマリー!$B$11,0)))+IF(S43="",0,S43*サマリー!$B$12)</f>
        <v>0</v>
      </c>
      <c r="D43" s="27">
        <f>T43+U43+V43+W43+X43+IF(Y43="",0,Y43*サマリー!$B$9)+IF(Z43="",0,IF(Z43=200,サマリー!$B$10,IF(Z43=100,サマリー!$B$11,0)))+IF(AA43="",0,AA43*サマリー!$B$12)</f>
        <v>0</v>
      </c>
      <c r="E43" s="27">
        <f t="shared" si="0"/>
        <v>0</v>
      </c>
      <c r="I43" s="30"/>
      <c r="J43" s="30"/>
      <c r="K43" s="30"/>
      <c r="L43" s="30"/>
      <c r="M43" s="30"/>
      <c r="N43" s="30"/>
      <c r="O43" s="30"/>
      <c r="P43" s="30"/>
      <c r="Q43" s="31"/>
      <c r="R43" s="31"/>
      <c r="S43" s="31"/>
      <c r="T43" s="32"/>
      <c r="U43" s="32"/>
      <c r="V43" s="32"/>
      <c r="W43" s="32"/>
      <c r="X43" s="32"/>
      <c r="Y43" s="33"/>
      <c r="Z43" s="33"/>
      <c r="AA43" s="33"/>
    </row>
    <row r="44" spans="1:27">
      <c r="A44" s="29"/>
      <c r="B44" s="19">
        <f t="shared" si="1"/>
        <v>46327</v>
      </c>
      <c r="C44" s="27">
        <f>I44+J44+K44+L44+M44+N44+O44+P44+IF(Q44="",0,Q44*サマリー!$B$9)+IF(R44="",0,IF(R44=200,サマリー!$B$10,IF(R44=100,サマリー!$B$11,0)))+IF(S44="",0,S44*サマリー!$B$12)</f>
        <v>0</v>
      </c>
      <c r="D44" s="27">
        <f>T44+U44+V44+W44+X44+IF(Y44="",0,Y44*サマリー!$B$9)+IF(Z44="",0,IF(Z44=200,サマリー!$B$10,IF(Z44=100,サマリー!$B$11,0)))+IF(AA44="",0,AA44*サマリー!$B$12)</f>
        <v>0</v>
      </c>
      <c r="E44" s="27">
        <f t="shared" si="0"/>
        <v>0</v>
      </c>
      <c r="I44" s="30"/>
      <c r="J44" s="30"/>
      <c r="K44" s="30"/>
      <c r="L44" s="30"/>
      <c r="M44" s="30"/>
      <c r="N44" s="30"/>
      <c r="O44" s="30"/>
      <c r="P44" s="30"/>
      <c r="Q44" s="31"/>
      <c r="R44" s="31"/>
      <c r="S44" s="31"/>
      <c r="T44" s="32"/>
      <c r="U44" s="32"/>
      <c r="V44" s="32"/>
      <c r="W44" s="32"/>
      <c r="X44" s="32"/>
      <c r="Y44" s="33"/>
      <c r="Z44" s="33"/>
      <c r="AA44" s="33"/>
    </row>
    <row r="45" spans="1:27">
      <c r="A45" s="29"/>
      <c r="B45" s="19">
        <f t="shared" si="1"/>
        <v>46327</v>
      </c>
      <c r="C45" s="27">
        <f>I45+J45+K45+L45+M45+N45+O45+P45+IF(Q45="",0,Q45*サマリー!$B$9)+IF(R45="",0,IF(R45=200,サマリー!$B$10,IF(R45=100,サマリー!$B$11,0)))+IF(S45="",0,S45*サマリー!$B$12)</f>
        <v>0</v>
      </c>
      <c r="D45" s="27">
        <f>T45+U45+V45+W45+X45+IF(Y45="",0,Y45*サマリー!$B$9)+IF(Z45="",0,IF(Z45=200,サマリー!$B$10,IF(Z45=100,サマリー!$B$11,0)))+IF(AA45="",0,AA45*サマリー!$B$12)</f>
        <v>0</v>
      </c>
      <c r="E45" s="27">
        <f t="shared" si="0"/>
        <v>0</v>
      </c>
      <c r="I45" s="30"/>
      <c r="J45" s="30"/>
      <c r="K45" s="30"/>
      <c r="L45" s="30"/>
      <c r="M45" s="30"/>
      <c r="N45" s="30"/>
      <c r="O45" s="30"/>
      <c r="P45" s="30"/>
      <c r="Q45" s="31"/>
      <c r="R45" s="31"/>
      <c r="S45" s="31"/>
      <c r="T45" s="32"/>
      <c r="U45" s="32"/>
      <c r="V45" s="32"/>
      <c r="W45" s="32"/>
      <c r="X45" s="32"/>
      <c r="Y45" s="33"/>
      <c r="Z45" s="33"/>
      <c r="AA45" s="33"/>
    </row>
    <row r="46" spans="1:27">
      <c r="A46" s="29"/>
      <c r="B46" s="19">
        <f t="shared" si="1"/>
        <v>46327</v>
      </c>
      <c r="C46" s="27">
        <f>I46+J46+K46+L46+M46+N46+O46+P46+IF(Q46="",0,Q46*サマリー!$B$9)+IF(R46="",0,IF(R46=200,サマリー!$B$10,IF(R46=100,サマリー!$B$11,0)))+IF(S46="",0,S46*サマリー!$B$12)</f>
        <v>0</v>
      </c>
      <c r="D46" s="27">
        <f>T46+U46+V46+W46+X46+IF(Y46="",0,Y46*サマリー!$B$9)+IF(Z46="",0,IF(Z46=200,サマリー!$B$10,IF(Z46=100,サマリー!$B$11,0)))+IF(AA46="",0,AA46*サマリー!$B$12)</f>
        <v>0</v>
      </c>
      <c r="E46" s="27">
        <f t="shared" si="0"/>
        <v>0</v>
      </c>
      <c r="I46" s="30"/>
      <c r="J46" s="30"/>
      <c r="K46" s="30"/>
      <c r="L46" s="30"/>
      <c r="M46" s="30"/>
      <c r="N46" s="30"/>
      <c r="O46" s="30"/>
      <c r="P46" s="30"/>
      <c r="Q46" s="31"/>
      <c r="R46" s="31"/>
      <c r="S46" s="31"/>
      <c r="T46" s="32"/>
      <c r="U46" s="32"/>
      <c r="V46" s="32"/>
      <c r="W46" s="32"/>
      <c r="X46" s="32"/>
      <c r="Y46" s="33"/>
      <c r="Z46" s="33"/>
      <c r="AA46" s="33"/>
    </row>
    <row r="47" spans="1:27">
      <c r="A47" s="29"/>
      <c r="B47" s="19">
        <f t="shared" si="1"/>
        <v>46327</v>
      </c>
      <c r="C47" s="27">
        <f>I47+J47+K47+L47+M47+N47+O47+P47+IF(Q47="",0,Q47*サマリー!$B$9)+IF(R47="",0,IF(R47=200,サマリー!$B$10,IF(R47=100,サマリー!$B$11,0)))+IF(S47="",0,S47*サマリー!$B$12)</f>
        <v>0</v>
      </c>
      <c r="D47" s="27">
        <f>T47+U47+V47+W47+X47+IF(Y47="",0,Y47*サマリー!$B$9)+IF(Z47="",0,IF(Z47=200,サマリー!$B$10,IF(Z47=100,サマリー!$B$11,0)))+IF(AA47="",0,AA47*サマリー!$B$12)</f>
        <v>0</v>
      </c>
      <c r="E47" s="27">
        <f t="shared" si="0"/>
        <v>0</v>
      </c>
      <c r="I47" s="30"/>
      <c r="J47" s="30"/>
      <c r="K47" s="30"/>
      <c r="L47" s="30"/>
      <c r="M47" s="30"/>
      <c r="N47" s="30"/>
      <c r="O47" s="30"/>
      <c r="P47" s="30"/>
      <c r="Q47" s="31"/>
      <c r="R47" s="31"/>
      <c r="S47" s="31"/>
      <c r="T47" s="32"/>
      <c r="U47" s="32"/>
      <c r="V47" s="32"/>
      <c r="W47" s="32"/>
      <c r="X47" s="32"/>
      <c r="Y47" s="33"/>
      <c r="Z47" s="33"/>
      <c r="AA47" s="33"/>
    </row>
    <row r="48" spans="1:27">
      <c r="A48" s="29"/>
      <c r="B48" s="19">
        <f t="shared" si="1"/>
        <v>46327</v>
      </c>
      <c r="C48" s="27">
        <f>I48+J48+K48+L48+M48+N48+O48+P48+IF(Q48="",0,Q48*サマリー!$B$9)+IF(R48="",0,IF(R48=200,サマリー!$B$10,IF(R48=100,サマリー!$B$11,0)))+IF(S48="",0,S48*サマリー!$B$12)</f>
        <v>0</v>
      </c>
      <c r="D48" s="27">
        <f>T48+U48+V48+W48+X48+IF(Y48="",0,Y48*サマリー!$B$9)+IF(Z48="",0,IF(Z48=200,サマリー!$B$10,IF(Z48=100,サマリー!$B$11,0)))+IF(AA48="",0,AA48*サマリー!$B$12)</f>
        <v>0</v>
      </c>
      <c r="E48" s="27">
        <f t="shared" si="0"/>
        <v>0</v>
      </c>
      <c r="I48" s="30"/>
      <c r="J48" s="30"/>
      <c r="K48" s="30"/>
      <c r="L48" s="30"/>
      <c r="M48" s="30"/>
      <c r="N48" s="30"/>
      <c r="O48" s="30"/>
      <c r="P48" s="30"/>
      <c r="Q48" s="31"/>
      <c r="R48" s="31"/>
      <c r="S48" s="31"/>
      <c r="T48" s="32"/>
      <c r="U48" s="32"/>
      <c r="V48" s="32"/>
      <c r="W48" s="32"/>
      <c r="X48" s="32"/>
      <c r="Y48" s="33"/>
      <c r="Z48" s="33"/>
      <c r="AA48" s="33"/>
    </row>
    <row r="49" spans="1:27">
      <c r="A49" s="29"/>
      <c r="B49" s="19">
        <f t="shared" si="1"/>
        <v>46327</v>
      </c>
      <c r="C49" s="27">
        <f>I49+J49+K49+L49+M49+N49+O49+P49+IF(Q49="",0,Q49*サマリー!$B$9)+IF(R49="",0,IF(R49=200,サマリー!$B$10,IF(R49=100,サマリー!$B$11,0)))+IF(S49="",0,S49*サマリー!$B$12)</f>
        <v>0</v>
      </c>
      <c r="D49" s="27">
        <f>T49+U49+V49+W49+X49+IF(Y49="",0,Y49*サマリー!$B$9)+IF(Z49="",0,IF(Z49=200,サマリー!$B$10,IF(Z49=100,サマリー!$B$11,0)))+IF(AA49="",0,AA49*サマリー!$B$12)</f>
        <v>0</v>
      </c>
      <c r="E49" s="27">
        <f t="shared" si="0"/>
        <v>0</v>
      </c>
      <c r="I49" s="30"/>
      <c r="J49" s="30"/>
      <c r="K49" s="30"/>
      <c r="L49" s="30"/>
      <c r="M49" s="30"/>
      <c r="N49" s="30"/>
      <c r="O49" s="30"/>
      <c r="P49" s="30"/>
      <c r="Q49" s="31"/>
      <c r="R49" s="31"/>
      <c r="S49" s="31"/>
      <c r="T49" s="32"/>
      <c r="U49" s="32"/>
      <c r="V49" s="32"/>
      <c r="W49" s="32"/>
      <c r="X49" s="32"/>
      <c r="Y49" s="33"/>
      <c r="Z49" s="33"/>
      <c r="AA49" s="33"/>
    </row>
    <row r="50" spans="1:27">
      <c r="A50" s="29"/>
      <c r="B50" s="19">
        <f t="shared" si="1"/>
        <v>46327</v>
      </c>
      <c r="C50" s="27">
        <f>I50+J50+K50+L50+M50+N50+O50+P50+IF(Q50="",0,Q50*サマリー!$B$9)+IF(R50="",0,IF(R50=200,サマリー!$B$10,IF(R50=100,サマリー!$B$11,0)))+IF(S50="",0,S50*サマリー!$B$12)</f>
        <v>0</v>
      </c>
      <c r="D50" s="27">
        <f>T50+U50+V50+W50+X50+IF(Y50="",0,Y50*サマリー!$B$9)+IF(Z50="",0,IF(Z50=200,サマリー!$B$10,IF(Z50=100,サマリー!$B$11,0)))+IF(AA50="",0,AA50*サマリー!$B$12)</f>
        <v>0</v>
      </c>
      <c r="E50" s="27">
        <f t="shared" si="0"/>
        <v>0</v>
      </c>
      <c r="I50" s="30"/>
      <c r="J50" s="30"/>
      <c r="K50" s="30"/>
      <c r="L50" s="30"/>
      <c r="M50" s="30"/>
      <c r="N50" s="30"/>
      <c r="O50" s="30"/>
      <c r="P50" s="30"/>
      <c r="Q50" s="31"/>
      <c r="R50" s="31"/>
      <c r="S50" s="31"/>
      <c r="T50" s="32"/>
      <c r="U50" s="32"/>
      <c r="V50" s="32"/>
      <c r="W50" s="32"/>
      <c r="X50" s="32"/>
      <c r="Y50" s="33"/>
      <c r="Z50" s="33"/>
      <c r="AA50" s="33"/>
    </row>
    <row r="51" spans="1:27">
      <c r="A51" s="29"/>
      <c r="B51" s="19">
        <f t="shared" si="1"/>
        <v>46327</v>
      </c>
      <c r="C51" s="27">
        <f>I51+J51+K51+L51+M51+N51+O51+P51+IF(Q51="",0,Q51*サマリー!$B$9)+IF(R51="",0,IF(R51=200,サマリー!$B$10,IF(R51=100,サマリー!$B$11,0)))+IF(S51="",0,S51*サマリー!$B$12)</f>
        <v>0</v>
      </c>
      <c r="D51" s="27">
        <f>T51+U51+V51+W51+X51+IF(Y51="",0,Y51*サマリー!$B$9)+IF(Z51="",0,IF(Z51=200,サマリー!$B$10,IF(Z51=100,サマリー!$B$11,0)))+IF(AA51="",0,AA51*サマリー!$B$12)</f>
        <v>0</v>
      </c>
      <c r="E51" s="27">
        <f t="shared" si="0"/>
        <v>0</v>
      </c>
      <c r="I51" s="30"/>
      <c r="J51" s="30"/>
      <c r="K51" s="30"/>
      <c r="L51" s="30"/>
      <c r="M51" s="30"/>
      <c r="N51" s="30"/>
      <c r="O51" s="30"/>
      <c r="P51" s="30"/>
      <c r="Q51" s="31"/>
      <c r="R51" s="31"/>
      <c r="S51" s="31"/>
      <c r="T51" s="32"/>
      <c r="U51" s="32"/>
      <c r="V51" s="32"/>
      <c r="W51" s="32"/>
      <c r="X51" s="32"/>
      <c r="Y51" s="33"/>
      <c r="Z51" s="33"/>
      <c r="AA51" s="33"/>
    </row>
    <row r="52" spans="1:27">
      <c r="A52" s="29"/>
      <c r="B52" s="19">
        <f t="shared" si="1"/>
        <v>46327</v>
      </c>
      <c r="C52" s="27">
        <f>I52+J52+K52+L52+M52+N52+O52+P52+IF(Q52="",0,Q52*サマリー!$B$9)+IF(R52="",0,IF(R52=200,サマリー!$B$10,IF(R52=100,サマリー!$B$11,0)))+IF(S52="",0,S52*サマリー!$B$12)</f>
        <v>0</v>
      </c>
      <c r="D52" s="27">
        <f>T52+U52+V52+W52+X52+IF(Y52="",0,Y52*サマリー!$B$9)+IF(Z52="",0,IF(Z52=200,サマリー!$B$10,IF(Z52=100,サマリー!$B$11,0)))+IF(AA52="",0,AA52*サマリー!$B$12)</f>
        <v>0</v>
      </c>
      <c r="E52" s="27">
        <f t="shared" si="0"/>
        <v>0</v>
      </c>
      <c r="I52" s="30"/>
      <c r="J52" s="30"/>
      <c r="K52" s="30"/>
      <c r="L52" s="30"/>
      <c r="M52" s="30"/>
      <c r="N52" s="30"/>
      <c r="O52" s="30"/>
      <c r="P52" s="30"/>
      <c r="Q52" s="31"/>
      <c r="R52" s="31"/>
      <c r="S52" s="31"/>
      <c r="T52" s="32"/>
      <c r="U52" s="32"/>
      <c r="V52" s="32"/>
      <c r="W52" s="32"/>
      <c r="X52" s="32"/>
      <c r="Y52" s="33"/>
      <c r="Z52" s="33"/>
      <c r="AA52" s="33"/>
    </row>
    <row r="53" spans="1:27">
      <c r="A53" s="29"/>
      <c r="B53" s="19">
        <f t="shared" si="1"/>
        <v>46327</v>
      </c>
      <c r="C53" s="27">
        <f>I53+J53+K53+L53+M53+N53+O53+P53+IF(Q53="",0,Q53*サマリー!$B$9)+IF(R53="",0,IF(R53=200,サマリー!$B$10,IF(R53=100,サマリー!$B$11,0)))+IF(S53="",0,S53*サマリー!$B$12)</f>
        <v>0</v>
      </c>
      <c r="D53" s="27">
        <f>T53+U53+V53+W53+X53+IF(Y53="",0,Y53*サマリー!$B$9)+IF(Z53="",0,IF(Z53=200,サマリー!$B$10,IF(Z53=100,サマリー!$B$11,0)))+IF(AA53="",0,AA53*サマリー!$B$12)</f>
        <v>0</v>
      </c>
      <c r="E53" s="27">
        <f t="shared" si="0"/>
        <v>0</v>
      </c>
      <c r="I53" s="30"/>
      <c r="J53" s="30"/>
      <c r="K53" s="30"/>
      <c r="L53" s="30"/>
      <c r="M53" s="30"/>
      <c r="N53" s="30"/>
      <c r="O53" s="30"/>
      <c r="P53" s="30"/>
      <c r="Q53" s="31"/>
      <c r="R53" s="31"/>
      <c r="S53" s="31"/>
      <c r="T53" s="32"/>
      <c r="U53" s="32"/>
      <c r="V53" s="32"/>
      <c r="W53" s="32"/>
      <c r="X53" s="32"/>
      <c r="Y53" s="33"/>
      <c r="Z53" s="33"/>
      <c r="AA53" s="33"/>
    </row>
    <row r="54" spans="1:27">
      <c r="A54" s="29"/>
      <c r="B54" s="19">
        <f t="shared" si="1"/>
        <v>46327</v>
      </c>
      <c r="C54" s="27">
        <f>I54+J54+K54+L54+M54+N54+O54+P54+IF(Q54="",0,Q54*サマリー!$B$9)+IF(R54="",0,IF(R54=200,サマリー!$B$10,IF(R54=100,サマリー!$B$11,0)))+IF(S54="",0,S54*サマリー!$B$12)</f>
        <v>0</v>
      </c>
      <c r="D54" s="27">
        <f>T54+U54+V54+W54+X54+IF(Y54="",0,Y54*サマリー!$B$9)+IF(Z54="",0,IF(Z54=200,サマリー!$B$10,IF(Z54=100,サマリー!$B$11,0)))+IF(AA54="",0,AA54*サマリー!$B$12)</f>
        <v>0</v>
      </c>
      <c r="E54" s="27">
        <f t="shared" si="0"/>
        <v>0</v>
      </c>
      <c r="I54" s="30"/>
      <c r="J54" s="30"/>
      <c r="K54" s="30"/>
      <c r="L54" s="30"/>
      <c r="M54" s="30"/>
      <c r="N54" s="30"/>
      <c r="O54" s="30"/>
      <c r="P54" s="30"/>
      <c r="Q54" s="31"/>
      <c r="R54" s="31"/>
      <c r="S54" s="31"/>
      <c r="T54" s="32"/>
      <c r="U54" s="32"/>
      <c r="V54" s="32"/>
      <c r="W54" s="32"/>
      <c r="X54" s="32"/>
      <c r="Y54" s="33"/>
      <c r="Z54" s="33"/>
      <c r="AA54" s="33"/>
    </row>
    <row r="55" spans="1:27">
      <c r="A55" s="29"/>
      <c r="B55" s="19">
        <f t="shared" si="1"/>
        <v>46327</v>
      </c>
      <c r="C55" s="27">
        <f>I55+J55+K55+L55+M55+N55+O55+P55+IF(Q55="",0,Q55*サマリー!$B$9)+IF(R55="",0,IF(R55=200,サマリー!$B$10,IF(R55=100,サマリー!$B$11,0)))+IF(S55="",0,S55*サマリー!$B$12)</f>
        <v>0</v>
      </c>
      <c r="D55" s="27">
        <f>T55+U55+V55+W55+X55+IF(Y55="",0,Y55*サマリー!$B$9)+IF(Z55="",0,IF(Z55=200,サマリー!$B$10,IF(Z55=100,サマリー!$B$11,0)))+IF(AA55="",0,AA55*サマリー!$B$12)</f>
        <v>0</v>
      </c>
      <c r="E55" s="27">
        <f t="shared" si="0"/>
        <v>0</v>
      </c>
      <c r="I55" s="30"/>
      <c r="J55" s="30"/>
      <c r="K55" s="30"/>
      <c r="L55" s="30"/>
      <c r="M55" s="30"/>
      <c r="N55" s="30"/>
      <c r="O55" s="30"/>
      <c r="P55" s="30"/>
      <c r="Q55" s="31"/>
      <c r="R55" s="31"/>
      <c r="S55" s="31"/>
      <c r="T55" s="32"/>
      <c r="U55" s="32"/>
      <c r="V55" s="32"/>
      <c r="W55" s="32"/>
      <c r="X55" s="32"/>
      <c r="Y55" s="33"/>
      <c r="Z55" s="33"/>
      <c r="AA55" s="33"/>
    </row>
    <row r="56" spans="1:27">
      <c r="A56" s="29"/>
      <c r="B56" s="19">
        <f t="shared" si="1"/>
        <v>46327</v>
      </c>
      <c r="C56" s="27">
        <f>I56+J56+K56+L56+M56+N56+O56+P56+IF(Q56="",0,Q56*サマリー!$B$9)+IF(R56="",0,IF(R56=200,サマリー!$B$10,IF(R56=100,サマリー!$B$11,0)))+IF(S56="",0,S56*サマリー!$B$12)</f>
        <v>0</v>
      </c>
      <c r="D56" s="27">
        <f>T56+U56+V56+W56+X56+IF(Y56="",0,Y56*サマリー!$B$9)+IF(Z56="",0,IF(Z56=200,サマリー!$B$10,IF(Z56=100,サマリー!$B$11,0)))+IF(AA56="",0,AA56*サマリー!$B$12)</f>
        <v>0</v>
      </c>
      <c r="E56" s="27">
        <f t="shared" si="0"/>
        <v>0</v>
      </c>
      <c r="I56" s="30"/>
      <c r="J56" s="30"/>
      <c r="K56" s="30"/>
      <c r="L56" s="30"/>
      <c r="M56" s="30"/>
      <c r="N56" s="30"/>
      <c r="O56" s="30"/>
      <c r="P56" s="30"/>
      <c r="Q56" s="31"/>
      <c r="R56" s="31"/>
      <c r="S56" s="31"/>
      <c r="T56" s="32"/>
      <c r="U56" s="32"/>
      <c r="V56" s="32"/>
      <c r="W56" s="32"/>
      <c r="X56" s="32"/>
      <c r="Y56" s="33"/>
      <c r="Z56" s="33"/>
      <c r="AA56" s="33"/>
    </row>
    <row r="57" spans="1:27">
      <c r="A57" s="29"/>
      <c r="B57" s="19">
        <f t="shared" si="1"/>
        <v>46327</v>
      </c>
      <c r="C57" s="27">
        <f>I57+J57+K57+L57+M57+N57+O57+P57+IF(Q57="",0,Q57*サマリー!$B$9)+IF(R57="",0,IF(R57=200,サマリー!$B$10,IF(R57=100,サマリー!$B$11,0)))+IF(S57="",0,S57*サマリー!$B$12)</f>
        <v>0</v>
      </c>
      <c r="D57" s="27">
        <f>T57+U57+V57+W57+X57+IF(Y57="",0,Y57*サマリー!$B$9)+IF(Z57="",0,IF(Z57=200,サマリー!$B$10,IF(Z57=100,サマリー!$B$11,0)))+IF(AA57="",0,AA57*サマリー!$B$12)</f>
        <v>0</v>
      </c>
      <c r="E57" s="27">
        <f t="shared" si="0"/>
        <v>0</v>
      </c>
      <c r="I57" s="30"/>
      <c r="J57" s="30"/>
      <c r="K57" s="30"/>
      <c r="L57" s="30"/>
      <c r="M57" s="30"/>
      <c r="N57" s="30"/>
      <c r="O57" s="30"/>
      <c r="P57" s="30"/>
      <c r="Q57" s="31"/>
      <c r="R57" s="31"/>
      <c r="S57" s="31"/>
      <c r="T57" s="32"/>
      <c r="U57" s="32"/>
      <c r="V57" s="32"/>
      <c r="W57" s="32"/>
      <c r="X57" s="32"/>
      <c r="Y57" s="33"/>
      <c r="Z57" s="33"/>
      <c r="AA57" s="33"/>
    </row>
    <row r="58" spans="1:27">
      <c r="A58" s="29"/>
      <c r="B58" s="19">
        <f t="shared" si="1"/>
        <v>46327</v>
      </c>
      <c r="C58" s="27">
        <f>I58+J58+K58+L58+M58+N58+O58+P58+IF(Q58="",0,Q58*サマリー!$B$9)+IF(R58="",0,IF(R58=200,サマリー!$B$10,IF(R58=100,サマリー!$B$11,0)))+IF(S58="",0,S58*サマリー!$B$12)</f>
        <v>0</v>
      </c>
      <c r="D58" s="27">
        <f>T58+U58+V58+W58+X58+IF(Y58="",0,Y58*サマリー!$B$9)+IF(Z58="",0,IF(Z58=200,サマリー!$B$10,IF(Z58=100,サマリー!$B$11,0)))+IF(AA58="",0,AA58*サマリー!$B$12)</f>
        <v>0</v>
      </c>
      <c r="E58" s="27">
        <f t="shared" si="0"/>
        <v>0</v>
      </c>
      <c r="I58" s="30"/>
      <c r="J58" s="30"/>
      <c r="K58" s="30"/>
      <c r="L58" s="30"/>
      <c r="M58" s="30"/>
      <c r="N58" s="30"/>
      <c r="O58" s="30"/>
      <c r="P58" s="30"/>
      <c r="Q58" s="31"/>
      <c r="R58" s="31"/>
      <c r="S58" s="31"/>
      <c r="T58" s="32"/>
      <c r="U58" s="32"/>
      <c r="V58" s="32"/>
      <c r="W58" s="32"/>
      <c r="X58" s="32"/>
      <c r="Y58" s="33"/>
      <c r="Z58" s="33"/>
      <c r="AA58" s="33"/>
    </row>
    <row r="59" spans="1:27">
      <c r="A59" s="29"/>
      <c r="B59" s="19">
        <f t="shared" si="1"/>
        <v>46327</v>
      </c>
      <c r="C59" s="27">
        <f>I59+J59+K59+L59+M59+N59+O59+P59+IF(Q59="",0,Q59*サマリー!$B$9)+IF(R59="",0,IF(R59=200,サマリー!$B$10,IF(R59=100,サマリー!$B$11,0)))+IF(S59="",0,S59*サマリー!$B$12)</f>
        <v>0</v>
      </c>
      <c r="D59" s="27">
        <f>T59+U59+V59+W59+X59+IF(Y59="",0,Y59*サマリー!$B$9)+IF(Z59="",0,IF(Z59=200,サマリー!$B$10,IF(Z59=100,サマリー!$B$11,0)))+IF(AA59="",0,AA59*サマリー!$B$12)</f>
        <v>0</v>
      </c>
      <c r="E59" s="27">
        <f t="shared" si="0"/>
        <v>0</v>
      </c>
      <c r="I59" s="30"/>
      <c r="J59" s="30"/>
      <c r="K59" s="30"/>
      <c r="L59" s="30"/>
      <c r="M59" s="30"/>
      <c r="N59" s="30"/>
      <c r="O59" s="30"/>
      <c r="P59" s="30"/>
      <c r="Q59" s="31"/>
      <c r="R59" s="31"/>
      <c r="S59" s="31"/>
      <c r="T59" s="32"/>
      <c r="U59" s="32"/>
      <c r="V59" s="32"/>
      <c r="W59" s="32"/>
      <c r="X59" s="32"/>
      <c r="Y59" s="33"/>
      <c r="Z59" s="33"/>
      <c r="AA59" s="33"/>
    </row>
    <row r="60" spans="1:27">
      <c r="A60" s="29"/>
      <c r="B60" s="19">
        <f t="shared" si="1"/>
        <v>46327</v>
      </c>
      <c r="C60" s="27">
        <f>I60+J60+K60+L60+M60+N60+O60+P60+IF(Q60="",0,Q60*サマリー!$B$9)+IF(R60="",0,IF(R60=200,サマリー!$B$10,IF(R60=100,サマリー!$B$11,0)))+IF(S60="",0,S60*サマリー!$B$12)</f>
        <v>0</v>
      </c>
      <c r="D60" s="27">
        <f>T60+U60+V60+W60+X60+IF(Y60="",0,Y60*サマリー!$B$9)+IF(Z60="",0,IF(Z60=200,サマリー!$B$10,IF(Z60=100,サマリー!$B$11,0)))+IF(AA60="",0,AA60*サマリー!$B$12)</f>
        <v>0</v>
      </c>
      <c r="E60" s="27">
        <f t="shared" si="0"/>
        <v>0</v>
      </c>
      <c r="I60" s="30"/>
      <c r="J60" s="30"/>
      <c r="K60" s="30"/>
      <c r="L60" s="30"/>
      <c r="M60" s="30"/>
      <c r="N60" s="30"/>
      <c r="O60" s="30"/>
      <c r="P60" s="30"/>
      <c r="Q60" s="31"/>
      <c r="R60" s="31"/>
      <c r="S60" s="31"/>
      <c r="T60" s="32"/>
      <c r="U60" s="32"/>
      <c r="V60" s="32"/>
      <c r="W60" s="32"/>
      <c r="X60" s="32"/>
      <c r="Y60" s="33"/>
      <c r="Z60" s="33"/>
      <c r="AA60" s="33"/>
    </row>
    <row r="61" spans="1:27">
      <c r="A61" s="29"/>
      <c r="B61" s="19">
        <f t="shared" si="1"/>
        <v>46327</v>
      </c>
      <c r="C61" s="27">
        <f>I61+J61+K61+L61+M61+N61+O61+P61+IF(Q61="",0,Q61*サマリー!$B$9)+IF(R61="",0,IF(R61=200,サマリー!$B$10,IF(R61=100,サマリー!$B$11,0)))+IF(S61="",0,S61*サマリー!$B$12)</f>
        <v>0</v>
      </c>
      <c r="D61" s="27">
        <f>T61+U61+V61+W61+X61+IF(Y61="",0,Y61*サマリー!$B$9)+IF(Z61="",0,IF(Z61=200,サマリー!$B$10,IF(Z61=100,サマリー!$B$11,0)))+IF(AA61="",0,AA61*サマリー!$B$12)</f>
        <v>0</v>
      </c>
      <c r="E61" s="27">
        <f t="shared" si="0"/>
        <v>0</v>
      </c>
      <c r="I61" s="30"/>
      <c r="J61" s="30"/>
      <c r="K61" s="30"/>
      <c r="L61" s="30"/>
      <c r="M61" s="30"/>
      <c r="N61" s="30"/>
      <c r="O61" s="30"/>
      <c r="P61" s="30"/>
      <c r="Q61" s="31"/>
      <c r="R61" s="31"/>
      <c r="S61" s="31"/>
      <c r="T61" s="32"/>
      <c r="U61" s="32"/>
      <c r="V61" s="32"/>
      <c r="W61" s="32"/>
      <c r="X61" s="32"/>
      <c r="Y61" s="33"/>
      <c r="Z61" s="33"/>
      <c r="AA61" s="33"/>
    </row>
    <row r="62" spans="1:27">
      <c r="A62" s="29"/>
      <c r="B62" s="19">
        <f t="shared" si="1"/>
        <v>46327</v>
      </c>
      <c r="C62" s="27">
        <f>I62+J62+K62+L62+M62+N62+O62+P62+IF(Q62="",0,Q62*サマリー!$B$9)+IF(R62="",0,IF(R62=200,サマリー!$B$10,IF(R62=100,サマリー!$B$11,0)))+IF(S62="",0,S62*サマリー!$B$12)</f>
        <v>0</v>
      </c>
      <c r="D62" s="27">
        <f>T62+U62+V62+W62+X62+IF(Y62="",0,Y62*サマリー!$B$9)+IF(Z62="",0,IF(Z62=200,サマリー!$B$10,IF(Z62=100,サマリー!$B$11,0)))+IF(AA62="",0,AA62*サマリー!$B$12)</f>
        <v>0</v>
      </c>
      <c r="E62" s="27">
        <f t="shared" si="0"/>
        <v>0</v>
      </c>
      <c r="I62" s="30"/>
      <c r="J62" s="30"/>
      <c r="K62" s="30"/>
      <c r="L62" s="30"/>
      <c r="M62" s="30"/>
      <c r="N62" s="30"/>
      <c r="O62" s="30"/>
      <c r="P62" s="30"/>
      <c r="Q62" s="31"/>
      <c r="R62" s="31"/>
      <c r="S62" s="31"/>
      <c r="T62" s="32"/>
      <c r="U62" s="32"/>
      <c r="V62" s="32"/>
      <c r="W62" s="32"/>
      <c r="X62" s="32"/>
      <c r="Y62" s="33"/>
      <c r="Z62" s="33"/>
      <c r="AA62" s="33"/>
    </row>
    <row r="63" spans="1:27">
      <c r="A63" s="29"/>
      <c r="B63" s="19">
        <f t="shared" si="1"/>
        <v>46327</v>
      </c>
      <c r="C63" s="27">
        <f>I63+J63+K63+L63+M63+N63+O63+P63+IF(Q63="",0,Q63*サマリー!$B$9)+IF(R63="",0,IF(R63=200,サマリー!$B$10,IF(R63=100,サマリー!$B$11,0)))+IF(S63="",0,S63*サマリー!$B$12)</f>
        <v>0</v>
      </c>
      <c r="D63" s="27">
        <f>T63+U63+V63+W63+X63+IF(Y63="",0,Y63*サマリー!$B$9)+IF(Z63="",0,IF(Z63=200,サマリー!$B$10,IF(Z63=100,サマリー!$B$11,0)))+IF(AA63="",0,AA63*サマリー!$B$12)</f>
        <v>0</v>
      </c>
      <c r="E63" s="27">
        <f t="shared" si="0"/>
        <v>0</v>
      </c>
      <c r="I63" s="30"/>
      <c r="J63" s="30"/>
      <c r="K63" s="30"/>
      <c r="L63" s="30"/>
      <c r="M63" s="30"/>
      <c r="N63" s="30"/>
      <c r="O63" s="30"/>
      <c r="P63" s="30"/>
      <c r="Q63" s="31"/>
      <c r="R63" s="31"/>
      <c r="S63" s="31"/>
      <c r="T63" s="32"/>
      <c r="U63" s="32"/>
      <c r="V63" s="32"/>
      <c r="W63" s="32"/>
      <c r="X63" s="32"/>
      <c r="Y63" s="33"/>
      <c r="Z63" s="33"/>
      <c r="AA63" s="33"/>
    </row>
    <row r="64" spans="1:27">
      <c r="A64" s="29"/>
      <c r="B64" s="19">
        <f t="shared" si="1"/>
        <v>46327</v>
      </c>
      <c r="C64" s="27">
        <f>I64+J64+K64+L64+M64+N64+O64+P64+IF(Q64="",0,Q64*サマリー!$B$9)+IF(R64="",0,IF(R64=200,サマリー!$B$10,IF(R64=100,サマリー!$B$11,0)))+IF(S64="",0,S64*サマリー!$B$12)</f>
        <v>0</v>
      </c>
      <c r="D64" s="27">
        <f>T64+U64+V64+W64+X64+IF(Y64="",0,Y64*サマリー!$B$9)+IF(Z64="",0,IF(Z64=200,サマリー!$B$10,IF(Z64=100,サマリー!$B$11,0)))+IF(AA64="",0,AA64*サマリー!$B$12)</f>
        <v>0</v>
      </c>
      <c r="E64" s="27">
        <f t="shared" si="0"/>
        <v>0</v>
      </c>
      <c r="I64" s="30"/>
      <c r="J64" s="30"/>
      <c r="K64" s="30"/>
      <c r="L64" s="30"/>
      <c r="M64" s="30"/>
      <c r="N64" s="30"/>
      <c r="O64" s="30"/>
      <c r="P64" s="30"/>
      <c r="Q64" s="31"/>
      <c r="R64" s="31"/>
      <c r="S64" s="31"/>
      <c r="T64" s="32"/>
      <c r="U64" s="32"/>
      <c r="V64" s="32"/>
      <c r="W64" s="32"/>
      <c r="X64" s="32"/>
      <c r="Y64" s="33"/>
      <c r="Z64" s="33"/>
      <c r="AA64" s="33"/>
    </row>
    <row r="65" spans="1:27">
      <c r="A65" s="29"/>
      <c r="B65" s="19">
        <f t="shared" si="1"/>
        <v>46327</v>
      </c>
      <c r="C65" s="27">
        <f>I65+J65+K65+L65+M65+N65+O65+P65+IF(Q65="",0,Q65*サマリー!$B$9)+IF(R65="",0,IF(R65=200,サマリー!$B$10,IF(R65=100,サマリー!$B$11,0)))+IF(S65="",0,S65*サマリー!$B$12)</f>
        <v>0</v>
      </c>
      <c r="D65" s="27">
        <f>T65+U65+V65+W65+X65+IF(Y65="",0,Y65*サマリー!$B$9)+IF(Z65="",0,IF(Z65=200,サマリー!$B$10,IF(Z65=100,サマリー!$B$11,0)))+IF(AA65="",0,AA65*サマリー!$B$12)</f>
        <v>0</v>
      </c>
      <c r="E65" s="27">
        <f t="shared" si="0"/>
        <v>0</v>
      </c>
      <c r="I65" s="30"/>
      <c r="J65" s="30"/>
      <c r="K65" s="30"/>
      <c r="L65" s="30"/>
      <c r="M65" s="30"/>
      <c r="N65" s="30"/>
      <c r="O65" s="30"/>
      <c r="P65" s="30"/>
      <c r="Q65" s="31"/>
      <c r="R65" s="31"/>
      <c r="S65" s="31"/>
      <c r="T65" s="32"/>
      <c r="U65" s="32"/>
      <c r="V65" s="32"/>
      <c r="W65" s="32"/>
      <c r="X65" s="32"/>
      <c r="Y65" s="33"/>
      <c r="Z65" s="33"/>
      <c r="AA65" s="33"/>
    </row>
    <row r="66" spans="1:27">
      <c r="A66" s="29"/>
      <c r="B66" s="19">
        <f t="shared" si="1"/>
        <v>46327</v>
      </c>
      <c r="C66" s="27">
        <f>I66+J66+K66+L66+M66+N66+O66+P66+IF(Q66="",0,Q66*サマリー!$B$9)+IF(R66="",0,IF(R66=200,サマリー!$B$10,IF(R66=100,サマリー!$B$11,0)))+IF(S66="",0,S66*サマリー!$B$12)</f>
        <v>0</v>
      </c>
      <c r="D66" s="27">
        <f>T66+U66+V66+W66+X66+IF(Y66="",0,Y66*サマリー!$B$9)+IF(Z66="",0,IF(Z66=200,サマリー!$B$10,IF(Z66=100,サマリー!$B$11,0)))+IF(AA66="",0,AA66*サマリー!$B$12)</f>
        <v>0</v>
      </c>
      <c r="E66" s="27">
        <f t="shared" si="0"/>
        <v>0</v>
      </c>
      <c r="I66" s="30"/>
      <c r="J66" s="30"/>
      <c r="K66" s="30"/>
      <c r="L66" s="30"/>
      <c r="M66" s="30"/>
      <c r="N66" s="30"/>
      <c r="O66" s="30"/>
      <c r="P66" s="30"/>
      <c r="Q66" s="31"/>
      <c r="R66" s="31"/>
      <c r="S66" s="31"/>
      <c r="T66" s="32"/>
      <c r="U66" s="32"/>
      <c r="V66" s="32"/>
      <c r="W66" s="32"/>
      <c r="X66" s="32"/>
      <c r="Y66" s="33"/>
      <c r="Z66" s="33"/>
      <c r="AA66" s="33"/>
    </row>
    <row r="67" spans="1:27">
      <c r="A67" s="29"/>
      <c r="B67" s="19">
        <f t="shared" si="1"/>
        <v>46327</v>
      </c>
      <c r="C67" s="27">
        <f>I67+J67+K67+L67+M67+N67+O67+P67+IF(Q67="",0,Q67*サマリー!$B$9)+IF(R67="",0,IF(R67=200,サマリー!$B$10,IF(R67=100,サマリー!$B$11,0)))+IF(S67="",0,S67*サマリー!$B$12)</f>
        <v>0</v>
      </c>
      <c r="D67" s="27">
        <f>T67+U67+V67+W67+X67+IF(Y67="",0,Y67*サマリー!$B$9)+IF(Z67="",0,IF(Z67=200,サマリー!$B$10,IF(Z67=100,サマリー!$B$11,0)))+IF(AA67="",0,AA67*サマリー!$B$12)</f>
        <v>0</v>
      </c>
      <c r="E67" s="27">
        <f t="shared" si="0"/>
        <v>0</v>
      </c>
      <c r="I67" s="30"/>
      <c r="J67" s="30"/>
      <c r="K67" s="30"/>
      <c r="L67" s="30"/>
      <c r="M67" s="30"/>
      <c r="N67" s="30"/>
      <c r="O67" s="30"/>
      <c r="P67" s="30"/>
      <c r="Q67" s="31"/>
      <c r="R67" s="31"/>
      <c r="S67" s="31"/>
      <c r="T67" s="32"/>
      <c r="U67" s="32"/>
      <c r="V67" s="32"/>
      <c r="W67" s="32"/>
      <c r="X67" s="32"/>
      <c r="Y67" s="33"/>
      <c r="Z67" s="33"/>
      <c r="AA67" s="33"/>
    </row>
    <row r="68" spans="1:27">
      <c r="A68" s="29"/>
      <c r="B68" s="19">
        <f t="shared" si="1"/>
        <v>46327</v>
      </c>
      <c r="C68" s="27">
        <f>I68+J68+K68+L68+M68+N68+O68+P68+IF(Q68="",0,Q68*サマリー!$B$9)+IF(R68="",0,IF(R68=200,サマリー!$B$10,IF(R68=100,サマリー!$B$11,0)))+IF(S68="",0,S68*サマリー!$B$12)</f>
        <v>0</v>
      </c>
      <c r="D68" s="27">
        <f>T68+U68+V68+W68+X68+IF(Y68="",0,Y68*サマリー!$B$9)+IF(Z68="",0,IF(Z68=200,サマリー!$B$10,IF(Z68=100,サマリー!$B$11,0)))+IF(AA68="",0,AA68*サマリー!$B$12)</f>
        <v>0</v>
      </c>
      <c r="E68" s="27">
        <f t="shared" si="0"/>
        <v>0</v>
      </c>
      <c r="I68" s="30"/>
      <c r="J68" s="30"/>
      <c r="K68" s="30"/>
      <c r="L68" s="30"/>
      <c r="M68" s="30"/>
      <c r="N68" s="30"/>
      <c r="O68" s="30"/>
      <c r="P68" s="30"/>
      <c r="Q68" s="31"/>
      <c r="R68" s="31"/>
      <c r="S68" s="31"/>
      <c r="T68" s="32"/>
      <c r="U68" s="32"/>
      <c r="V68" s="32"/>
      <c r="W68" s="32"/>
      <c r="X68" s="32"/>
      <c r="Y68" s="33"/>
      <c r="Z68" s="33"/>
      <c r="AA68" s="33"/>
    </row>
    <row r="69" spans="1:27">
      <c r="A69" s="29"/>
      <c r="B69" s="19">
        <f t="shared" si="1"/>
        <v>46327</v>
      </c>
      <c r="C69" s="27">
        <f>I69+J69+K69+L69+M69+N69+O69+P69+IF(Q69="",0,Q69*サマリー!$B$9)+IF(R69="",0,IF(R69=200,サマリー!$B$10,IF(R69=100,サマリー!$B$11,0)))+IF(S69="",0,S69*サマリー!$B$12)</f>
        <v>0</v>
      </c>
      <c r="D69" s="27">
        <f>T69+U69+V69+W69+X69+IF(Y69="",0,Y69*サマリー!$B$9)+IF(Z69="",0,IF(Z69=200,サマリー!$B$10,IF(Z69=100,サマリー!$B$11,0)))+IF(AA69="",0,AA69*サマリー!$B$12)</f>
        <v>0</v>
      </c>
      <c r="E69" s="27">
        <f t="shared" si="0"/>
        <v>0</v>
      </c>
      <c r="I69" s="30"/>
      <c r="J69" s="30"/>
      <c r="K69" s="30"/>
      <c r="L69" s="30"/>
      <c r="M69" s="30"/>
      <c r="N69" s="30"/>
      <c r="O69" s="30"/>
      <c r="P69" s="30"/>
      <c r="Q69" s="31"/>
      <c r="R69" s="31"/>
      <c r="S69" s="31"/>
      <c r="T69" s="32"/>
      <c r="U69" s="32"/>
      <c r="V69" s="32"/>
      <c r="W69" s="32"/>
      <c r="X69" s="32"/>
      <c r="Y69" s="33"/>
      <c r="Z69" s="33"/>
      <c r="AA69" s="33"/>
    </row>
    <row r="70" spans="1:27">
      <c r="A70" s="29"/>
      <c r="B70" s="19">
        <f t="shared" si="1"/>
        <v>46327</v>
      </c>
      <c r="C70" s="27">
        <f>I70+J70+K70+L70+M70+N70+O70+P70+IF(Q70="",0,Q70*サマリー!$B$9)+IF(R70="",0,IF(R70=200,サマリー!$B$10,IF(R70=100,サマリー!$B$11,0)))+IF(S70="",0,S70*サマリー!$B$12)</f>
        <v>0</v>
      </c>
      <c r="D70" s="27">
        <f>T70+U70+V70+W70+X70+IF(Y70="",0,Y70*サマリー!$B$9)+IF(Z70="",0,IF(Z70=200,サマリー!$B$10,IF(Z70=100,サマリー!$B$11,0)))+IF(AA70="",0,AA70*サマリー!$B$12)</f>
        <v>0</v>
      </c>
      <c r="E70" s="27">
        <f t="shared" ref="E70:E133" si="2">C70+D70</f>
        <v>0</v>
      </c>
      <c r="I70" s="30"/>
      <c r="J70" s="30"/>
      <c r="K70" s="30"/>
      <c r="L70" s="30"/>
      <c r="M70" s="30"/>
      <c r="N70" s="30"/>
      <c r="O70" s="30"/>
      <c r="P70" s="30"/>
      <c r="Q70" s="31"/>
      <c r="R70" s="31"/>
      <c r="S70" s="31"/>
      <c r="T70" s="32"/>
      <c r="U70" s="32"/>
      <c r="V70" s="32"/>
      <c r="W70" s="32"/>
      <c r="X70" s="32"/>
      <c r="Y70" s="33"/>
      <c r="Z70" s="33"/>
      <c r="AA70" s="33"/>
    </row>
    <row r="71" spans="1:27">
      <c r="A71" s="29"/>
      <c r="B71" s="19">
        <f t="shared" ref="B71:B134" si="3">IF(A71="",B70,IF(A71&lt;DAY(B70),DATE(YEAR(B70),MONTH(B70)+1,A71),DATE(YEAR(B70),MONTH(B70),A71)))</f>
        <v>46327</v>
      </c>
      <c r="C71" s="27">
        <f>I71+J71+K71+L71+M71+N71+O71+P71+IF(Q71="",0,Q71*サマリー!$B$9)+IF(R71="",0,IF(R71=200,サマリー!$B$10,IF(R71=100,サマリー!$B$11,0)))+IF(S71="",0,S71*サマリー!$B$12)</f>
        <v>0</v>
      </c>
      <c r="D71" s="27">
        <f>T71+U71+V71+W71+X71+IF(Y71="",0,Y71*サマリー!$B$9)+IF(Z71="",0,IF(Z71=200,サマリー!$B$10,IF(Z71=100,サマリー!$B$11,0)))+IF(AA71="",0,AA71*サマリー!$B$12)</f>
        <v>0</v>
      </c>
      <c r="E71" s="27">
        <f t="shared" si="2"/>
        <v>0</v>
      </c>
      <c r="I71" s="30"/>
      <c r="J71" s="30"/>
      <c r="K71" s="30"/>
      <c r="L71" s="30"/>
      <c r="M71" s="30"/>
      <c r="N71" s="30"/>
      <c r="O71" s="30"/>
      <c r="P71" s="30"/>
      <c r="Q71" s="31"/>
      <c r="R71" s="31"/>
      <c r="S71" s="31"/>
      <c r="T71" s="32"/>
      <c r="U71" s="32"/>
      <c r="V71" s="32"/>
      <c r="W71" s="32"/>
      <c r="X71" s="32"/>
      <c r="Y71" s="33"/>
      <c r="Z71" s="33"/>
      <c r="AA71" s="33"/>
    </row>
    <row r="72" spans="1:27">
      <c r="A72" s="29"/>
      <c r="B72" s="19">
        <f t="shared" si="3"/>
        <v>46327</v>
      </c>
      <c r="C72" s="27">
        <f>I72+J72+K72+L72+M72+N72+O72+P72+IF(Q72="",0,Q72*サマリー!$B$9)+IF(R72="",0,IF(R72=200,サマリー!$B$10,IF(R72=100,サマリー!$B$11,0)))+IF(S72="",0,S72*サマリー!$B$12)</f>
        <v>0</v>
      </c>
      <c r="D72" s="27">
        <f>T72+U72+V72+W72+X72+IF(Y72="",0,Y72*サマリー!$B$9)+IF(Z72="",0,IF(Z72=200,サマリー!$B$10,IF(Z72=100,サマリー!$B$11,0)))+IF(AA72="",0,AA72*サマリー!$B$12)</f>
        <v>0</v>
      </c>
      <c r="E72" s="27">
        <f t="shared" si="2"/>
        <v>0</v>
      </c>
      <c r="I72" s="30"/>
      <c r="J72" s="30"/>
      <c r="K72" s="30"/>
      <c r="L72" s="30"/>
      <c r="M72" s="30"/>
      <c r="N72" s="30"/>
      <c r="O72" s="30"/>
      <c r="P72" s="30"/>
      <c r="Q72" s="31"/>
      <c r="R72" s="31"/>
      <c r="S72" s="31"/>
      <c r="T72" s="32"/>
      <c r="U72" s="32"/>
      <c r="V72" s="32"/>
      <c r="W72" s="32"/>
      <c r="X72" s="32"/>
      <c r="Y72" s="33"/>
      <c r="Z72" s="33"/>
      <c r="AA72" s="33"/>
    </row>
    <row r="73" spans="1:27">
      <c r="A73" s="29"/>
      <c r="B73" s="19">
        <f t="shared" si="3"/>
        <v>46327</v>
      </c>
      <c r="C73" s="27">
        <f>I73+J73+K73+L73+M73+N73+O73+P73+IF(Q73="",0,Q73*サマリー!$B$9)+IF(R73="",0,IF(R73=200,サマリー!$B$10,IF(R73=100,サマリー!$B$11,0)))+IF(S73="",0,S73*サマリー!$B$12)</f>
        <v>0</v>
      </c>
      <c r="D73" s="27">
        <f>T73+U73+V73+W73+X73+IF(Y73="",0,Y73*サマリー!$B$9)+IF(Z73="",0,IF(Z73=200,サマリー!$B$10,IF(Z73=100,サマリー!$B$11,0)))+IF(AA73="",0,AA73*サマリー!$B$12)</f>
        <v>0</v>
      </c>
      <c r="E73" s="27">
        <f t="shared" si="2"/>
        <v>0</v>
      </c>
      <c r="I73" s="30"/>
      <c r="J73" s="30"/>
      <c r="K73" s="30"/>
      <c r="L73" s="30"/>
      <c r="M73" s="30"/>
      <c r="N73" s="30"/>
      <c r="O73" s="30"/>
      <c r="P73" s="30"/>
      <c r="Q73" s="31"/>
      <c r="R73" s="31"/>
      <c r="S73" s="31"/>
      <c r="T73" s="32"/>
      <c r="U73" s="32"/>
      <c r="V73" s="32"/>
      <c r="W73" s="32"/>
      <c r="X73" s="32"/>
      <c r="Y73" s="33"/>
      <c r="Z73" s="33"/>
      <c r="AA73" s="33"/>
    </row>
    <row r="74" spans="1:27">
      <c r="A74" s="29"/>
      <c r="B74" s="19">
        <f t="shared" si="3"/>
        <v>46327</v>
      </c>
      <c r="C74" s="27">
        <f>I74+J74+K74+L74+M74+N74+O74+P74+IF(Q74="",0,Q74*サマリー!$B$9)+IF(R74="",0,IF(R74=200,サマリー!$B$10,IF(R74=100,サマリー!$B$11,0)))+IF(S74="",0,S74*サマリー!$B$12)</f>
        <v>0</v>
      </c>
      <c r="D74" s="27">
        <f>T74+U74+V74+W74+X74+IF(Y74="",0,Y74*サマリー!$B$9)+IF(Z74="",0,IF(Z74=200,サマリー!$B$10,IF(Z74=100,サマリー!$B$11,0)))+IF(AA74="",0,AA74*サマリー!$B$12)</f>
        <v>0</v>
      </c>
      <c r="E74" s="27">
        <f t="shared" si="2"/>
        <v>0</v>
      </c>
      <c r="I74" s="30"/>
      <c r="J74" s="30"/>
      <c r="K74" s="30"/>
      <c r="L74" s="30"/>
      <c r="M74" s="30"/>
      <c r="N74" s="30"/>
      <c r="O74" s="30"/>
      <c r="P74" s="30"/>
      <c r="Q74" s="31"/>
      <c r="R74" s="31"/>
      <c r="S74" s="31"/>
      <c r="T74" s="32"/>
      <c r="U74" s="32"/>
      <c r="V74" s="32"/>
      <c r="W74" s="32"/>
      <c r="X74" s="32"/>
      <c r="Y74" s="33"/>
      <c r="Z74" s="33"/>
      <c r="AA74" s="33"/>
    </row>
    <row r="75" spans="1:27">
      <c r="A75" s="29"/>
      <c r="B75" s="19">
        <f t="shared" si="3"/>
        <v>46327</v>
      </c>
      <c r="C75" s="27">
        <f>I75+J75+K75+L75+M75+N75+O75+P75+IF(Q75="",0,Q75*サマリー!$B$9)+IF(R75="",0,IF(R75=200,サマリー!$B$10,IF(R75=100,サマリー!$B$11,0)))+IF(S75="",0,S75*サマリー!$B$12)</f>
        <v>0</v>
      </c>
      <c r="D75" s="27">
        <f>T75+U75+V75+W75+X75+IF(Y75="",0,Y75*サマリー!$B$9)+IF(Z75="",0,IF(Z75=200,サマリー!$B$10,IF(Z75=100,サマリー!$B$11,0)))+IF(AA75="",0,AA75*サマリー!$B$12)</f>
        <v>0</v>
      </c>
      <c r="E75" s="27">
        <f t="shared" si="2"/>
        <v>0</v>
      </c>
      <c r="I75" s="30"/>
      <c r="J75" s="30"/>
      <c r="K75" s="30"/>
      <c r="L75" s="30"/>
      <c r="M75" s="30"/>
      <c r="N75" s="30"/>
      <c r="O75" s="30"/>
      <c r="P75" s="30"/>
      <c r="Q75" s="31"/>
      <c r="R75" s="31"/>
      <c r="S75" s="31"/>
      <c r="T75" s="32"/>
      <c r="U75" s="32"/>
      <c r="V75" s="32"/>
      <c r="W75" s="32"/>
      <c r="X75" s="32"/>
      <c r="Y75" s="33"/>
      <c r="Z75" s="33"/>
      <c r="AA75" s="33"/>
    </row>
    <row r="76" spans="1:27">
      <c r="A76" s="29"/>
      <c r="B76" s="19">
        <f t="shared" si="3"/>
        <v>46327</v>
      </c>
      <c r="C76" s="27">
        <f>I76+J76+K76+L76+M76+N76+O76+P76+IF(Q76="",0,Q76*サマリー!$B$9)+IF(R76="",0,IF(R76=200,サマリー!$B$10,IF(R76=100,サマリー!$B$11,0)))+IF(S76="",0,S76*サマリー!$B$12)</f>
        <v>0</v>
      </c>
      <c r="D76" s="27">
        <f>T76+U76+V76+W76+X76+IF(Y76="",0,Y76*サマリー!$B$9)+IF(Z76="",0,IF(Z76=200,サマリー!$B$10,IF(Z76=100,サマリー!$B$11,0)))+IF(AA76="",0,AA76*サマリー!$B$12)</f>
        <v>0</v>
      </c>
      <c r="E76" s="27">
        <f t="shared" si="2"/>
        <v>0</v>
      </c>
      <c r="I76" s="30"/>
      <c r="J76" s="30"/>
      <c r="K76" s="30"/>
      <c r="L76" s="30"/>
      <c r="M76" s="30"/>
      <c r="N76" s="30"/>
      <c r="O76" s="30"/>
      <c r="P76" s="30"/>
      <c r="Q76" s="31"/>
      <c r="R76" s="31"/>
      <c r="S76" s="31"/>
      <c r="T76" s="32"/>
      <c r="U76" s="32"/>
      <c r="V76" s="32"/>
      <c r="W76" s="32"/>
      <c r="X76" s="32"/>
      <c r="Y76" s="33"/>
      <c r="Z76" s="33"/>
      <c r="AA76" s="33"/>
    </row>
    <row r="77" spans="1:27">
      <c r="A77" s="29"/>
      <c r="B77" s="19">
        <f t="shared" si="3"/>
        <v>46327</v>
      </c>
      <c r="C77" s="27">
        <f>I77+J77+K77+L77+M77+N77+O77+P77+IF(Q77="",0,Q77*サマリー!$B$9)+IF(R77="",0,IF(R77=200,サマリー!$B$10,IF(R77=100,サマリー!$B$11,0)))+IF(S77="",0,S77*サマリー!$B$12)</f>
        <v>0</v>
      </c>
      <c r="D77" s="27">
        <f>T77+U77+V77+W77+X77+IF(Y77="",0,Y77*サマリー!$B$9)+IF(Z77="",0,IF(Z77=200,サマリー!$B$10,IF(Z77=100,サマリー!$B$11,0)))+IF(AA77="",0,AA77*サマリー!$B$12)</f>
        <v>0</v>
      </c>
      <c r="E77" s="27">
        <f t="shared" si="2"/>
        <v>0</v>
      </c>
      <c r="I77" s="30"/>
      <c r="J77" s="30"/>
      <c r="K77" s="30"/>
      <c r="L77" s="30"/>
      <c r="M77" s="30"/>
      <c r="N77" s="30"/>
      <c r="O77" s="30"/>
      <c r="P77" s="30"/>
      <c r="Q77" s="31"/>
      <c r="R77" s="31"/>
      <c r="S77" s="31"/>
      <c r="T77" s="32"/>
      <c r="U77" s="32"/>
      <c r="V77" s="32"/>
      <c r="W77" s="32"/>
      <c r="X77" s="32"/>
      <c r="Y77" s="33"/>
      <c r="Z77" s="33"/>
      <c r="AA77" s="33"/>
    </row>
    <row r="78" spans="1:27">
      <c r="A78" s="29"/>
      <c r="B78" s="19">
        <f t="shared" si="3"/>
        <v>46327</v>
      </c>
      <c r="C78" s="27">
        <f>I78+J78+K78+L78+M78+N78+O78+P78+IF(Q78="",0,Q78*サマリー!$B$9)+IF(R78="",0,IF(R78=200,サマリー!$B$10,IF(R78=100,サマリー!$B$11,0)))+IF(S78="",0,S78*サマリー!$B$12)</f>
        <v>0</v>
      </c>
      <c r="D78" s="27">
        <f>T78+U78+V78+W78+X78+IF(Y78="",0,Y78*サマリー!$B$9)+IF(Z78="",0,IF(Z78=200,サマリー!$B$10,IF(Z78=100,サマリー!$B$11,0)))+IF(AA78="",0,AA78*サマリー!$B$12)</f>
        <v>0</v>
      </c>
      <c r="E78" s="27">
        <f t="shared" si="2"/>
        <v>0</v>
      </c>
      <c r="I78" s="30"/>
      <c r="J78" s="30"/>
      <c r="K78" s="30"/>
      <c r="L78" s="30"/>
      <c r="M78" s="30"/>
      <c r="N78" s="30"/>
      <c r="O78" s="30"/>
      <c r="P78" s="30"/>
      <c r="Q78" s="31"/>
      <c r="R78" s="31"/>
      <c r="S78" s="31"/>
      <c r="T78" s="32"/>
      <c r="U78" s="32"/>
      <c r="V78" s="32"/>
      <c r="W78" s="32"/>
      <c r="X78" s="32"/>
      <c r="Y78" s="33"/>
      <c r="Z78" s="33"/>
      <c r="AA78" s="33"/>
    </row>
    <row r="79" spans="1:27">
      <c r="A79" s="29"/>
      <c r="B79" s="19">
        <f t="shared" si="3"/>
        <v>46327</v>
      </c>
      <c r="C79" s="27">
        <f>I79+J79+K79+L79+M79+N79+O79+P79+IF(Q79="",0,Q79*サマリー!$B$9)+IF(R79="",0,IF(R79=200,サマリー!$B$10,IF(R79=100,サマリー!$B$11,0)))+IF(S79="",0,S79*サマリー!$B$12)</f>
        <v>0</v>
      </c>
      <c r="D79" s="27">
        <f>T79+U79+V79+W79+X79+IF(Y79="",0,Y79*サマリー!$B$9)+IF(Z79="",0,IF(Z79=200,サマリー!$B$10,IF(Z79=100,サマリー!$B$11,0)))+IF(AA79="",0,AA79*サマリー!$B$12)</f>
        <v>0</v>
      </c>
      <c r="E79" s="27">
        <f t="shared" si="2"/>
        <v>0</v>
      </c>
      <c r="I79" s="30"/>
      <c r="J79" s="30"/>
      <c r="K79" s="30"/>
      <c r="L79" s="30"/>
      <c r="M79" s="30"/>
      <c r="N79" s="30"/>
      <c r="O79" s="30"/>
      <c r="P79" s="30"/>
      <c r="Q79" s="31"/>
      <c r="R79" s="31"/>
      <c r="S79" s="31"/>
      <c r="T79" s="32"/>
      <c r="U79" s="32"/>
      <c r="V79" s="32"/>
      <c r="W79" s="32"/>
      <c r="X79" s="32"/>
      <c r="Y79" s="33"/>
      <c r="Z79" s="33"/>
      <c r="AA79" s="33"/>
    </row>
    <row r="80" spans="1:27">
      <c r="A80" s="29"/>
      <c r="B80" s="19">
        <f t="shared" si="3"/>
        <v>46327</v>
      </c>
      <c r="C80" s="27">
        <f>I80+J80+K80+L80+M80+N80+O80+P80+IF(Q80="",0,Q80*サマリー!$B$9)+IF(R80="",0,IF(R80=200,サマリー!$B$10,IF(R80=100,サマリー!$B$11,0)))+IF(S80="",0,S80*サマリー!$B$12)</f>
        <v>0</v>
      </c>
      <c r="D80" s="27">
        <f>T80+U80+V80+W80+X80+IF(Y80="",0,Y80*サマリー!$B$9)+IF(Z80="",0,IF(Z80=200,サマリー!$B$10,IF(Z80=100,サマリー!$B$11,0)))+IF(AA80="",0,AA80*サマリー!$B$12)</f>
        <v>0</v>
      </c>
      <c r="E80" s="27">
        <f t="shared" si="2"/>
        <v>0</v>
      </c>
      <c r="I80" s="30"/>
      <c r="J80" s="30"/>
      <c r="K80" s="30"/>
      <c r="L80" s="30"/>
      <c r="M80" s="30"/>
      <c r="N80" s="30"/>
      <c r="O80" s="30"/>
      <c r="P80" s="30"/>
      <c r="Q80" s="31"/>
      <c r="R80" s="31"/>
      <c r="S80" s="31"/>
      <c r="T80" s="32"/>
      <c r="U80" s="32"/>
      <c r="V80" s="32"/>
      <c r="W80" s="32"/>
      <c r="X80" s="32"/>
      <c r="Y80" s="33"/>
      <c r="Z80" s="33"/>
      <c r="AA80" s="33"/>
    </row>
    <row r="81" spans="1:27">
      <c r="A81" s="29"/>
      <c r="B81" s="19">
        <f t="shared" si="3"/>
        <v>46327</v>
      </c>
      <c r="C81" s="27">
        <f>I81+J81+K81+L81+M81+N81+O81+P81+IF(Q81="",0,Q81*サマリー!$B$9)+IF(R81="",0,IF(R81=200,サマリー!$B$10,IF(R81=100,サマリー!$B$11,0)))+IF(S81="",0,S81*サマリー!$B$12)</f>
        <v>0</v>
      </c>
      <c r="D81" s="27">
        <f>T81+U81+V81+W81+X81+IF(Y81="",0,Y81*サマリー!$B$9)+IF(Z81="",0,IF(Z81=200,サマリー!$B$10,IF(Z81=100,サマリー!$B$11,0)))+IF(AA81="",0,AA81*サマリー!$B$12)</f>
        <v>0</v>
      </c>
      <c r="E81" s="27">
        <f t="shared" si="2"/>
        <v>0</v>
      </c>
      <c r="I81" s="30"/>
      <c r="J81" s="30"/>
      <c r="K81" s="30"/>
      <c r="L81" s="30"/>
      <c r="M81" s="30"/>
      <c r="N81" s="30"/>
      <c r="O81" s="30"/>
      <c r="P81" s="30"/>
      <c r="Q81" s="31"/>
      <c r="R81" s="31"/>
      <c r="S81" s="31"/>
      <c r="T81" s="32"/>
      <c r="U81" s="32"/>
      <c r="V81" s="32"/>
      <c r="W81" s="32"/>
      <c r="X81" s="32"/>
      <c r="Y81" s="33"/>
      <c r="Z81" s="33"/>
      <c r="AA81" s="33"/>
    </row>
    <row r="82" spans="1:27">
      <c r="A82" s="29"/>
      <c r="B82" s="19">
        <f t="shared" si="3"/>
        <v>46327</v>
      </c>
      <c r="C82" s="27">
        <f>I82+J82+K82+L82+M82+N82+O82+P82+IF(Q82="",0,Q82*サマリー!$B$9)+IF(R82="",0,IF(R82=200,サマリー!$B$10,IF(R82=100,サマリー!$B$11,0)))+IF(S82="",0,S82*サマリー!$B$12)</f>
        <v>0</v>
      </c>
      <c r="D82" s="27">
        <f>T82+U82+V82+W82+X82+IF(Y82="",0,Y82*サマリー!$B$9)+IF(Z82="",0,IF(Z82=200,サマリー!$B$10,IF(Z82=100,サマリー!$B$11,0)))+IF(AA82="",0,AA82*サマリー!$B$12)</f>
        <v>0</v>
      </c>
      <c r="E82" s="27">
        <f t="shared" si="2"/>
        <v>0</v>
      </c>
      <c r="I82" s="30"/>
      <c r="J82" s="30"/>
      <c r="K82" s="30"/>
      <c r="L82" s="30"/>
      <c r="M82" s="30"/>
      <c r="N82" s="30"/>
      <c r="O82" s="30"/>
      <c r="P82" s="30"/>
      <c r="Q82" s="31"/>
      <c r="R82" s="31"/>
      <c r="S82" s="31"/>
      <c r="T82" s="32"/>
      <c r="U82" s="32"/>
      <c r="V82" s="32"/>
      <c r="W82" s="32"/>
      <c r="X82" s="32"/>
      <c r="Y82" s="33"/>
      <c r="Z82" s="33"/>
      <c r="AA82" s="33"/>
    </row>
    <row r="83" spans="1:27">
      <c r="A83" s="29"/>
      <c r="B83" s="19">
        <f t="shared" si="3"/>
        <v>46327</v>
      </c>
      <c r="C83" s="27">
        <f>I83+J83+K83+L83+M83+N83+O83+P83+IF(Q83="",0,Q83*サマリー!$B$9)+IF(R83="",0,IF(R83=200,サマリー!$B$10,IF(R83=100,サマリー!$B$11,0)))+IF(S83="",0,S83*サマリー!$B$12)</f>
        <v>0</v>
      </c>
      <c r="D83" s="27">
        <f>T83+U83+V83+W83+X83+IF(Y83="",0,Y83*サマリー!$B$9)+IF(Z83="",0,IF(Z83=200,サマリー!$B$10,IF(Z83=100,サマリー!$B$11,0)))+IF(AA83="",0,AA83*サマリー!$B$12)</f>
        <v>0</v>
      </c>
      <c r="E83" s="27">
        <f t="shared" si="2"/>
        <v>0</v>
      </c>
      <c r="I83" s="30"/>
      <c r="J83" s="30"/>
      <c r="K83" s="30"/>
      <c r="L83" s="30"/>
      <c r="M83" s="30"/>
      <c r="N83" s="30"/>
      <c r="O83" s="30"/>
      <c r="P83" s="30"/>
      <c r="Q83" s="31"/>
      <c r="R83" s="31"/>
      <c r="S83" s="31"/>
      <c r="T83" s="32"/>
      <c r="U83" s="32"/>
      <c r="V83" s="32"/>
      <c r="W83" s="32"/>
      <c r="X83" s="32"/>
      <c r="Y83" s="33"/>
      <c r="Z83" s="33"/>
      <c r="AA83" s="33"/>
    </row>
    <row r="84" spans="1:27">
      <c r="A84" s="29"/>
      <c r="B84" s="19">
        <f t="shared" si="3"/>
        <v>46327</v>
      </c>
      <c r="C84" s="27">
        <f>I84+J84+K84+L84+M84+N84+O84+P84+IF(Q84="",0,Q84*サマリー!$B$9)+IF(R84="",0,IF(R84=200,サマリー!$B$10,IF(R84=100,サマリー!$B$11,0)))+IF(S84="",0,S84*サマリー!$B$12)</f>
        <v>0</v>
      </c>
      <c r="D84" s="27">
        <f>T84+U84+V84+W84+X84+IF(Y84="",0,Y84*サマリー!$B$9)+IF(Z84="",0,IF(Z84=200,サマリー!$B$10,IF(Z84=100,サマリー!$B$11,0)))+IF(AA84="",0,AA84*サマリー!$B$12)</f>
        <v>0</v>
      </c>
      <c r="E84" s="27">
        <f t="shared" si="2"/>
        <v>0</v>
      </c>
      <c r="I84" s="30"/>
      <c r="J84" s="30"/>
      <c r="K84" s="30"/>
      <c r="L84" s="30"/>
      <c r="M84" s="30"/>
      <c r="N84" s="30"/>
      <c r="O84" s="30"/>
      <c r="P84" s="30"/>
      <c r="Q84" s="31"/>
      <c r="R84" s="31"/>
      <c r="S84" s="31"/>
      <c r="T84" s="32"/>
      <c r="U84" s="32"/>
      <c r="V84" s="32"/>
      <c r="W84" s="32"/>
      <c r="X84" s="32"/>
      <c r="Y84" s="33"/>
      <c r="Z84" s="33"/>
      <c r="AA84" s="33"/>
    </row>
    <row r="85" spans="1:27">
      <c r="A85" s="29"/>
      <c r="B85" s="19">
        <f t="shared" si="3"/>
        <v>46327</v>
      </c>
      <c r="C85" s="27">
        <f>I85+J85+K85+L85+M85+N85+O85+P85+IF(Q85="",0,Q85*サマリー!$B$9)+IF(R85="",0,IF(R85=200,サマリー!$B$10,IF(R85=100,サマリー!$B$11,0)))+IF(S85="",0,S85*サマリー!$B$12)</f>
        <v>0</v>
      </c>
      <c r="D85" s="27">
        <f>T85+U85+V85+W85+X85+IF(Y85="",0,Y85*サマリー!$B$9)+IF(Z85="",0,IF(Z85=200,サマリー!$B$10,IF(Z85=100,サマリー!$B$11,0)))+IF(AA85="",0,AA85*サマリー!$B$12)</f>
        <v>0</v>
      </c>
      <c r="E85" s="27">
        <f t="shared" si="2"/>
        <v>0</v>
      </c>
      <c r="I85" s="30"/>
      <c r="J85" s="30"/>
      <c r="K85" s="30"/>
      <c r="L85" s="30"/>
      <c r="M85" s="30"/>
      <c r="N85" s="30"/>
      <c r="O85" s="30"/>
      <c r="P85" s="30"/>
      <c r="Q85" s="31"/>
      <c r="R85" s="31"/>
      <c r="S85" s="31"/>
      <c r="T85" s="32"/>
      <c r="U85" s="32"/>
      <c r="V85" s="32"/>
      <c r="W85" s="32"/>
      <c r="X85" s="32"/>
      <c r="Y85" s="33"/>
      <c r="Z85" s="33"/>
      <c r="AA85" s="33"/>
    </row>
    <row r="86" spans="1:27">
      <c r="A86" s="29"/>
      <c r="B86" s="19">
        <f t="shared" si="3"/>
        <v>46327</v>
      </c>
      <c r="C86" s="27">
        <f>I86+J86+K86+L86+M86+N86+O86+P86+IF(Q86="",0,Q86*サマリー!$B$9)+IF(R86="",0,IF(R86=200,サマリー!$B$10,IF(R86=100,サマリー!$B$11,0)))+IF(S86="",0,S86*サマリー!$B$12)</f>
        <v>0</v>
      </c>
      <c r="D86" s="27">
        <f>T86+U86+V86+W86+X86+IF(Y86="",0,Y86*サマリー!$B$9)+IF(Z86="",0,IF(Z86=200,サマリー!$B$10,IF(Z86=100,サマリー!$B$11,0)))+IF(AA86="",0,AA86*サマリー!$B$12)</f>
        <v>0</v>
      </c>
      <c r="E86" s="27">
        <f t="shared" si="2"/>
        <v>0</v>
      </c>
      <c r="I86" s="30"/>
      <c r="J86" s="30"/>
      <c r="K86" s="30"/>
      <c r="L86" s="30"/>
      <c r="M86" s="30"/>
      <c r="N86" s="30"/>
      <c r="O86" s="30"/>
      <c r="P86" s="30"/>
      <c r="Q86" s="31"/>
      <c r="R86" s="31"/>
      <c r="S86" s="31"/>
      <c r="T86" s="32"/>
      <c r="U86" s="32"/>
      <c r="V86" s="32"/>
      <c r="W86" s="32"/>
      <c r="X86" s="32"/>
      <c r="Y86" s="33"/>
      <c r="Z86" s="33"/>
      <c r="AA86" s="33"/>
    </row>
    <row r="87" spans="1:27">
      <c r="A87" s="29"/>
      <c r="B87" s="19">
        <f t="shared" si="3"/>
        <v>46327</v>
      </c>
      <c r="C87" s="27">
        <f>I87+J87+K87+L87+M87+N87+O87+P87+IF(Q87="",0,Q87*サマリー!$B$9)+IF(R87="",0,IF(R87=200,サマリー!$B$10,IF(R87=100,サマリー!$B$11,0)))+IF(S87="",0,S87*サマリー!$B$12)</f>
        <v>0</v>
      </c>
      <c r="D87" s="27">
        <f>T87+U87+V87+W87+X87+IF(Y87="",0,Y87*サマリー!$B$9)+IF(Z87="",0,IF(Z87=200,サマリー!$B$10,IF(Z87=100,サマリー!$B$11,0)))+IF(AA87="",0,AA87*サマリー!$B$12)</f>
        <v>0</v>
      </c>
      <c r="E87" s="27">
        <f t="shared" si="2"/>
        <v>0</v>
      </c>
      <c r="I87" s="30"/>
      <c r="J87" s="30"/>
      <c r="K87" s="30"/>
      <c r="L87" s="30"/>
      <c r="M87" s="30"/>
      <c r="N87" s="30"/>
      <c r="O87" s="30"/>
      <c r="P87" s="30"/>
      <c r="Q87" s="31"/>
      <c r="R87" s="31"/>
      <c r="S87" s="31"/>
      <c r="T87" s="32"/>
      <c r="U87" s="32"/>
      <c r="V87" s="32"/>
      <c r="W87" s="32"/>
      <c r="X87" s="32"/>
      <c r="Y87" s="33"/>
      <c r="Z87" s="33"/>
      <c r="AA87" s="33"/>
    </row>
    <row r="88" spans="1:27">
      <c r="A88" s="29"/>
      <c r="B88" s="19">
        <f t="shared" si="3"/>
        <v>46327</v>
      </c>
      <c r="C88" s="27">
        <f>I88+J88+K88+L88+M88+N88+O88+P88+IF(Q88="",0,Q88*サマリー!$B$9)+IF(R88="",0,IF(R88=200,サマリー!$B$10,IF(R88=100,サマリー!$B$11,0)))+IF(S88="",0,S88*サマリー!$B$12)</f>
        <v>0</v>
      </c>
      <c r="D88" s="27">
        <f>T88+U88+V88+W88+X88+IF(Y88="",0,Y88*サマリー!$B$9)+IF(Z88="",0,IF(Z88=200,サマリー!$B$10,IF(Z88=100,サマリー!$B$11,0)))+IF(AA88="",0,AA88*サマリー!$B$12)</f>
        <v>0</v>
      </c>
      <c r="E88" s="27">
        <f t="shared" si="2"/>
        <v>0</v>
      </c>
      <c r="I88" s="30"/>
      <c r="J88" s="30"/>
      <c r="K88" s="30"/>
      <c r="L88" s="30"/>
      <c r="M88" s="30"/>
      <c r="N88" s="30"/>
      <c r="O88" s="30"/>
      <c r="P88" s="30"/>
      <c r="Q88" s="31"/>
      <c r="R88" s="31"/>
      <c r="S88" s="31"/>
      <c r="T88" s="32"/>
      <c r="U88" s="32"/>
      <c r="V88" s="32"/>
      <c r="W88" s="32"/>
      <c r="X88" s="32"/>
      <c r="Y88" s="33"/>
      <c r="Z88" s="33"/>
      <c r="AA88" s="33"/>
    </row>
    <row r="89" spans="1:27">
      <c r="A89" s="29"/>
      <c r="B89" s="19">
        <f t="shared" si="3"/>
        <v>46327</v>
      </c>
      <c r="C89" s="27">
        <f>I89+J89+K89+L89+M89+N89+O89+P89+IF(Q89="",0,Q89*サマリー!$B$9)+IF(R89="",0,IF(R89=200,サマリー!$B$10,IF(R89=100,サマリー!$B$11,0)))+IF(S89="",0,S89*サマリー!$B$12)</f>
        <v>0</v>
      </c>
      <c r="D89" s="27">
        <f>T89+U89+V89+W89+X89+IF(Y89="",0,Y89*サマリー!$B$9)+IF(Z89="",0,IF(Z89=200,サマリー!$B$10,IF(Z89=100,サマリー!$B$11,0)))+IF(AA89="",0,AA89*サマリー!$B$12)</f>
        <v>0</v>
      </c>
      <c r="E89" s="27">
        <f t="shared" si="2"/>
        <v>0</v>
      </c>
      <c r="I89" s="30"/>
      <c r="J89" s="30"/>
      <c r="K89" s="30"/>
      <c r="L89" s="30"/>
      <c r="M89" s="30"/>
      <c r="N89" s="30"/>
      <c r="O89" s="30"/>
      <c r="P89" s="30"/>
      <c r="Q89" s="31"/>
      <c r="R89" s="31"/>
      <c r="S89" s="31"/>
      <c r="T89" s="32"/>
      <c r="U89" s="32"/>
      <c r="V89" s="32"/>
      <c r="W89" s="32"/>
      <c r="X89" s="32"/>
      <c r="Y89" s="33"/>
      <c r="Z89" s="33"/>
      <c r="AA89" s="33"/>
    </row>
    <row r="90" spans="1:27">
      <c r="A90" s="29"/>
      <c r="B90" s="19">
        <f t="shared" si="3"/>
        <v>46327</v>
      </c>
      <c r="C90" s="27">
        <f>I90+J90+K90+L90+M90+N90+O90+P90+IF(Q90="",0,Q90*サマリー!$B$9)+IF(R90="",0,IF(R90=200,サマリー!$B$10,IF(R90=100,サマリー!$B$11,0)))+IF(S90="",0,S90*サマリー!$B$12)</f>
        <v>0</v>
      </c>
      <c r="D90" s="27">
        <f>T90+U90+V90+W90+X90+IF(Y90="",0,Y90*サマリー!$B$9)+IF(Z90="",0,IF(Z90=200,サマリー!$B$10,IF(Z90=100,サマリー!$B$11,0)))+IF(AA90="",0,AA90*サマリー!$B$12)</f>
        <v>0</v>
      </c>
      <c r="E90" s="27">
        <f t="shared" si="2"/>
        <v>0</v>
      </c>
      <c r="I90" s="30"/>
      <c r="J90" s="30"/>
      <c r="K90" s="30"/>
      <c r="L90" s="30"/>
      <c r="M90" s="30"/>
      <c r="N90" s="30"/>
      <c r="O90" s="30"/>
      <c r="P90" s="30"/>
      <c r="Q90" s="31"/>
      <c r="R90" s="31"/>
      <c r="S90" s="31"/>
      <c r="T90" s="32"/>
      <c r="U90" s="32"/>
      <c r="V90" s="32"/>
      <c r="W90" s="32"/>
      <c r="X90" s="32"/>
      <c r="Y90" s="33"/>
      <c r="Z90" s="33"/>
      <c r="AA90" s="33"/>
    </row>
    <row r="91" spans="1:27">
      <c r="A91" s="29"/>
      <c r="B91" s="19">
        <f t="shared" si="3"/>
        <v>46327</v>
      </c>
      <c r="C91" s="27">
        <f>I91+J91+K91+L91+M91+N91+O91+P91+IF(Q91="",0,Q91*サマリー!$B$9)+IF(R91="",0,IF(R91=200,サマリー!$B$10,IF(R91=100,サマリー!$B$11,0)))+IF(S91="",0,S91*サマリー!$B$12)</f>
        <v>0</v>
      </c>
      <c r="D91" s="27">
        <f>T91+U91+V91+W91+X91+IF(Y91="",0,Y91*サマリー!$B$9)+IF(Z91="",0,IF(Z91=200,サマリー!$B$10,IF(Z91=100,サマリー!$B$11,0)))+IF(AA91="",0,AA91*サマリー!$B$12)</f>
        <v>0</v>
      </c>
      <c r="E91" s="27">
        <f t="shared" si="2"/>
        <v>0</v>
      </c>
      <c r="I91" s="30"/>
      <c r="J91" s="30"/>
      <c r="K91" s="30"/>
      <c r="L91" s="30"/>
      <c r="M91" s="30"/>
      <c r="N91" s="30"/>
      <c r="O91" s="30"/>
      <c r="P91" s="30"/>
      <c r="Q91" s="31"/>
      <c r="R91" s="31"/>
      <c r="S91" s="31"/>
      <c r="T91" s="32"/>
      <c r="U91" s="32"/>
      <c r="V91" s="32"/>
      <c r="W91" s="32"/>
      <c r="X91" s="32"/>
      <c r="Y91" s="33"/>
      <c r="Z91" s="33"/>
      <c r="AA91" s="33"/>
    </row>
    <row r="92" spans="1:27">
      <c r="A92" s="29"/>
      <c r="B92" s="19">
        <f t="shared" si="3"/>
        <v>46327</v>
      </c>
      <c r="C92" s="27">
        <f>I92+J92+K92+L92+M92+N92+O92+P92+IF(Q92="",0,Q92*サマリー!$B$9)+IF(R92="",0,IF(R92=200,サマリー!$B$10,IF(R92=100,サマリー!$B$11,0)))+IF(S92="",0,S92*サマリー!$B$12)</f>
        <v>0</v>
      </c>
      <c r="D92" s="27">
        <f>T92+U92+V92+W92+X92+IF(Y92="",0,Y92*サマリー!$B$9)+IF(Z92="",0,IF(Z92=200,サマリー!$B$10,IF(Z92=100,サマリー!$B$11,0)))+IF(AA92="",0,AA92*サマリー!$B$12)</f>
        <v>0</v>
      </c>
      <c r="E92" s="27">
        <f t="shared" si="2"/>
        <v>0</v>
      </c>
      <c r="I92" s="30"/>
      <c r="J92" s="30"/>
      <c r="K92" s="30"/>
      <c r="L92" s="30"/>
      <c r="M92" s="30"/>
      <c r="N92" s="30"/>
      <c r="O92" s="30"/>
      <c r="P92" s="30"/>
      <c r="Q92" s="31"/>
      <c r="R92" s="31"/>
      <c r="S92" s="31"/>
      <c r="T92" s="32"/>
      <c r="U92" s="32"/>
      <c r="V92" s="32"/>
      <c r="W92" s="32"/>
      <c r="X92" s="32"/>
      <c r="Y92" s="33"/>
      <c r="Z92" s="33"/>
      <c r="AA92" s="33"/>
    </row>
    <row r="93" spans="1:27">
      <c r="A93" s="29"/>
      <c r="B93" s="19">
        <f t="shared" si="3"/>
        <v>46327</v>
      </c>
      <c r="C93" s="27">
        <f>I93+J93+K93+L93+M93+N93+O93+P93+IF(Q93="",0,Q93*サマリー!$B$9)+IF(R93="",0,IF(R93=200,サマリー!$B$10,IF(R93=100,サマリー!$B$11,0)))+IF(S93="",0,S93*サマリー!$B$12)</f>
        <v>0</v>
      </c>
      <c r="D93" s="27">
        <f>T93+U93+V93+W93+X93+IF(Y93="",0,Y93*サマリー!$B$9)+IF(Z93="",0,IF(Z93=200,サマリー!$B$10,IF(Z93=100,サマリー!$B$11,0)))+IF(AA93="",0,AA93*サマリー!$B$12)</f>
        <v>0</v>
      </c>
      <c r="E93" s="27">
        <f t="shared" si="2"/>
        <v>0</v>
      </c>
      <c r="I93" s="30"/>
      <c r="J93" s="30"/>
      <c r="K93" s="30"/>
      <c r="L93" s="30"/>
      <c r="M93" s="30"/>
      <c r="N93" s="30"/>
      <c r="O93" s="30"/>
      <c r="P93" s="30"/>
      <c r="Q93" s="31"/>
      <c r="R93" s="31"/>
      <c r="S93" s="31"/>
      <c r="T93" s="32"/>
      <c r="U93" s="32"/>
      <c r="V93" s="32"/>
      <c r="W93" s="32"/>
      <c r="X93" s="32"/>
      <c r="Y93" s="33"/>
      <c r="Z93" s="33"/>
      <c r="AA93" s="33"/>
    </row>
    <row r="94" spans="1:27">
      <c r="A94" s="29"/>
      <c r="B94" s="19">
        <f t="shared" si="3"/>
        <v>46327</v>
      </c>
      <c r="C94" s="27">
        <f>I94+J94+K94+L94+M94+N94+O94+P94+IF(Q94="",0,Q94*サマリー!$B$9)+IF(R94="",0,IF(R94=200,サマリー!$B$10,IF(R94=100,サマリー!$B$11,0)))+IF(S94="",0,S94*サマリー!$B$12)</f>
        <v>0</v>
      </c>
      <c r="D94" s="27">
        <f>T94+U94+V94+W94+X94+IF(Y94="",0,Y94*サマリー!$B$9)+IF(Z94="",0,IF(Z94=200,サマリー!$B$10,IF(Z94=100,サマリー!$B$11,0)))+IF(AA94="",0,AA94*サマリー!$B$12)</f>
        <v>0</v>
      </c>
      <c r="E94" s="27">
        <f t="shared" si="2"/>
        <v>0</v>
      </c>
      <c r="I94" s="30"/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2"/>
      <c r="U94" s="32"/>
      <c r="V94" s="32"/>
      <c r="W94" s="32"/>
      <c r="X94" s="32"/>
      <c r="Y94" s="33"/>
      <c r="Z94" s="33"/>
      <c r="AA94" s="33"/>
    </row>
    <row r="95" spans="1:27">
      <c r="A95" s="29"/>
      <c r="B95" s="19">
        <f t="shared" si="3"/>
        <v>46327</v>
      </c>
      <c r="C95" s="27">
        <f>I95+J95+K95+L95+M95+N95+O95+P95+IF(Q95="",0,Q95*サマリー!$B$9)+IF(R95="",0,IF(R95=200,サマリー!$B$10,IF(R95=100,サマリー!$B$11,0)))+IF(S95="",0,S95*サマリー!$B$12)</f>
        <v>0</v>
      </c>
      <c r="D95" s="27">
        <f>T95+U95+V95+W95+X95+IF(Y95="",0,Y95*サマリー!$B$9)+IF(Z95="",0,IF(Z95=200,サマリー!$B$10,IF(Z95=100,サマリー!$B$11,0)))+IF(AA95="",0,AA95*サマリー!$B$12)</f>
        <v>0</v>
      </c>
      <c r="E95" s="27">
        <f t="shared" si="2"/>
        <v>0</v>
      </c>
      <c r="I95" s="30"/>
      <c r="J95" s="30"/>
      <c r="K95" s="30"/>
      <c r="L95" s="30"/>
      <c r="M95" s="30"/>
      <c r="N95" s="30"/>
      <c r="O95" s="30"/>
      <c r="P95" s="30"/>
      <c r="Q95" s="31"/>
      <c r="R95" s="31"/>
      <c r="S95" s="31"/>
      <c r="T95" s="32"/>
      <c r="U95" s="32"/>
      <c r="V95" s="32"/>
      <c r="W95" s="32"/>
      <c r="X95" s="32"/>
      <c r="Y95" s="33"/>
      <c r="Z95" s="33"/>
      <c r="AA95" s="33"/>
    </row>
    <row r="96" spans="1:27">
      <c r="A96" s="29"/>
      <c r="B96" s="19">
        <f t="shared" si="3"/>
        <v>46327</v>
      </c>
      <c r="C96" s="27">
        <f>I96+J96+K96+L96+M96+N96+O96+P96+IF(Q96="",0,Q96*サマリー!$B$9)+IF(R96="",0,IF(R96=200,サマリー!$B$10,IF(R96=100,サマリー!$B$11,0)))+IF(S96="",0,S96*サマリー!$B$12)</f>
        <v>0</v>
      </c>
      <c r="D96" s="27">
        <f>T96+U96+V96+W96+X96+IF(Y96="",0,Y96*サマリー!$B$9)+IF(Z96="",0,IF(Z96=200,サマリー!$B$10,IF(Z96=100,サマリー!$B$11,0)))+IF(AA96="",0,AA96*サマリー!$B$12)</f>
        <v>0</v>
      </c>
      <c r="E96" s="27">
        <f t="shared" si="2"/>
        <v>0</v>
      </c>
      <c r="I96" s="30"/>
      <c r="J96" s="30"/>
      <c r="K96" s="30"/>
      <c r="L96" s="30"/>
      <c r="M96" s="30"/>
      <c r="N96" s="30"/>
      <c r="O96" s="30"/>
      <c r="P96" s="30"/>
      <c r="Q96" s="31"/>
      <c r="R96" s="31"/>
      <c r="S96" s="31"/>
      <c r="T96" s="32"/>
      <c r="U96" s="32"/>
      <c r="V96" s="32"/>
      <c r="W96" s="32"/>
      <c r="X96" s="32"/>
      <c r="Y96" s="33"/>
      <c r="Z96" s="33"/>
      <c r="AA96" s="33"/>
    </row>
    <row r="97" spans="1:27">
      <c r="A97" s="29"/>
      <c r="B97" s="19">
        <f t="shared" si="3"/>
        <v>46327</v>
      </c>
      <c r="C97" s="27">
        <f>I97+J97+K97+L97+M97+N97+O97+P97+IF(Q97="",0,Q97*サマリー!$B$9)+IF(R97="",0,IF(R97=200,サマリー!$B$10,IF(R97=100,サマリー!$B$11,0)))+IF(S97="",0,S97*サマリー!$B$12)</f>
        <v>0</v>
      </c>
      <c r="D97" s="27">
        <f>T97+U97+V97+W97+X97+IF(Y97="",0,Y97*サマリー!$B$9)+IF(Z97="",0,IF(Z97=200,サマリー!$B$10,IF(Z97=100,サマリー!$B$11,0)))+IF(AA97="",0,AA97*サマリー!$B$12)</f>
        <v>0</v>
      </c>
      <c r="E97" s="27">
        <f t="shared" si="2"/>
        <v>0</v>
      </c>
      <c r="I97" s="30"/>
      <c r="J97" s="30"/>
      <c r="K97" s="30"/>
      <c r="L97" s="30"/>
      <c r="M97" s="30"/>
      <c r="N97" s="30"/>
      <c r="O97" s="30"/>
      <c r="P97" s="30"/>
      <c r="Q97" s="31"/>
      <c r="R97" s="31"/>
      <c r="S97" s="31"/>
      <c r="T97" s="32"/>
      <c r="U97" s="32"/>
      <c r="V97" s="32"/>
      <c r="W97" s="32"/>
      <c r="X97" s="32"/>
      <c r="Y97" s="33"/>
      <c r="Z97" s="33"/>
      <c r="AA97" s="33"/>
    </row>
    <row r="98" spans="1:27">
      <c r="A98" s="29"/>
      <c r="B98" s="19">
        <f t="shared" si="3"/>
        <v>46327</v>
      </c>
      <c r="C98" s="27">
        <f>I98+J98+K98+L98+M98+N98+O98+P98+IF(Q98="",0,Q98*サマリー!$B$9)+IF(R98="",0,IF(R98=200,サマリー!$B$10,IF(R98=100,サマリー!$B$11,0)))+IF(S98="",0,S98*サマリー!$B$12)</f>
        <v>0</v>
      </c>
      <c r="D98" s="27">
        <f>T98+U98+V98+W98+X98+IF(Y98="",0,Y98*サマリー!$B$9)+IF(Z98="",0,IF(Z98=200,サマリー!$B$10,IF(Z98=100,サマリー!$B$11,0)))+IF(AA98="",0,AA98*サマリー!$B$12)</f>
        <v>0</v>
      </c>
      <c r="E98" s="27">
        <f t="shared" si="2"/>
        <v>0</v>
      </c>
      <c r="I98" s="30"/>
      <c r="J98" s="30"/>
      <c r="K98" s="30"/>
      <c r="L98" s="30"/>
      <c r="M98" s="30"/>
      <c r="N98" s="30"/>
      <c r="O98" s="30"/>
      <c r="P98" s="30"/>
      <c r="Q98" s="31"/>
      <c r="R98" s="31"/>
      <c r="S98" s="31"/>
      <c r="T98" s="32"/>
      <c r="U98" s="32"/>
      <c r="V98" s="32"/>
      <c r="W98" s="32"/>
      <c r="X98" s="32"/>
      <c r="Y98" s="33"/>
      <c r="Z98" s="33"/>
      <c r="AA98" s="33"/>
    </row>
    <row r="99" spans="1:27">
      <c r="A99" s="29"/>
      <c r="B99" s="19">
        <f t="shared" si="3"/>
        <v>46327</v>
      </c>
      <c r="C99" s="27">
        <f>I99+J99+K99+L99+M99+N99+O99+P99+IF(Q99="",0,Q99*サマリー!$B$9)+IF(R99="",0,IF(R99=200,サマリー!$B$10,IF(R99=100,サマリー!$B$11,0)))+IF(S99="",0,S99*サマリー!$B$12)</f>
        <v>0</v>
      </c>
      <c r="D99" s="27">
        <f>T99+U99+V99+W99+X99+IF(Y99="",0,Y99*サマリー!$B$9)+IF(Z99="",0,IF(Z99=200,サマリー!$B$10,IF(Z99=100,サマリー!$B$11,0)))+IF(AA99="",0,AA99*サマリー!$B$12)</f>
        <v>0</v>
      </c>
      <c r="E99" s="27">
        <f t="shared" si="2"/>
        <v>0</v>
      </c>
      <c r="I99" s="30"/>
      <c r="J99" s="30"/>
      <c r="K99" s="30"/>
      <c r="L99" s="30"/>
      <c r="M99" s="30"/>
      <c r="N99" s="30"/>
      <c r="O99" s="30"/>
      <c r="P99" s="30"/>
      <c r="Q99" s="31"/>
      <c r="R99" s="31"/>
      <c r="S99" s="31"/>
      <c r="T99" s="32"/>
      <c r="U99" s="32"/>
      <c r="V99" s="32"/>
      <c r="W99" s="32"/>
      <c r="X99" s="32"/>
      <c r="Y99" s="33"/>
      <c r="Z99" s="33"/>
      <c r="AA99" s="33"/>
    </row>
    <row r="100" spans="1:27">
      <c r="A100" s="29"/>
      <c r="B100" s="19">
        <f t="shared" si="3"/>
        <v>46327</v>
      </c>
      <c r="C100" s="27">
        <f>I100+J100+K100+L100+M100+N100+O100+P100+IF(Q100="",0,Q100*サマリー!$B$9)+IF(R100="",0,IF(R100=200,サマリー!$B$10,IF(R100=100,サマリー!$B$11,0)))+IF(S100="",0,S100*サマリー!$B$12)</f>
        <v>0</v>
      </c>
      <c r="D100" s="27">
        <f>T100+U100+V100+W100+X100+IF(Y100="",0,Y100*サマリー!$B$9)+IF(Z100="",0,IF(Z100=200,サマリー!$B$10,IF(Z100=100,サマリー!$B$11,0)))+IF(AA100="",0,AA100*サマリー!$B$12)</f>
        <v>0</v>
      </c>
      <c r="E100" s="27">
        <f t="shared" si="2"/>
        <v>0</v>
      </c>
      <c r="I100" s="30"/>
      <c r="J100" s="30"/>
      <c r="K100" s="30"/>
      <c r="L100" s="30"/>
      <c r="M100" s="30"/>
      <c r="N100" s="30"/>
      <c r="O100" s="30"/>
      <c r="P100" s="30"/>
      <c r="Q100" s="31"/>
      <c r="R100" s="31"/>
      <c r="S100" s="31"/>
      <c r="T100" s="32"/>
      <c r="U100" s="32"/>
      <c r="V100" s="32"/>
      <c r="W100" s="32"/>
      <c r="X100" s="32"/>
      <c r="Y100" s="33"/>
      <c r="Z100" s="33"/>
      <c r="AA100" s="33"/>
    </row>
    <row r="101" spans="1:27">
      <c r="A101" s="29"/>
      <c r="B101" s="19">
        <f t="shared" si="3"/>
        <v>46327</v>
      </c>
      <c r="C101" s="27">
        <f>I101+J101+K101+L101+M101+N101+O101+P101+IF(Q101="",0,Q101*サマリー!$B$9)+IF(R101="",0,IF(R101=200,サマリー!$B$10,IF(R101=100,サマリー!$B$11,0)))+IF(S101="",0,S101*サマリー!$B$12)</f>
        <v>0</v>
      </c>
      <c r="D101" s="27">
        <f>T101+U101+V101+W101+X101+IF(Y101="",0,Y101*サマリー!$B$9)+IF(Z101="",0,IF(Z101=200,サマリー!$B$10,IF(Z101=100,サマリー!$B$11,0)))+IF(AA101="",0,AA101*サマリー!$B$12)</f>
        <v>0</v>
      </c>
      <c r="E101" s="27">
        <f t="shared" si="2"/>
        <v>0</v>
      </c>
      <c r="I101" s="30"/>
      <c r="J101" s="30"/>
      <c r="K101" s="30"/>
      <c r="L101" s="30"/>
      <c r="M101" s="30"/>
      <c r="N101" s="30"/>
      <c r="O101" s="30"/>
      <c r="P101" s="30"/>
      <c r="Q101" s="31"/>
      <c r="R101" s="31"/>
      <c r="S101" s="31"/>
      <c r="T101" s="32"/>
      <c r="U101" s="32"/>
      <c r="V101" s="32"/>
      <c r="W101" s="32"/>
      <c r="X101" s="32"/>
      <c r="Y101" s="33"/>
      <c r="Z101" s="33"/>
      <c r="AA101" s="33"/>
    </row>
    <row r="102" spans="1:27">
      <c r="A102" s="29"/>
      <c r="B102" s="19">
        <f t="shared" si="3"/>
        <v>46327</v>
      </c>
      <c r="C102" s="27">
        <f>I102+J102+K102+L102+M102+N102+O102+P102+IF(Q102="",0,Q102*サマリー!$B$9)+IF(R102="",0,IF(R102=200,サマリー!$B$10,IF(R102=100,サマリー!$B$11,0)))+IF(S102="",0,S102*サマリー!$B$12)</f>
        <v>0</v>
      </c>
      <c r="D102" s="27">
        <f>T102+U102+V102+W102+X102+IF(Y102="",0,Y102*サマリー!$B$9)+IF(Z102="",0,IF(Z102=200,サマリー!$B$10,IF(Z102=100,サマリー!$B$11,0)))+IF(AA102="",0,AA102*サマリー!$B$12)</f>
        <v>0</v>
      </c>
      <c r="E102" s="27">
        <f t="shared" si="2"/>
        <v>0</v>
      </c>
      <c r="I102" s="30"/>
      <c r="J102" s="30"/>
      <c r="K102" s="30"/>
      <c r="L102" s="30"/>
      <c r="M102" s="30"/>
      <c r="N102" s="30"/>
      <c r="O102" s="30"/>
      <c r="P102" s="30"/>
      <c r="Q102" s="31"/>
      <c r="R102" s="31"/>
      <c r="S102" s="31"/>
      <c r="T102" s="32"/>
      <c r="U102" s="32"/>
      <c r="V102" s="32"/>
      <c r="W102" s="32"/>
      <c r="X102" s="32"/>
      <c r="Y102" s="33"/>
      <c r="Z102" s="33"/>
      <c r="AA102" s="33"/>
    </row>
    <row r="103" spans="1:27">
      <c r="A103" s="29"/>
      <c r="B103" s="19">
        <f t="shared" si="3"/>
        <v>46327</v>
      </c>
      <c r="C103" s="27">
        <f>I103+J103+K103+L103+M103+N103+O103+P103+IF(Q103="",0,Q103*サマリー!$B$9)+IF(R103="",0,IF(R103=200,サマリー!$B$10,IF(R103=100,サマリー!$B$11,0)))+IF(S103="",0,S103*サマリー!$B$12)</f>
        <v>0</v>
      </c>
      <c r="D103" s="27">
        <f>T103+U103+V103+W103+X103+IF(Y103="",0,Y103*サマリー!$B$9)+IF(Z103="",0,IF(Z103=200,サマリー!$B$10,IF(Z103=100,サマリー!$B$11,0)))+IF(AA103="",0,AA103*サマリー!$B$12)</f>
        <v>0</v>
      </c>
      <c r="E103" s="27">
        <f t="shared" si="2"/>
        <v>0</v>
      </c>
      <c r="I103" s="30"/>
      <c r="J103" s="30"/>
      <c r="K103" s="30"/>
      <c r="L103" s="30"/>
      <c r="M103" s="30"/>
      <c r="N103" s="30"/>
      <c r="O103" s="30"/>
      <c r="P103" s="30"/>
      <c r="Q103" s="31"/>
      <c r="R103" s="31"/>
      <c r="S103" s="31"/>
      <c r="T103" s="32"/>
      <c r="U103" s="32"/>
      <c r="V103" s="32"/>
      <c r="W103" s="32"/>
      <c r="X103" s="32"/>
      <c r="Y103" s="33"/>
      <c r="Z103" s="33"/>
      <c r="AA103" s="33"/>
    </row>
    <row r="104" spans="1:27">
      <c r="A104" s="29"/>
      <c r="B104" s="19">
        <f t="shared" si="3"/>
        <v>46327</v>
      </c>
      <c r="C104" s="27">
        <f>I104+J104+K104+L104+M104+N104+O104+P104+IF(Q104="",0,Q104*サマリー!$B$9)+IF(R104="",0,IF(R104=200,サマリー!$B$10,IF(R104=100,サマリー!$B$11,0)))+IF(S104="",0,S104*サマリー!$B$12)</f>
        <v>0</v>
      </c>
      <c r="D104" s="27">
        <f>T104+U104+V104+W104+X104+IF(Y104="",0,Y104*サマリー!$B$9)+IF(Z104="",0,IF(Z104=200,サマリー!$B$10,IF(Z104=100,サマリー!$B$11,0)))+IF(AA104="",0,AA104*サマリー!$B$12)</f>
        <v>0</v>
      </c>
      <c r="E104" s="27">
        <f t="shared" si="2"/>
        <v>0</v>
      </c>
      <c r="I104" s="30"/>
      <c r="J104" s="30"/>
      <c r="K104" s="30"/>
      <c r="L104" s="30"/>
      <c r="M104" s="30"/>
      <c r="N104" s="30"/>
      <c r="O104" s="30"/>
      <c r="P104" s="30"/>
      <c r="Q104" s="31"/>
      <c r="R104" s="31"/>
      <c r="S104" s="31"/>
      <c r="T104" s="32"/>
      <c r="U104" s="32"/>
      <c r="V104" s="32"/>
      <c r="W104" s="32"/>
      <c r="X104" s="32"/>
      <c r="Y104" s="33"/>
      <c r="Z104" s="33"/>
      <c r="AA104" s="33"/>
    </row>
    <row r="105" spans="1:27">
      <c r="A105" s="29"/>
      <c r="B105" s="19">
        <f t="shared" si="3"/>
        <v>46327</v>
      </c>
      <c r="C105" s="27">
        <f>I105+J105+K105+L105+M105+N105+O105+P105+IF(Q105="",0,Q105*サマリー!$B$9)+IF(R105="",0,IF(R105=200,サマリー!$B$10,IF(R105=100,サマリー!$B$11,0)))+IF(S105="",0,S105*サマリー!$B$12)</f>
        <v>0</v>
      </c>
      <c r="D105" s="27">
        <f>T105+U105+V105+W105+X105+IF(Y105="",0,Y105*サマリー!$B$9)+IF(Z105="",0,IF(Z105=200,サマリー!$B$10,IF(Z105=100,サマリー!$B$11,0)))+IF(AA105="",0,AA105*サマリー!$B$12)</f>
        <v>0</v>
      </c>
      <c r="E105" s="27">
        <f t="shared" si="2"/>
        <v>0</v>
      </c>
      <c r="I105" s="30"/>
      <c r="J105" s="30"/>
      <c r="K105" s="30"/>
      <c r="L105" s="30"/>
      <c r="M105" s="30"/>
      <c r="N105" s="30"/>
      <c r="O105" s="30"/>
      <c r="P105" s="30"/>
      <c r="Q105" s="31"/>
      <c r="R105" s="31"/>
      <c r="S105" s="31"/>
      <c r="T105" s="32"/>
      <c r="U105" s="32"/>
      <c r="V105" s="32"/>
      <c r="W105" s="32"/>
      <c r="X105" s="32"/>
      <c r="Y105" s="33"/>
      <c r="Z105" s="33"/>
      <c r="AA105" s="33"/>
    </row>
    <row r="106" spans="1:27">
      <c r="A106" s="29"/>
      <c r="B106" s="19">
        <f t="shared" si="3"/>
        <v>46327</v>
      </c>
      <c r="C106" s="27">
        <f>I106+J106+K106+L106+M106+N106+O106+P106+IF(Q106="",0,Q106*サマリー!$B$9)+IF(R106="",0,IF(R106=200,サマリー!$B$10,IF(R106=100,サマリー!$B$11,0)))+IF(S106="",0,S106*サマリー!$B$12)</f>
        <v>0</v>
      </c>
      <c r="D106" s="27">
        <f>T106+U106+V106+W106+X106+IF(Y106="",0,Y106*サマリー!$B$9)+IF(Z106="",0,IF(Z106=200,サマリー!$B$10,IF(Z106=100,サマリー!$B$11,0)))+IF(AA106="",0,AA106*サマリー!$B$12)</f>
        <v>0</v>
      </c>
      <c r="E106" s="27">
        <f t="shared" si="2"/>
        <v>0</v>
      </c>
      <c r="I106" s="30"/>
      <c r="J106" s="30"/>
      <c r="K106" s="30"/>
      <c r="L106" s="30"/>
      <c r="M106" s="30"/>
      <c r="N106" s="30"/>
      <c r="O106" s="30"/>
      <c r="P106" s="30"/>
      <c r="Q106" s="31"/>
      <c r="R106" s="31"/>
      <c r="S106" s="31"/>
      <c r="T106" s="32"/>
      <c r="U106" s="32"/>
      <c r="V106" s="32"/>
      <c r="W106" s="32"/>
      <c r="X106" s="32"/>
      <c r="Y106" s="33"/>
      <c r="Z106" s="33"/>
      <c r="AA106" s="33"/>
    </row>
    <row r="107" spans="1:27">
      <c r="A107" s="29"/>
      <c r="B107" s="19">
        <f t="shared" si="3"/>
        <v>46327</v>
      </c>
      <c r="C107" s="27">
        <f>I107+J107+K107+L107+M107+N107+O107+P107+IF(Q107="",0,Q107*サマリー!$B$9)+IF(R107="",0,IF(R107=200,サマリー!$B$10,IF(R107=100,サマリー!$B$11,0)))+IF(S107="",0,S107*サマリー!$B$12)</f>
        <v>0</v>
      </c>
      <c r="D107" s="27">
        <f>T107+U107+V107+W107+X107+IF(Y107="",0,Y107*サマリー!$B$9)+IF(Z107="",0,IF(Z107=200,サマリー!$B$10,IF(Z107=100,サマリー!$B$11,0)))+IF(AA107="",0,AA107*サマリー!$B$12)</f>
        <v>0</v>
      </c>
      <c r="E107" s="27">
        <f t="shared" si="2"/>
        <v>0</v>
      </c>
      <c r="I107" s="30"/>
      <c r="J107" s="30"/>
      <c r="K107" s="30"/>
      <c r="L107" s="30"/>
      <c r="M107" s="30"/>
      <c r="N107" s="30"/>
      <c r="O107" s="30"/>
      <c r="P107" s="30"/>
      <c r="Q107" s="31"/>
      <c r="R107" s="31"/>
      <c r="S107" s="31"/>
      <c r="T107" s="32"/>
      <c r="U107" s="32"/>
      <c r="V107" s="32"/>
      <c r="W107" s="32"/>
      <c r="X107" s="32"/>
      <c r="Y107" s="33"/>
      <c r="Z107" s="33"/>
      <c r="AA107" s="33"/>
    </row>
    <row r="108" spans="1:27">
      <c r="A108" s="29"/>
      <c r="B108" s="19">
        <f t="shared" si="3"/>
        <v>46327</v>
      </c>
      <c r="C108" s="27">
        <f>I108+J108+K108+L108+M108+N108+O108+P108+IF(Q108="",0,Q108*サマリー!$B$9)+IF(R108="",0,IF(R108=200,サマリー!$B$10,IF(R108=100,サマリー!$B$11,0)))+IF(S108="",0,S108*サマリー!$B$12)</f>
        <v>0</v>
      </c>
      <c r="D108" s="27">
        <f>T108+U108+V108+W108+X108+IF(Y108="",0,Y108*サマリー!$B$9)+IF(Z108="",0,IF(Z108=200,サマリー!$B$10,IF(Z108=100,サマリー!$B$11,0)))+IF(AA108="",0,AA108*サマリー!$B$12)</f>
        <v>0</v>
      </c>
      <c r="E108" s="27">
        <f t="shared" si="2"/>
        <v>0</v>
      </c>
      <c r="I108" s="30"/>
      <c r="J108" s="30"/>
      <c r="K108" s="30"/>
      <c r="L108" s="30"/>
      <c r="M108" s="30"/>
      <c r="N108" s="30"/>
      <c r="O108" s="30"/>
      <c r="P108" s="30"/>
      <c r="Q108" s="31"/>
      <c r="R108" s="31"/>
      <c r="S108" s="31"/>
      <c r="T108" s="32"/>
      <c r="U108" s="32"/>
      <c r="V108" s="32"/>
      <c r="W108" s="32"/>
      <c r="X108" s="32"/>
      <c r="Y108" s="33"/>
      <c r="Z108" s="33"/>
      <c r="AA108" s="33"/>
    </row>
    <row r="109" spans="1:27">
      <c r="A109" s="29"/>
      <c r="B109" s="19">
        <f t="shared" si="3"/>
        <v>46327</v>
      </c>
      <c r="C109" s="27">
        <f>I109+J109+K109+L109+M109+N109+O109+P109+IF(Q109="",0,Q109*サマリー!$B$9)+IF(R109="",0,IF(R109=200,サマリー!$B$10,IF(R109=100,サマリー!$B$11,0)))+IF(S109="",0,S109*サマリー!$B$12)</f>
        <v>0</v>
      </c>
      <c r="D109" s="27">
        <f>T109+U109+V109+W109+X109+IF(Y109="",0,Y109*サマリー!$B$9)+IF(Z109="",0,IF(Z109=200,サマリー!$B$10,IF(Z109=100,サマリー!$B$11,0)))+IF(AA109="",0,AA109*サマリー!$B$12)</f>
        <v>0</v>
      </c>
      <c r="E109" s="27">
        <f t="shared" si="2"/>
        <v>0</v>
      </c>
      <c r="I109" s="30"/>
      <c r="J109" s="30"/>
      <c r="K109" s="30"/>
      <c r="L109" s="30"/>
      <c r="M109" s="30"/>
      <c r="N109" s="30"/>
      <c r="O109" s="30"/>
      <c r="P109" s="30"/>
      <c r="Q109" s="31"/>
      <c r="R109" s="31"/>
      <c r="S109" s="31"/>
      <c r="T109" s="32"/>
      <c r="U109" s="32"/>
      <c r="V109" s="32"/>
      <c r="W109" s="32"/>
      <c r="X109" s="32"/>
      <c r="Y109" s="33"/>
      <c r="Z109" s="33"/>
      <c r="AA109" s="33"/>
    </row>
    <row r="110" spans="1:27">
      <c r="A110" s="29"/>
      <c r="B110" s="19">
        <f t="shared" si="3"/>
        <v>46327</v>
      </c>
      <c r="C110" s="27">
        <f>I110+J110+K110+L110+M110+N110+O110+P110+IF(Q110="",0,Q110*サマリー!$B$9)+IF(R110="",0,IF(R110=200,サマリー!$B$10,IF(R110=100,サマリー!$B$11,0)))+IF(S110="",0,S110*サマリー!$B$12)</f>
        <v>0</v>
      </c>
      <c r="D110" s="27">
        <f>T110+U110+V110+W110+X110+IF(Y110="",0,Y110*サマリー!$B$9)+IF(Z110="",0,IF(Z110=200,サマリー!$B$10,IF(Z110=100,サマリー!$B$11,0)))+IF(AA110="",0,AA110*サマリー!$B$12)</f>
        <v>0</v>
      </c>
      <c r="E110" s="27">
        <f t="shared" si="2"/>
        <v>0</v>
      </c>
      <c r="I110" s="30"/>
      <c r="J110" s="30"/>
      <c r="K110" s="30"/>
      <c r="L110" s="30"/>
      <c r="M110" s="30"/>
      <c r="N110" s="30"/>
      <c r="O110" s="30"/>
      <c r="P110" s="30"/>
      <c r="Q110" s="31"/>
      <c r="R110" s="31"/>
      <c r="S110" s="31"/>
      <c r="T110" s="32"/>
      <c r="U110" s="32"/>
      <c r="V110" s="32"/>
      <c r="W110" s="32"/>
      <c r="X110" s="32"/>
      <c r="Y110" s="33"/>
      <c r="Z110" s="33"/>
      <c r="AA110" s="33"/>
    </row>
    <row r="111" spans="1:27">
      <c r="A111" s="29"/>
      <c r="B111" s="19">
        <f t="shared" si="3"/>
        <v>46327</v>
      </c>
      <c r="C111" s="27">
        <f>I111+J111+K111+L111+M111+N111+O111+P111+IF(Q111="",0,Q111*サマリー!$B$9)+IF(R111="",0,IF(R111=200,サマリー!$B$10,IF(R111=100,サマリー!$B$11,0)))+IF(S111="",0,S111*サマリー!$B$12)</f>
        <v>0</v>
      </c>
      <c r="D111" s="27">
        <f>T111+U111+V111+W111+X111+IF(Y111="",0,Y111*サマリー!$B$9)+IF(Z111="",0,IF(Z111=200,サマリー!$B$10,IF(Z111=100,サマリー!$B$11,0)))+IF(AA111="",0,AA111*サマリー!$B$12)</f>
        <v>0</v>
      </c>
      <c r="E111" s="27">
        <f t="shared" si="2"/>
        <v>0</v>
      </c>
      <c r="I111" s="30"/>
      <c r="J111" s="30"/>
      <c r="K111" s="30"/>
      <c r="L111" s="30"/>
      <c r="M111" s="30"/>
      <c r="N111" s="30"/>
      <c r="O111" s="30"/>
      <c r="P111" s="30"/>
      <c r="Q111" s="31"/>
      <c r="R111" s="31"/>
      <c r="S111" s="31"/>
      <c r="T111" s="32"/>
      <c r="U111" s="32"/>
      <c r="V111" s="32"/>
      <c r="W111" s="32"/>
      <c r="X111" s="32"/>
      <c r="Y111" s="33"/>
      <c r="Z111" s="33"/>
      <c r="AA111" s="33"/>
    </row>
    <row r="112" spans="1:27">
      <c r="A112" s="29"/>
      <c r="B112" s="19">
        <f t="shared" si="3"/>
        <v>46327</v>
      </c>
      <c r="C112" s="27">
        <f>I112+J112+K112+L112+M112+N112+O112+P112+IF(Q112="",0,Q112*サマリー!$B$9)+IF(R112="",0,IF(R112=200,サマリー!$B$10,IF(R112=100,サマリー!$B$11,0)))+IF(S112="",0,S112*サマリー!$B$12)</f>
        <v>0</v>
      </c>
      <c r="D112" s="27">
        <f>T112+U112+V112+W112+X112+IF(Y112="",0,Y112*サマリー!$B$9)+IF(Z112="",0,IF(Z112=200,サマリー!$B$10,IF(Z112=100,サマリー!$B$11,0)))+IF(AA112="",0,AA112*サマリー!$B$12)</f>
        <v>0</v>
      </c>
      <c r="E112" s="27">
        <f t="shared" si="2"/>
        <v>0</v>
      </c>
      <c r="I112" s="30"/>
      <c r="J112" s="30"/>
      <c r="K112" s="30"/>
      <c r="L112" s="30"/>
      <c r="M112" s="30"/>
      <c r="N112" s="30"/>
      <c r="O112" s="30"/>
      <c r="P112" s="30"/>
      <c r="Q112" s="31"/>
      <c r="R112" s="31"/>
      <c r="S112" s="31"/>
      <c r="T112" s="32"/>
      <c r="U112" s="32"/>
      <c r="V112" s="32"/>
      <c r="W112" s="32"/>
      <c r="X112" s="32"/>
      <c r="Y112" s="33"/>
      <c r="Z112" s="33"/>
      <c r="AA112" s="33"/>
    </row>
    <row r="113" spans="1:27">
      <c r="A113" s="29"/>
      <c r="B113" s="19">
        <f t="shared" si="3"/>
        <v>46327</v>
      </c>
      <c r="C113" s="27">
        <f>I113+J113+K113+L113+M113+N113+O113+P113+IF(Q113="",0,Q113*サマリー!$B$9)+IF(R113="",0,IF(R113=200,サマリー!$B$10,IF(R113=100,サマリー!$B$11,0)))+IF(S113="",0,S113*サマリー!$B$12)</f>
        <v>0</v>
      </c>
      <c r="D113" s="27">
        <f>T113+U113+V113+W113+X113+IF(Y113="",0,Y113*サマリー!$B$9)+IF(Z113="",0,IF(Z113=200,サマリー!$B$10,IF(Z113=100,サマリー!$B$11,0)))+IF(AA113="",0,AA113*サマリー!$B$12)</f>
        <v>0</v>
      </c>
      <c r="E113" s="27">
        <f t="shared" si="2"/>
        <v>0</v>
      </c>
      <c r="I113" s="30"/>
      <c r="J113" s="30"/>
      <c r="K113" s="30"/>
      <c r="L113" s="30"/>
      <c r="M113" s="30"/>
      <c r="N113" s="30"/>
      <c r="O113" s="30"/>
      <c r="P113" s="30"/>
      <c r="Q113" s="31"/>
      <c r="R113" s="31"/>
      <c r="S113" s="31"/>
      <c r="T113" s="32"/>
      <c r="U113" s="32"/>
      <c r="V113" s="32"/>
      <c r="W113" s="32"/>
      <c r="X113" s="32"/>
      <c r="Y113" s="33"/>
      <c r="Z113" s="33"/>
      <c r="AA113" s="33"/>
    </row>
    <row r="114" spans="1:27">
      <c r="A114" s="29"/>
      <c r="B114" s="19">
        <f t="shared" si="3"/>
        <v>46327</v>
      </c>
      <c r="C114" s="27">
        <f>I114+J114+K114+L114+M114+N114+O114+P114+IF(Q114="",0,Q114*サマリー!$B$9)+IF(R114="",0,IF(R114=200,サマリー!$B$10,IF(R114=100,サマリー!$B$11,0)))+IF(S114="",0,S114*サマリー!$B$12)</f>
        <v>0</v>
      </c>
      <c r="D114" s="27">
        <f>T114+U114+V114+W114+X114+IF(Y114="",0,Y114*サマリー!$B$9)+IF(Z114="",0,IF(Z114=200,サマリー!$B$10,IF(Z114=100,サマリー!$B$11,0)))+IF(AA114="",0,AA114*サマリー!$B$12)</f>
        <v>0</v>
      </c>
      <c r="E114" s="27">
        <f t="shared" si="2"/>
        <v>0</v>
      </c>
      <c r="I114" s="30"/>
      <c r="J114" s="30"/>
      <c r="K114" s="30"/>
      <c r="L114" s="30"/>
      <c r="M114" s="30"/>
      <c r="N114" s="30"/>
      <c r="O114" s="30"/>
      <c r="P114" s="30"/>
      <c r="Q114" s="31"/>
      <c r="R114" s="31"/>
      <c r="S114" s="31"/>
      <c r="T114" s="32"/>
      <c r="U114" s="32"/>
      <c r="V114" s="32"/>
      <c r="W114" s="32"/>
      <c r="X114" s="32"/>
      <c r="Y114" s="33"/>
      <c r="Z114" s="33"/>
      <c r="AA114" s="33"/>
    </row>
    <row r="115" spans="1:27">
      <c r="A115" s="29"/>
      <c r="B115" s="19">
        <f t="shared" si="3"/>
        <v>46327</v>
      </c>
      <c r="C115" s="27">
        <f>I115+J115+K115+L115+M115+N115+O115+P115+IF(Q115="",0,Q115*サマリー!$B$9)+IF(R115="",0,IF(R115=200,サマリー!$B$10,IF(R115=100,サマリー!$B$11,0)))+IF(S115="",0,S115*サマリー!$B$12)</f>
        <v>0</v>
      </c>
      <c r="D115" s="27">
        <f>T115+U115+V115+W115+X115+IF(Y115="",0,Y115*サマリー!$B$9)+IF(Z115="",0,IF(Z115=200,サマリー!$B$10,IF(Z115=100,サマリー!$B$11,0)))+IF(AA115="",0,AA115*サマリー!$B$12)</f>
        <v>0</v>
      </c>
      <c r="E115" s="27">
        <f t="shared" si="2"/>
        <v>0</v>
      </c>
      <c r="I115" s="30"/>
      <c r="J115" s="30"/>
      <c r="K115" s="30"/>
      <c r="L115" s="30"/>
      <c r="M115" s="30"/>
      <c r="N115" s="30"/>
      <c r="O115" s="30"/>
      <c r="P115" s="30"/>
      <c r="Q115" s="31"/>
      <c r="R115" s="31"/>
      <c r="S115" s="31"/>
      <c r="T115" s="32"/>
      <c r="U115" s="32"/>
      <c r="V115" s="32"/>
      <c r="W115" s="32"/>
      <c r="X115" s="32"/>
      <c r="Y115" s="33"/>
      <c r="Z115" s="33"/>
      <c r="AA115" s="33"/>
    </row>
    <row r="116" spans="1:27">
      <c r="A116" s="29"/>
      <c r="B116" s="19">
        <f t="shared" si="3"/>
        <v>46327</v>
      </c>
      <c r="C116" s="27">
        <f>I116+J116+K116+L116+M116+N116+O116+P116+IF(Q116="",0,Q116*サマリー!$B$9)+IF(R116="",0,IF(R116=200,サマリー!$B$10,IF(R116=100,サマリー!$B$11,0)))+IF(S116="",0,S116*サマリー!$B$12)</f>
        <v>0</v>
      </c>
      <c r="D116" s="27">
        <f>T116+U116+V116+W116+X116+IF(Y116="",0,Y116*サマリー!$B$9)+IF(Z116="",0,IF(Z116=200,サマリー!$B$10,IF(Z116=100,サマリー!$B$11,0)))+IF(AA116="",0,AA116*サマリー!$B$12)</f>
        <v>0</v>
      </c>
      <c r="E116" s="27">
        <f t="shared" si="2"/>
        <v>0</v>
      </c>
      <c r="I116" s="30"/>
      <c r="J116" s="30"/>
      <c r="K116" s="30"/>
      <c r="L116" s="30"/>
      <c r="M116" s="30"/>
      <c r="N116" s="30"/>
      <c r="O116" s="30"/>
      <c r="P116" s="30"/>
      <c r="Q116" s="31"/>
      <c r="R116" s="31"/>
      <c r="S116" s="31"/>
      <c r="T116" s="32"/>
      <c r="U116" s="32"/>
      <c r="V116" s="32"/>
      <c r="W116" s="32"/>
      <c r="X116" s="32"/>
      <c r="Y116" s="33"/>
      <c r="Z116" s="33"/>
      <c r="AA116" s="33"/>
    </row>
    <row r="117" spans="1:27">
      <c r="A117" s="29"/>
      <c r="B117" s="19">
        <f t="shared" si="3"/>
        <v>46327</v>
      </c>
      <c r="C117" s="27">
        <f>I117+J117+K117+L117+M117+N117+O117+P117+IF(Q117="",0,Q117*サマリー!$B$9)+IF(R117="",0,IF(R117=200,サマリー!$B$10,IF(R117=100,サマリー!$B$11,0)))+IF(S117="",0,S117*サマリー!$B$12)</f>
        <v>0</v>
      </c>
      <c r="D117" s="27">
        <f>T117+U117+V117+W117+X117+IF(Y117="",0,Y117*サマリー!$B$9)+IF(Z117="",0,IF(Z117=200,サマリー!$B$10,IF(Z117=100,サマリー!$B$11,0)))+IF(AA117="",0,AA117*サマリー!$B$12)</f>
        <v>0</v>
      </c>
      <c r="E117" s="27">
        <f t="shared" si="2"/>
        <v>0</v>
      </c>
      <c r="I117" s="30"/>
      <c r="J117" s="30"/>
      <c r="K117" s="30"/>
      <c r="L117" s="30"/>
      <c r="M117" s="30"/>
      <c r="N117" s="30"/>
      <c r="O117" s="30"/>
      <c r="P117" s="30"/>
      <c r="Q117" s="31"/>
      <c r="R117" s="31"/>
      <c r="S117" s="31"/>
      <c r="T117" s="32"/>
      <c r="U117" s="32"/>
      <c r="V117" s="32"/>
      <c r="W117" s="32"/>
      <c r="X117" s="32"/>
      <c r="Y117" s="33"/>
      <c r="Z117" s="33"/>
      <c r="AA117" s="33"/>
    </row>
    <row r="118" spans="1:27">
      <c r="A118" s="29"/>
      <c r="B118" s="19">
        <f t="shared" si="3"/>
        <v>46327</v>
      </c>
      <c r="C118" s="27">
        <f>I118+J118+K118+L118+M118+N118+O118+P118+IF(Q118="",0,Q118*サマリー!$B$9)+IF(R118="",0,IF(R118=200,サマリー!$B$10,IF(R118=100,サマリー!$B$11,0)))+IF(S118="",0,S118*サマリー!$B$12)</f>
        <v>0</v>
      </c>
      <c r="D118" s="27">
        <f>T118+U118+V118+W118+X118+IF(Y118="",0,Y118*サマリー!$B$9)+IF(Z118="",0,IF(Z118=200,サマリー!$B$10,IF(Z118=100,サマリー!$B$11,0)))+IF(AA118="",0,AA118*サマリー!$B$12)</f>
        <v>0</v>
      </c>
      <c r="E118" s="27">
        <f t="shared" si="2"/>
        <v>0</v>
      </c>
      <c r="I118" s="30"/>
      <c r="J118" s="30"/>
      <c r="K118" s="30"/>
      <c r="L118" s="30"/>
      <c r="M118" s="30"/>
      <c r="N118" s="30"/>
      <c r="O118" s="30"/>
      <c r="P118" s="30"/>
      <c r="Q118" s="31"/>
      <c r="R118" s="31"/>
      <c r="S118" s="31"/>
      <c r="T118" s="32"/>
      <c r="U118" s="32"/>
      <c r="V118" s="32"/>
      <c r="W118" s="32"/>
      <c r="X118" s="32"/>
      <c r="Y118" s="33"/>
      <c r="Z118" s="33"/>
      <c r="AA118" s="33"/>
    </row>
    <row r="119" spans="1:27">
      <c r="A119" s="29"/>
      <c r="B119" s="19">
        <f t="shared" si="3"/>
        <v>46327</v>
      </c>
      <c r="C119" s="27">
        <f>I119+J119+K119+L119+M119+N119+O119+P119+IF(Q119="",0,Q119*サマリー!$B$9)+IF(R119="",0,IF(R119=200,サマリー!$B$10,IF(R119=100,サマリー!$B$11,0)))+IF(S119="",0,S119*サマリー!$B$12)</f>
        <v>0</v>
      </c>
      <c r="D119" s="27">
        <f>T119+U119+V119+W119+X119+IF(Y119="",0,Y119*サマリー!$B$9)+IF(Z119="",0,IF(Z119=200,サマリー!$B$10,IF(Z119=100,サマリー!$B$11,0)))+IF(AA119="",0,AA119*サマリー!$B$12)</f>
        <v>0</v>
      </c>
      <c r="E119" s="27">
        <f t="shared" si="2"/>
        <v>0</v>
      </c>
      <c r="I119" s="30"/>
      <c r="J119" s="30"/>
      <c r="K119" s="30"/>
      <c r="L119" s="30"/>
      <c r="M119" s="30"/>
      <c r="N119" s="30"/>
      <c r="O119" s="30"/>
      <c r="P119" s="30"/>
      <c r="Q119" s="31"/>
      <c r="R119" s="31"/>
      <c r="S119" s="31"/>
      <c r="T119" s="32"/>
      <c r="U119" s="32"/>
      <c r="V119" s="32"/>
      <c r="W119" s="32"/>
      <c r="X119" s="32"/>
      <c r="Y119" s="33"/>
      <c r="Z119" s="33"/>
      <c r="AA119" s="33"/>
    </row>
    <row r="120" spans="1:27">
      <c r="A120" s="29"/>
      <c r="B120" s="19">
        <f t="shared" si="3"/>
        <v>46327</v>
      </c>
      <c r="C120" s="27">
        <f>I120+J120+K120+L120+M120+N120+O120+P120+IF(Q120="",0,Q120*サマリー!$B$9)+IF(R120="",0,IF(R120=200,サマリー!$B$10,IF(R120=100,サマリー!$B$11,0)))+IF(S120="",0,S120*サマリー!$B$12)</f>
        <v>0</v>
      </c>
      <c r="D120" s="27">
        <f>T120+U120+V120+W120+X120+IF(Y120="",0,Y120*サマリー!$B$9)+IF(Z120="",0,IF(Z120=200,サマリー!$B$10,IF(Z120=100,サマリー!$B$11,0)))+IF(AA120="",0,AA120*サマリー!$B$12)</f>
        <v>0</v>
      </c>
      <c r="E120" s="27">
        <f t="shared" si="2"/>
        <v>0</v>
      </c>
      <c r="I120" s="30"/>
      <c r="J120" s="30"/>
      <c r="K120" s="30"/>
      <c r="L120" s="30"/>
      <c r="M120" s="30"/>
      <c r="N120" s="30"/>
      <c r="O120" s="30"/>
      <c r="P120" s="30"/>
      <c r="Q120" s="31"/>
      <c r="R120" s="31"/>
      <c r="S120" s="31"/>
      <c r="T120" s="32"/>
      <c r="U120" s="32"/>
      <c r="V120" s="32"/>
      <c r="W120" s="32"/>
      <c r="X120" s="32"/>
      <c r="Y120" s="33"/>
      <c r="Z120" s="33"/>
      <c r="AA120" s="33"/>
    </row>
    <row r="121" spans="1:27">
      <c r="A121" s="29"/>
      <c r="B121" s="19">
        <f t="shared" si="3"/>
        <v>46327</v>
      </c>
      <c r="C121" s="27">
        <f>I121+J121+K121+L121+M121+N121+O121+P121+IF(Q121="",0,Q121*サマリー!$B$9)+IF(R121="",0,IF(R121=200,サマリー!$B$10,IF(R121=100,サマリー!$B$11,0)))+IF(S121="",0,S121*サマリー!$B$12)</f>
        <v>0</v>
      </c>
      <c r="D121" s="27">
        <f>T121+U121+V121+W121+X121+IF(Y121="",0,Y121*サマリー!$B$9)+IF(Z121="",0,IF(Z121=200,サマリー!$B$10,IF(Z121=100,サマリー!$B$11,0)))+IF(AA121="",0,AA121*サマリー!$B$12)</f>
        <v>0</v>
      </c>
      <c r="E121" s="27">
        <f t="shared" si="2"/>
        <v>0</v>
      </c>
      <c r="I121" s="30"/>
      <c r="J121" s="30"/>
      <c r="K121" s="30"/>
      <c r="L121" s="30"/>
      <c r="M121" s="30"/>
      <c r="N121" s="30"/>
      <c r="O121" s="30"/>
      <c r="P121" s="30"/>
      <c r="Q121" s="31"/>
      <c r="R121" s="31"/>
      <c r="S121" s="31"/>
      <c r="T121" s="32"/>
      <c r="U121" s="32"/>
      <c r="V121" s="32"/>
      <c r="W121" s="32"/>
      <c r="X121" s="32"/>
      <c r="Y121" s="33"/>
      <c r="Z121" s="33"/>
      <c r="AA121" s="33"/>
    </row>
    <row r="122" spans="1:27">
      <c r="A122" s="29"/>
      <c r="B122" s="19">
        <f t="shared" si="3"/>
        <v>46327</v>
      </c>
      <c r="C122" s="27">
        <f>I122+J122+K122+L122+M122+N122+O122+P122+IF(Q122="",0,Q122*サマリー!$B$9)+IF(R122="",0,IF(R122=200,サマリー!$B$10,IF(R122=100,サマリー!$B$11,0)))+IF(S122="",0,S122*サマリー!$B$12)</f>
        <v>0</v>
      </c>
      <c r="D122" s="27">
        <f>T122+U122+V122+W122+X122+IF(Y122="",0,Y122*サマリー!$B$9)+IF(Z122="",0,IF(Z122=200,サマリー!$B$10,IF(Z122=100,サマリー!$B$11,0)))+IF(AA122="",0,AA122*サマリー!$B$12)</f>
        <v>0</v>
      </c>
      <c r="E122" s="27">
        <f t="shared" si="2"/>
        <v>0</v>
      </c>
      <c r="I122" s="30"/>
      <c r="J122" s="30"/>
      <c r="K122" s="30"/>
      <c r="L122" s="30"/>
      <c r="M122" s="30"/>
      <c r="N122" s="30"/>
      <c r="O122" s="30"/>
      <c r="P122" s="30"/>
      <c r="Q122" s="31"/>
      <c r="R122" s="31"/>
      <c r="S122" s="31"/>
      <c r="T122" s="32"/>
      <c r="U122" s="32"/>
      <c r="V122" s="32"/>
      <c r="W122" s="32"/>
      <c r="X122" s="32"/>
      <c r="Y122" s="33"/>
      <c r="Z122" s="33"/>
      <c r="AA122" s="33"/>
    </row>
    <row r="123" spans="1:27">
      <c r="A123" s="29"/>
      <c r="B123" s="19">
        <f t="shared" si="3"/>
        <v>46327</v>
      </c>
      <c r="C123" s="27">
        <f>I123+J123+K123+L123+M123+N123+O123+P123+IF(Q123="",0,Q123*サマリー!$B$9)+IF(R123="",0,IF(R123=200,サマリー!$B$10,IF(R123=100,サマリー!$B$11,0)))+IF(S123="",0,S123*サマリー!$B$12)</f>
        <v>0</v>
      </c>
      <c r="D123" s="27">
        <f>T123+U123+V123+W123+X123+IF(Y123="",0,Y123*サマリー!$B$9)+IF(Z123="",0,IF(Z123=200,サマリー!$B$10,IF(Z123=100,サマリー!$B$11,0)))+IF(AA123="",0,AA123*サマリー!$B$12)</f>
        <v>0</v>
      </c>
      <c r="E123" s="27">
        <f t="shared" si="2"/>
        <v>0</v>
      </c>
      <c r="I123" s="30"/>
      <c r="J123" s="30"/>
      <c r="K123" s="30"/>
      <c r="L123" s="30"/>
      <c r="M123" s="30"/>
      <c r="N123" s="30"/>
      <c r="O123" s="30"/>
      <c r="P123" s="30"/>
      <c r="Q123" s="31"/>
      <c r="R123" s="31"/>
      <c r="S123" s="31"/>
      <c r="T123" s="32"/>
      <c r="U123" s="32"/>
      <c r="V123" s="32"/>
      <c r="W123" s="32"/>
      <c r="X123" s="32"/>
      <c r="Y123" s="33"/>
      <c r="Z123" s="33"/>
      <c r="AA123" s="33"/>
    </row>
    <row r="124" spans="1:27">
      <c r="A124" s="29"/>
      <c r="B124" s="19">
        <f t="shared" si="3"/>
        <v>46327</v>
      </c>
      <c r="C124" s="27">
        <f>I124+J124+K124+L124+M124+N124+O124+P124+IF(Q124="",0,Q124*サマリー!$B$9)+IF(R124="",0,IF(R124=200,サマリー!$B$10,IF(R124=100,サマリー!$B$11,0)))+IF(S124="",0,S124*サマリー!$B$12)</f>
        <v>0</v>
      </c>
      <c r="D124" s="27">
        <f>T124+U124+V124+W124+X124+IF(Y124="",0,Y124*サマリー!$B$9)+IF(Z124="",0,IF(Z124=200,サマリー!$B$10,IF(Z124=100,サマリー!$B$11,0)))+IF(AA124="",0,AA124*サマリー!$B$12)</f>
        <v>0</v>
      </c>
      <c r="E124" s="27">
        <f t="shared" si="2"/>
        <v>0</v>
      </c>
      <c r="I124" s="30"/>
      <c r="J124" s="30"/>
      <c r="K124" s="30"/>
      <c r="L124" s="30"/>
      <c r="M124" s="30"/>
      <c r="N124" s="30"/>
      <c r="O124" s="30"/>
      <c r="P124" s="30"/>
      <c r="Q124" s="31"/>
      <c r="R124" s="31"/>
      <c r="S124" s="31"/>
      <c r="T124" s="32"/>
      <c r="U124" s="32"/>
      <c r="V124" s="32"/>
      <c r="W124" s="32"/>
      <c r="X124" s="32"/>
      <c r="Y124" s="33"/>
      <c r="Z124" s="33"/>
      <c r="AA124" s="33"/>
    </row>
    <row r="125" spans="1:27">
      <c r="A125" s="29"/>
      <c r="B125" s="19">
        <f t="shared" si="3"/>
        <v>46327</v>
      </c>
      <c r="C125" s="27">
        <f>I125+J125+K125+L125+M125+N125+O125+P125+IF(Q125="",0,Q125*サマリー!$B$9)+IF(R125="",0,IF(R125=200,サマリー!$B$10,IF(R125=100,サマリー!$B$11,0)))+IF(S125="",0,S125*サマリー!$B$12)</f>
        <v>0</v>
      </c>
      <c r="D125" s="27">
        <f>T125+U125+V125+W125+X125+IF(Y125="",0,Y125*サマリー!$B$9)+IF(Z125="",0,IF(Z125=200,サマリー!$B$10,IF(Z125=100,サマリー!$B$11,0)))+IF(AA125="",0,AA125*サマリー!$B$12)</f>
        <v>0</v>
      </c>
      <c r="E125" s="27">
        <f t="shared" si="2"/>
        <v>0</v>
      </c>
      <c r="I125" s="30"/>
      <c r="J125" s="30"/>
      <c r="K125" s="30"/>
      <c r="L125" s="30"/>
      <c r="M125" s="30"/>
      <c r="N125" s="30"/>
      <c r="O125" s="30"/>
      <c r="P125" s="30"/>
      <c r="Q125" s="31"/>
      <c r="R125" s="31"/>
      <c r="S125" s="31"/>
      <c r="T125" s="32"/>
      <c r="U125" s="32"/>
      <c r="V125" s="32"/>
      <c r="W125" s="32"/>
      <c r="X125" s="32"/>
      <c r="Y125" s="33"/>
      <c r="Z125" s="33"/>
      <c r="AA125" s="33"/>
    </row>
    <row r="126" spans="1:27">
      <c r="A126" s="29"/>
      <c r="B126" s="19">
        <f t="shared" si="3"/>
        <v>46327</v>
      </c>
      <c r="C126" s="27">
        <f>I126+J126+K126+L126+M126+N126+O126+P126+IF(Q126="",0,Q126*サマリー!$B$9)+IF(R126="",0,IF(R126=200,サマリー!$B$10,IF(R126=100,サマリー!$B$11,0)))+IF(S126="",0,S126*サマリー!$B$12)</f>
        <v>0</v>
      </c>
      <c r="D126" s="27">
        <f>T126+U126+V126+W126+X126+IF(Y126="",0,Y126*サマリー!$B$9)+IF(Z126="",0,IF(Z126=200,サマリー!$B$10,IF(Z126=100,サマリー!$B$11,0)))+IF(AA126="",0,AA126*サマリー!$B$12)</f>
        <v>0</v>
      </c>
      <c r="E126" s="27">
        <f t="shared" si="2"/>
        <v>0</v>
      </c>
      <c r="I126" s="30"/>
      <c r="J126" s="30"/>
      <c r="K126" s="30"/>
      <c r="L126" s="30"/>
      <c r="M126" s="30"/>
      <c r="N126" s="30"/>
      <c r="O126" s="30"/>
      <c r="P126" s="30"/>
      <c r="Q126" s="31"/>
      <c r="R126" s="31"/>
      <c r="S126" s="31"/>
      <c r="T126" s="32"/>
      <c r="U126" s="32"/>
      <c r="V126" s="32"/>
      <c r="W126" s="32"/>
      <c r="X126" s="32"/>
      <c r="Y126" s="33"/>
      <c r="Z126" s="33"/>
      <c r="AA126" s="33"/>
    </row>
    <row r="127" spans="1:27">
      <c r="A127" s="29"/>
      <c r="B127" s="19">
        <f t="shared" si="3"/>
        <v>46327</v>
      </c>
      <c r="C127" s="27">
        <f>I127+J127+K127+L127+M127+N127+O127+P127+IF(Q127="",0,Q127*サマリー!$B$9)+IF(R127="",0,IF(R127=200,サマリー!$B$10,IF(R127=100,サマリー!$B$11,0)))+IF(S127="",0,S127*サマリー!$B$12)</f>
        <v>0</v>
      </c>
      <c r="D127" s="27">
        <f>T127+U127+V127+W127+X127+IF(Y127="",0,Y127*サマリー!$B$9)+IF(Z127="",0,IF(Z127=200,サマリー!$B$10,IF(Z127=100,サマリー!$B$11,0)))+IF(AA127="",0,AA127*サマリー!$B$12)</f>
        <v>0</v>
      </c>
      <c r="E127" s="27">
        <f t="shared" si="2"/>
        <v>0</v>
      </c>
      <c r="I127" s="30"/>
      <c r="J127" s="30"/>
      <c r="K127" s="30"/>
      <c r="L127" s="30"/>
      <c r="M127" s="30"/>
      <c r="N127" s="30"/>
      <c r="O127" s="30"/>
      <c r="P127" s="30"/>
      <c r="Q127" s="31"/>
      <c r="R127" s="31"/>
      <c r="S127" s="31"/>
      <c r="T127" s="32"/>
      <c r="U127" s="32"/>
      <c r="V127" s="32"/>
      <c r="W127" s="32"/>
      <c r="X127" s="32"/>
      <c r="Y127" s="33"/>
      <c r="Z127" s="33"/>
      <c r="AA127" s="33"/>
    </row>
    <row r="128" spans="1:27">
      <c r="A128" s="29"/>
      <c r="B128" s="19">
        <f t="shared" si="3"/>
        <v>46327</v>
      </c>
      <c r="C128" s="27">
        <f>I128+J128+K128+L128+M128+N128+O128+P128+IF(Q128="",0,Q128*サマリー!$B$9)+IF(R128="",0,IF(R128=200,サマリー!$B$10,IF(R128=100,サマリー!$B$11,0)))+IF(S128="",0,S128*サマリー!$B$12)</f>
        <v>0</v>
      </c>
      <c r="D128" s="27">
        <f>T128+U128+V128+W128+X128+IF(Y128="",0,Y128*サマリー!$B$9)+IF(Z128="",0,IF(Z128=200,サマリー!$B$10,IF(Z128=100,サマリー!$B$11,0)))+IF(AA128="",0,AA128*サマリー!$B$12)</f>
        <v>0</v>
      </c>
      <c r="E128" s="27">
        <f t="shared" si="2"/>
        <v>0</v>
      </c>
      <c r="I128" s="30"/>
      <c r="J128" s="30"/>
      <c r="K128" s="30"/>
      <c r="L128" s="30"/>
      <c r="M128" s="30"/>
      <c r="N128" s="30"/>
      <c r="O128" s="30"/>
      <c r="P128" s="30"/>
      <c r="Q128" s="31"/>
      <c r="R128" s="31"/>
      <c r="S128" s="31"/>
      <c r="T128" s="32"/>
      <c r="U128" s="32"/>
      <c r="V128" s="32"/>
      <c r="W128" s="32"/>
      <c r="X128" s="32"/>
      <c r="Y128" s="33"/>
      <c r="Z128" s="33"/>
      <c r="AA128" s="33"/>
    </row>
    <row r="129" spans="1:27">
      <c r="A129" s="29"/>
      <c r="B129" s="19">
        <f t="shared" si="3"/>
        <v>46327</v>
      </c>
      <c r="C129" s="27">
        <f>I129+J129+K129+L129+M129+N129+O129+P129+IF(Q129="",0,Q129*サマリー!$B$9)+IF(R129="",0,IF(R129=200,サマリー!$B$10,IF(R129=100,サマリー!$B$11,0)))+IF(S129="",0,S129*サマリー!$B$12)</f>
        <v>0</v>
      </c>
      <c r="D129" s="27">
        <f>T129+U129+V129+W129+X129+IF(Y129="",0,Y129*サマリー!$B$9)+IF(Z129="",0,IF(Z129=200,サマリー!$B$10,IF(Z129=100,サマリー!$B$11,0)))+IF(AA129="",0,AA129*サマリー!$B$12)</f>
        <v>0</v>
      </c>
      <c r="E129" s="27">
        <f t="shared" si="2"/>
        <v>0</v>
      </c>
      <c r="I129" s="30"/>
      <c r="J129" s="30"/>
      <c r="K129" s="30"/>
      <c r="L129" s="30"/>
      <c r="M129" s="30"/>
      <c r="N129" s="30"/>
      <c r="O129" s="30"/>
      <c r="P129" s="30"/>
      <c r="Q129" s="31"/>
      <c r="R129" s="31"/>
      <c r="S129" s="31"/>
      <c r="T129" s="32"/>
      <c r="U129" s="32"/>
      <c r="V129" s="32"/>
      <c r="W129" s="32"/>
      <c r="X129" s="32"/>
      <c r="Y129" s="33"/>
      <c r="Z129" s="33"/>
      <c r="AA129" s="33"/>
    </row>
    <row r="130" spans="1:27">
      <c r="A130" s="29"/>
      <c r="B130" s="19">
        <f t="shared" si="3"/>
        <v>46327</v>
      </c>
      <c r="C130" s="27">
        <f>I130+J130+K130+L130+M130+N130+O130+P130+IF(Q130="",0,Q130*サマリー!$B$9)+IF(R130="",0,IF(R130=200,サマリー!$B$10,IF(R130=100,サマリー!$B$11,0)))+IF(S130="",0,S130*サマリー!$B$12)</f>
        <v>0</v>
      </c>
      <c r="D130" s="27">
        <f>T130+U130+V130+W130+X130+IF(Y130="",0,Y130*サマリー!$B$9)+IF(Z130="",0,IF(Z130=200,サマリー!$B$10,IF(Z130=100,サマリー!$B$11,0)))+IF(AA130="",0,AA130*サマリー!$B$12)</f>
        <v>0</v>
      </c>
      <c r="E130" s="27">
        <f t="shared" si="2"/>
        <v>0</v>
      </c>
      <c r="I130" s="30"/>
      <c r="J130" s="30"/>
      <c r="K130" s="30"/>
      <c r="L130" s="30"/>
      <c r="M130" s="30"/>
      <c r="N130" s="30"/>
      <c r="O130" s="30"/>
      <c r="P130" s="30"/>
      <c r="Q130" s="31"/>
      <c r="R130" s="31"/>
      <c r="S130" s="31"/>
      <c r="T130" s="32"/>
      <c r="U130" s="32"/>
      <c r="V130" s="32"/>
      <c r="W130" s="32"/>
      <c r="X130" s="32"/>
      <c r="Y130" s="33"/>
      <c r="Z130" s="33"/>
      <c r="AA130" s="33"/>
    </row>
    <row r="131" spans="1:27">
      <c r="A131" s="29"/>
      <c r="B131" s="19">
        <f t="shared" si="3"/>
        <v>46327</v>
      </c>
      <c r="C131" s="27">
        <f>I131+J131+K131+L131+M131+N131+O131+P131+IF(Q131="",0,Q131*サマリー!$B$9)+IF(R131="",0,IF(R131=200,サマリー!$B$10,IF(R131=100,サマリー!$B$11,0)))+IF(S131="",0,S131*サマリー!$B$12)</f>
        <v>0</v>
      </c>
      <c r="D131" s="27">
        <f>T131+U131+V131+W131+X131+IF(Y131="",0,Y131*サマリー!$B$9)+IF(Z131="",0,IF(Z131=200,サマリー!$B$10,IF(Z131=100,サマリー!$B$11,0)))+IF(AA131="",0,AA131*サマリー!$B$12)</f>
        <v>0</v>
      </c>
      <c r="E131" s="27">
        <f t="shared" si="2"/>
        <v>0</v>
      </c>
      <c r="I131" s="30"/>
      <c r="J131" s="30"/>
      <c r="K131" s="30"/>
      <c r="L131" s="30"/>
      <c r="M131" s="30"/>
      <c r="N131" s="30"/>
      <c r="O131" s="30"/>
      <c r="P131" s="30"/>
      <c r="Q131" s="31"/>
      <c r="R131" s="31"/>
      <c r="S131" s="31"/>
      <c r="T131" s="32"/>
      <c r="U131" s="32"/>
      <c r="V131" s="32"/>
      <c r="W131" s="32"/>
      <c r="X131" s="32"/>
      <c r="Y131" s="33"/>
      <c r="Z131" s="33"/>
      <c r="AA131" s="33"/>
    </row>
    <row r="132" spans="1:27">
      <c r="A132" s="29"/>
      <c r="B132" s="19">
        <f t="shared" si="3"/>
        <v>46327</v>
      </c>
      <c r="C132" s="27">
        <f>I132+J132+K132+L132+M132+N132+O132+P132+IF(Q132="",0,Q132*サマリー!$B$9)+IF(R132="",0,IF(R132=200,サマリー!$B$10,IF(R132=100,サマリー!$B$11,0)))+IF(S132="",0,S132*サマリー!$B$12)</f>
        <v>0</v>
      </c>
      <c r="D132" s="27">
        <f>T132+U132+V132+W132+X132+IF(Y132="",0,Y132*サマリー!$B$9)+IF(Z132="",0,IF(Z132=200,サマリー!$B$10,IF(Z132=100,サマリー!$B$11,0)))+IF(AA132="",0,AA132*サマリー!$B$12)</f>
        <v>0</v>
      </c>
      <c r="E132" s="27">
        <f t="shared" si="2"/>
        <v>0</v>
      </c>
      <c r="I132" s="30"/>
      <c r="J132" s="30"/>
      <c r="K132" s="30"/>
      <c r="L132" s="30"/>
      <c r="M132" s="30"/>
      <c r="N132" s="30"/>
      <c r="O132" s="30"/>
      <c r="P132" s="30"/>
      <c r="Q132" s="31"/>
      <c r="R132" s="31"/>
      <c r="S132" s="31"/>
      <c r="T132" s="32"/>
      <c r="U132" s="32"/>
      <c r="V132" s="32"/>
      <c r="W132" s="32"/>
      <c r="X132" s="32"/>
      <c r="Y132" s="33"/>
      <c r="Z132" s="33"/>
      <c r="AA132" s="33"/>
    </row>
    <row r="133" spans="1:27">
      <c r="A133" s="29"/>
      <c r="B133" s="19">
        <f t="shared" si="3"/>
        <v>46327</v>
      </c>
      <c r="C133" s="27">
        <f>I133+J133+K133+L133+M133+N133+O133+P133+IF(Q133="",0,Q133*サマリー!$B$9)+IF(R133="",0,IF(R133=200,サマリー!$B$10,IF(R133=100,サマリー!$B$11,0)))+IF(S133="",0,S133*サマリー!$B$12)</f>
        <v>0</v>
      </c>
      <c r="D133" s="27">
        <f>T133+U133+V133+W133+X133+IF(Y133="",0,Y133*サマリー!$B$9)+IF(Z133="",0,IF(Z133=200,サマリー!$B$10,IF(Z133=100,サマリー!$B$11,0)))+IF(AA133="",0,AA133*サマリー!$B$12)</f>
        <v>0</v>
      </c>
      <c r="E133" s="27">
        <f t="shared" si="2"/>
        <v>0</v>
      </c>
      <c r="I133" s="30"/>
      <c r="J133" s="30"/>
      <c r="K133" s="30"/>
      <c r="L133" s="30"/>
      <c r="M133" s="30"/>
      <c r="N133" s="30"/>
      <c r="O133" s="30"/>
      <c r="P133" s="30"/>
      <c r="Q133" s="31"/>
      <c r="R133" s="31"/>
      <c r="S133" s="31"/>
      <c r="T133" s="32"/>
      <c r="U133" s="32"/>
      <c r="V133" s="32"/>
      <c r="W133" s="32"/>
      <c r="X133" s="32"/>
      <c r="Y133" s="33"/>
      <c r="Z133" s="33"/>
      <c r="AA133" s="33"/>
    </row>
    <row r="134" spans="1:27">
      <c r="A134" s="29"/>
      <c r="B134" s="19">
        <f t="shared" si="3"/>
        <v>46327</v>
      </c>
      <c r="C134" s="27">
        <f>I134+J134+K134+L134+M134+N134+O134+P134+IF(Q134="",0,Q134*サマリー!$B$9)+IF(R134="",0,IF(R134=200,サマリー!$B$10,IF(R134=100,サマリー!$B$11,0)))+IF(S134="",0,S134*サマリー!$B$12)</f>
        <v>0</v>
      </c>
      <c r="D134" s="27">
        <f>T134+U134+V134+W134+X134+IF(Y134="",0,Y134*サマリー!$B$9)+IF(Z134="",0,IF(Z134=200,サマリー!$B$10,IF(Z134=100,サマリー!$B$11,0)))+IF(AA134="",0,AA134*サマリー!$B$12)</f>
        <v>0</v>
      </c>
      <c r="E134" s="27">
        <f t="shared" ref="E134:E197" si="4">C134+D134</f>
        <v>0</v>
      </c>
      <c r="I134" s="30"/>
      <c r="J134" s="30"/>
      <c r="K134" s="30"/>
      <c r="L134" s="30"/>
      <c r="M134" s="30"/>
      <c r="N134" s="30"/>
      <c r="O134" s="30"/>
      <c r="P134" s="30"/>
      <c r="Q134" s="31"/>
      <c r="R134" s="31"/>
      <c r="S134" s="31"/>
      <c r="T134" s="32"/>
      <c r="U134" s="32"/>
      <c r="V134" s="32"/>
      <c r="W134" s="32"/>
      <c r="X134" s="32"/>
      <c r="Y134" s="33"/>
      <c r="Z134" s="33"/>
      <c r="AA134" s="33"/>
    </row>
    <row r="135" spans="1:27">
      <c r="A135" s="29"/>
      <c r="B135" s="19">
        <f t="shared" ref="B135:B198" si="5">IF(A135="",B134,IF(A135&lt;DAY(B134),DATE(YEAR(B134),MONTH(B134)+1,A135),DATE(YEAR(B134),MONTH(B134),A135)))</f>
        <v>46327</v>
      </c>
      <c r="C135" s="27">
        <f>I135+J135+K135+L135+M135+N135+O135+P135+IF(Q135="",0,Q135*サマリー!$B$9)+IF(R135="",0,IF(R135=200,サマリー!$B$10,IF(R135=100,サマリー!$B$11,0)))+IF(S135="",0,S135*サマリー!$B$12)</f>
        <v>0</v>
      </c>
      <c r="D135" s="27">
        <f>T135+U135+V135+W135+X135+IF(Y135="",0,Y135*サマリー!$B$9)+IF(Z135="",0,IF(Z135=200,サマリー!$B$10,IF(Z135=100,サマリー!$B$11,0)))+IF(AA135="",0,AA135*サマリー!$B$12)</f>
        <v>0</v>
      </c>
      <c r="E135" s="27">
        <f t="shared" si="4"/>
        <v>0</v>
      </c>
      <c r="I135" s="30"/>
      <c r="J135" s="30"/>
      <c r="K135" s="30"/>
      <c r="L135" s="30"/>
      <c r="M135" s="30"/>
      <c r="N135" s="30"/>
      <c r="O135" s="30"/>
      <c r="P135" s="30"/>
      <c r="Q135" s="31"/>
      <c r="R135" s="31"/>
      <c r="S135" s="31"/>
      <c r="T135" s="32"/>
      <c r="U135" s="32"/>
      <c r="V135" s="32"/>
      <c r="W135" s="32"/>
      <c r="X135" s="32"/>
      <c r="Y135" s="33"/>
      <c r="Z135" s="33"/>
      <c r="AA135" s="33"/>
    </row>
    <row r="136" spans="1:27">
      <c r="A136" s="29"/>
      <c r="B136" s="19">
        <f t="shared" si="5"/>
        <v>46327</v>
      </c>
      <c r="C136" s="27">
        <f>I136+J136+K136+L136+M136+N136+O136+P136+IF(Q136="",0,Q136*サマリー!$B$9)+IF(R136="",0,IF(R136=200,サマリー!$B$10,IF(R136=100,サマリー!$B$11,0)))+IF(S136="",0,S136*サマリー!$B$12)</f>
        <v>0</v>
      </c>
      <c r="D136" s="27">
        <f>T136+U136+V136+W136+X136+IF(Y136="",0,Y136*サマリー!$B$9)+IF(Z136="",0,IF(Z136=200,サマリー!$B$10,IF(Z136=100,サマリー!$B$11,0)))+IF(AA136="",0,AA136*サマリー!$B$12)</f>
        <v>0</v>
      </c>
      <c r="E136" s="27">
        <f t="shared" si="4"/>
        <v>0</v>
      </c>
      <c r="I136" s="30"/>
      <c r="J136" s="30"/>
      <c r="K136" s="30"/>
      <c r="L136" s="30"/>
      <c r="M136" s="30"/>
      <c r="N136" s="30"/>
      <c r="O136" s="30"/>
      <c r="P136" s="30"/>
      <c r="Q136" s="31"/>
      <c r="R136" s="31"/>
      <c r="S136" s="31"/>
      <c r="T136" s="32"/>
      <c r="U136" s="32"/>
      <c r="V136" s="32"/>
      <c r="W136" s="32"/>
      <c r="X136" s="32"/>
      <c r="Y136" s="33"/>
      <c r="Z136" s="33"/>
      <c r="AA136" s="33"/>
    </row>
    <row r="137" spans="1:27">
      <c r="A137" s="29"/>
      <c r="B137" s="19">
        <f t="shared" si="5"/>
        <v>46327</v>
      </c>
      <c r="C137" s="27">
        <f>I137+J137+K137+L137+M137+N137+O137+P137+IF(Q137="",0,Q137*サマリー!$B$9)+IF(R137="",0,IF(R137=200,サマリー!$B$10,IF(R137=100,サマリー!$B$11,0)))+IF(S137="",0,S137*サマリー!$B$12)</f>
        <v>0</v>
      </c>
      <c r="D137" s="27">
        <f>T137+U137+V137+W137+X137+IF(Y137="",0,Y137*サマリー!$B$9)+IF(Z137="",0,IF(Z137=200,サマリー!$B$10,IF(Z137=100,サマリー!$B$11,0)))+IF(AA137="",0,AA137*サマリー!$B$12)</f>
        <v>0</v>
      </c>
      <c r="E137" s="27">
        <f t="shared" si="4"/>
        <v>0</v>
      </c>
      <c r="I137" s="30"/>
      <c r="J137" s="30"/>
      <c r="K137" s="30"/>
      <c r="L137" s="30"/>
      <c r="M137" s="30"/>
      <c r="N137" s="30"/>
      <c r="O137" s="30"/>
      <c r="P137" s="30"/>
      <c r="Q137" s="31"/>
      <c r="R137" s="31"/>
      <c r="S137" s="31"/>
      <c r="T137" s="32"/>
      <c r="U137" s="32"/>
      <c r="V137" s="32"/>
      <c r="W137" s="32"/>
      <c r="X137" s="32"/>
      <c r="Y137" s="33"/>
      <c r="Z137" s="33"/>
      <c r="AA137" s="33"/>
    </row>
    <row r="138" spans="1:27">
      <c r="A138" s="29"/>
      <c r="B138" s="19">
        <f t="shared" si="5"/>
        <v>46327</v>
      </c>
      <c r="C138" s="27">
        <f>I138+J138+K138+L138+M138+N138+O138+P138+IF(Q138="",0,Q138*サマリー!$B$9)+IF(R138="",0,IF(R138=200,サマリー!$B$10,IF(R138=100,サマリー!$B$11,0)))+IF(S138="",0,S138*サマリー!$B$12)</f>
        <v>0</v>
      </c>
      <c r="D138" s="27">
        <f>T138+U138+V138+W138+X138+IF(Y138="",0,Y138*サマリー!$B$9)+IF(Z138="",0,IF(Z138=200,サマリー!$B$10,IF(Z138=100,サマリー!$B$11,0)))+IF(AA138="",0,AA138*サマリー!$B$12)</f>
        <v>0</v>
      </c>
      <c r="E138" s="27">
        <f t="shared" si="4"/>
        <v>0</v>
      </c>
      <c r="I138" s="30"/>
      <c r="J138" s="30"/>
      <c r="K138" s="30"/>
      <c r="L138" s="30"/>
      <c r="M138" s="30"/>
      <c r="N138" s="30"/>
      <c r="O138" s="30"/>
      <c r="P138" s="30"/>
      <c r="Q138" s="31"/>
      <c r="R138" s="31"/>
      <c r="S138" s="31"/>
      <c r="T138" s="32"/>
      <c r="U138" s="32"/>
      <c r="V138" s="32"/>
      <c r="W138" s="32"/>
      <c r="X138" s="32"/>
      <c r="Y138" s="33"/>
      <c r="Z138" s="33"/>
      <c r="AA138" s="33"/>
    </row>
    <row r="139" spans="1:27">
      <c r="A139" s="29"/>
      <c r="B139" s="19">
        <f t="shared" si="5"/>
        <v>46327</v>
      </c>
      <c r="C139" s="27">
        <f>I139+J139+K139+L139+M139+N139+O139+P139+IF(Q139="",0,Q139*サマリー!$B$9)+IF(R139="",0,IF(R139=200,サマリー!$B$10,IF(R139=100,サマリー!$B$11,0)))+IF(S139="",0,S139*サマリー!$B$12)</f>
        <v>0</v>
      </c>
      <c r="D139" s="27">
        <f>T139+U139+V139+W139+X139+IF(Y139="",0,Y139*サマリー!$B$9)+IF(Z139="",0,IF(Z139=200,サマリー!$B$10,IF(Z139=100,サマリー!$B$11,0)))+IF(AA139="",0,AA139*サマリー!$B$12)</f>
        <v>0</v>
      </c>
      <c r="E139" s="27">
        <f t="shared" si="4"/>
        <v>0</v>
      </c>
      <c r="I139" s="30"/>
      <c r="J139" s="30"/>
      <c r="K139" s="30"/>
      <c r="L139" s="30"/>
      <c r="M139" s="30"/>
      <c r="N139" s="30"/>
      <c r="O139" s="30"/>
      <c r="P139" s="30"/>
      <c r="Q139" s="31"/>
      <c r="R139" s="31"/>
      <c r="S139" s="31"/>
      <c r="T139" s="32"/>
      <c r="U139" s="32"/>
      <c r="V139" s="32"/>
      <c r="W139" s="32"/>
      <c r="X139" s="32"/>
      <c r="Y139" s="33"/>
      <c r="Z139" s="33"/>
      <c r="AA139" s="33"/>
    </row>
    <row r="140" spans="1:27">
      <c r="A140" s="29"/>
      <c r="B140" s="19">
        <f t="shared" si="5"/>
        <v>46327</v>
      </c>
      <c r="C140" s="27">
        <f>I140+J140+K140+L140+M140+N140+O140+P140+IF(Q140="",0,Q140*サマリー!$B$9)+IF(R140="",0,IF(R140=200,サマリー!$B$10,IF(R140=100,サマリー!$B$11,0)))+IF(S140="",0,S140*サマリー!$B$12)</f>
        <v>0</v>
      </c>
      <c r="D140" s="27">
        <f>T140+U140+V140+W140+X140+IF(Y140="",0,Y140*サマリー!$B$9)+IF(Z140="",0,IF(Z140=200,サマリー!$B$10,IF(Z140=100,サマリー!$B$11,0)))+IF(AA140="",0,AA140*サマリー!$B$12)</f>
        <v>0</v>
      </c>
      <c r="E140" s="27">
        <f t="shared" si="4"/>
        <v>0</v>
      </c>
      <c r="I140" s="30"/>
      <c r="J140" s="30"/>
      <c r="K140" s="30"/>
      <c r="L140" s="30"/>
      <c r="M140" s="30"/>
      <c r="N140" s="30"/>
      <c r="O140" s="30"/>
      <c r="P140" s="30"/>
      <c r="Q140" s="31"/>
      <c r="R140" s="31"/>
      <c r="S140" s="31"/>
      <c r="T140" s="32"/>
      <c r="U140" s="32"/>
      <c r="V140" s="32"/>
      <c r="W140" s="32"/>
      <c r="X140" s="32"/>
      <c r="Y140" s="33"/>
      <c r="Z140" s="33"/>
      <c r="AA140" s="33"/>
    </row>
    <row r="141" spans="1:27">
      <c r="A141" s="29"/>
      <c r="B141" s="19">
        <f t="shared" si="5"/>
        <v>46327</v>
      </c>
      <c r="C141" s="27">
        <f>I141+J141+K141+L141+M141+N141+O141+P141+IF(Q141="",0,Q141*サマリー!$B$9)+IF(R141="",0,IF(R141=200,サマリー!$B$10,IF(R141=100,サマリー!$B$11,0)))+IF(S141="",0,S141*サマリー!$B$12)</f>
        <v>0</v>
      </c>
      <c r="D141" s="27">
        <f>T141+U141+V141+W141+X141+IF(Y141="",0,Y141*サマリー!$B$9)+IF(Z141="",0,IF(Z141=200,サマリー!$B$10,IF(Z141=100,サマリー!$B$11,0)))+IF(AA141="",0,AA141*サマリー!$B$12)</f>
        <v>0</v>
      </c>
      <c r="E141" s="27">
        <f t="shared" si="4"/>
        <v>0</v>
      </c>
      <c r="I141" s="30"/>
      <c r="J141" s="30"/>
      <c r="K141" s="30"/>
      <c r="L141" s="30"/>
      <c r="M141" s="30"/>
      <c r="N141" s="30"/>
      <c r="O141" s="30"/>
      <c r="P141" s="30"/>
      <c r="Q141" s="31"/>
      <c r="R141" s="31"/>
      <c r="S141" s="31"/>
      <c r="T141" s="32"/>
      <c r="U141" s="32"/>
      <c r="V141" s="32"/>
      <c r="W141" s="32"/>
      <c r="X141" s="32"/>
      <c r="Y141" s="33"/>
      <c r="Z141" s="33"/>
      <c r="AA141" s="33"/>
    </row>
    <row r="142" spans="1:27">
      <c r="A142" s="29"/>
      <c r="B142" s="19">
        <f t="shared" si="5"/>
        <v>46327</v>
      </c>
      <c r="C142" s="27">
        <f>I142+J142+K142+L142+M142+N142+O142+P142+IF(Q142="",0,Q142*サマリー!$B$9)+IF(R142="",0,IF(R142=200,サマリー!$B$10,IF(R142=100,サマリー!$B$11,0)))+IF(S142="",0,S142*サマリー!$B$12)</f>
        <v>0</v>
      </c>
      <c r="D142" s="27">
        <f>T142+U142+V142+W142+X142+IF(Y142="",0,Y142*サマリー!$B$9)+IF(Z142="",0,IF(Z142=200,サマリー!$B$10,IF(Z142=100,サマリー!$B$11,0)))+IF(AA142="",0,AA142*サマリー!$B$12)</f>
        <v>0</v>
      </c>
      <c r="E142" s="27">
        <f t="shared" si="4"/>
        <v>0</v>
      </c>
      <c r="I142" s="30"/>
      <c r="J142" s="30"/>
      <c r="K142" s="30"/>
      <c r="L142" s="30"/>
      <c r="M142" s="30"/>
      <c r="N142" s="30"/>
      <c r="O142" s="30"/>
      <c r="P142" s="30"/>
      <c r="Q142" s="31"/>
      <c r="R142" s="31"/>
      <c r="S142" s="31"/>
      <c r="T142" s="32"/>
      <c r="U142" s="32"/>
      <c r="V142" s="32"/>
      <c r="W142" s="32"/>
      <c r="X142" s="32"/>
      <c r="Y142" s="33"/>
      <c r="Z142" s="33"/>
      <c r="AA142" s="33"/>
    </row>
    <row r="143" spans="1:27">
      <c r="A143" s="29"/>
      <c r="B143" s="19">
        <f t="shared" si="5"/>
        <v>46327</v>
      </c>
      <c r="C143" s="27">
        <f>I143+J143+K143+L143+M143+N143+O143+P143+IF(Q143="",0,Q143*サマリー!$B$9)+IF(R143="",0,IF(R143=200,サマリー!$B$10,IF(R143=100,サマリー!$B$11,0)))+IF(S143="",0,S143*サマリー!$B$12)</f>
        <v>0</v>
      </c>
      <c r="D143" s="27">
        <f>T143+U143+V143+W143+X143+IF(Y143="",0,Y143*サマリー!$B$9)+IF(Z143="",0,IF(Z143=200,サマリー!$B$10,IF(Z143=100,サマリー!$B$11,0)))+IF(AA143="",0,AA143*サマリー!$B$12)</f>
        <v>0</v>
      </c>
      <c r="E143" s="27">
        <f t="shared" si="4"/>
        <v>0</v>
      </c>
      <c r="I143" s="30"/>
      <c r="J143" s="30"/>
      <c r="K143" s="30"/>
      <c r="L143" s="30"/>
      <c r="M143" s="30"/>
      <c r="N143" s="30"/>
      <c r="O143" s="30"/>
      <c r="P143" s="30"/>
      <c r="Q143" s="31"/>
      <c r="R143" s="31"/>
      <c r="S143" s="31"/>
      <c r="T143" s="32"/>
      <c r="U143" s="32"/>
      <c r="V143" s="32"/>
      <c r="W143" s="32"/>
      <c r="X143" s="32"/>
      <c r="Y143" s="33"/>
      <c r="Z143" s="33"/>
      <c r="AA143" s="33"/>
    </row>
    <row r="144" spans="1:27">
      <c r="A144" s="29"/>
      <c r="B144" s="19">
        <f t="shared" si="5"/>
        <v>46327</v>
      </c>
      <c r="C144" s="27">
        <f>I144+J144+K144+L144+M144+N144+O144+P144+IF(Q144="",0,Q144*サマリー!$B$9)+IF(R144="",0,IF(R144=200,サマリー!$B$10,IF(R144=100,サマリー!$B$11,0)))+IF(S144="",0,S144*サマリー!$B$12)</f>
        <v>0</v>
      </c>
      <c r="D144" s="27">
        <f>T144+U144+V144+W144+X144+IF(Y144="",0,Y144*サマリー!$B$9)+IF(Z144="",0,IF(Z144=200,サマリー!$B$10,IF(Z144=100,サマリー!$B$11,0)))+IF(AA144="",0,AA144*サマリー!$B$12)</f>
        <v>0</v>
      </c>
      <c r="E144" s="27">
        <f t="shared" si="4"/>
        <v>0</v>
      </c>
      <c r="I144" s="30"/>
      <c r="J144" s="30"/>
      <c r="K144" s="30"/>
      <c r="L144" s="30"/>
      <c r="M144" s="30"/>
      <c r="N144" s="30"/>
      <c r="O144" s="30"/>
      <c r="P144" s="30"/>
      <c r="Q144" s="31"/>
      <c r="R144" s="31"/>
      <c r="S144" s="31"/>
      <c r="T144" s="32"/>
      <c r="U144" s="32"/>
      <c r="V144" s="32"/>
      <c r="W144" s="32"/>
      <c r="X144" s="32"/>
      <c r="Y144" s="33"/>
      <c r="Z144" s="33"/>
      <c r="AA144" s="33"/>
    </row>
    <row r="145" spans="1:27">
      <c r="A145" s="29"/>
      <c r="B145" s="19">
        <f t="shared" si="5"/>
        <v>46327</v>
      </c>
      <c r="C145" s="27">
        <f>I145+J145+K145+L145+M145+N145+O145+P145+IF(Q145="",0,Q145*サマリー!$B$9)+IF(R145="",0,IF(R145=200,サマリー!$B$10,IF(R145=100,サマリー!$B$11,0)))+IF(S145="",0,S145*サマリー!$B$12)</f>
        <v>0</v>
      </c>
      <c r="D145" s="27">
        <f>T145+U145+V145+W145+X145+IF(Y145="",0,Y145*サマリー!$B$9)+IF(Z145="",0,IF(Z145=200,サマリー!$B$10,IF(Z145=100,サマリー!$B$11,0)))+IF(AA145="",0,AA145*サマリー!$B$12)</f>
        <v>0</v>
      </c>
      <c r="E145" s="27">
        <f t="shared" si="4"/>
        <v>0</v>
      </c>
      <c r="I145" s="30"/>
      <c r="J145" s="30"/>
      <c r="K145" s="30"/>
      <c r="L145" s="30"/>
      <c r="M145" s="30"/>
      <c r="N145" s="30"/>
      <c r="O145" s="30"/>
      <c r="P145" s="30"/>
      <c r="Q145" s="31"/>
      <c r="R145" s="31"/>
      <c r="S145" s="31"/>
      <c r="T145" s="32"/>
      <c r="U145" s="32"/>
      <c r="V145" s="32"/>
      <c r="W145" s="32"/>
      <c r="X145" s="32"/>
      <c r="Y145" s="33"/>
      <c r="Z145" s="33"/>
      <c r="AA145" s="33"/>
    </row>
    <row r="146" spans="1:27">
      <c r="A146" s="29"/>
      <c r="B146" s="19">
        <f t="shared" si="5"/>
        <v>46327</v>
      </c>
      <c r="C146" s="27">
        <f>I146+J146+K146+L146+M146+N146+O146+P146+IF(Q146="",0,Q146*サマリー!$B$9)+IF(R146="",0,IF(R146=200,サマリー!$B$10,IF(R146=100,サマリー!$B$11,0)))+IF(S146="",0,S146*サマリー!$B$12)</f>
        <v>0</v>
      </c>
      <c r="D146" s="27">
        <f>T146+U146+V146+W146+X146+IF(Y146="",0,Y146*サマリー!$B$9)+IF(Z146="",0,IF(Z146=200,サマリー!$B$10,IF(Z146=100,サマリー!$B$11,0)))+IF(AA146="",0,AA146*サマリー!$B$12)</f>
        <v>0</v>
      </c>
      <c r="E146" s="27">
        <f t="shared" si="4"/>
        <v>0</v>
      </c>
      <c r="I146" s="30"/>
      <c r="J146" s="30"/>
      <c r="K146" s="30"/>
      <c r="L146" s="30"/>
      <c r="M146" s="30"/>
      <c r="N146" s="30"/>
      <c r="O146" s="30"/>
      <c r="P146" s="30"/>
      <c r="Q146" s="31"/>
      <c r="R146" s="31"/>
      <c r="S146" s="31"/>
      <c r="T146" s="32"/>
      <c r="U146" s="32"/>
      <c r="V146" s="32"/>
      <c r="W146" s="32"/>
      <c r="X146" s="32"/>
      <c r="Y146" s="33"/>
      <c r="Z146" s="33"/>
      <c r="AA146" s="33"/>
    </row>
    <row r="147" spans="1:27">
      <c r="A147" s="29"/>
      <c r="B147" s="19">
        <f t="shared" si="5"/>
        <v>46327</v>
      </c>
      <c r="C147" s="27">
        <f>I147+J147+K147+L147+M147+N147+O147+P147+IF(Q147="",0,Q147*サマリー!$B$9)+IF(R147="",0,IF(R147=200,サマリー!$B$10,IF(R147=100,サマリー!$B$11,0)))+IF(S147="",0,S147*サマリー!$B$12)</f>
        <v>0</v>
      </c>
      <c r="D147" s="27">
        <f>T147+U147+V147+W147+X147+IF(Y147="",0,Y147*サマリー!$B$9)+IF(Z147="",0,IF(Z147=200,サマリー!$B$10,IF(Z147=100,サマリー!$B$11,0)))+IF(AA147="",0,AA147*サマリー!$B$12)</f>
        <v>0</v>
      </c>
      <c r="E147" s="27">
        <f t="shared" si="4"/>
        <v>0</v>
      </c>
      <c r="I147" s="30"/>
      <c r="J147" s="30"/>
      <c r="K147" s="30"/>
      <c r="L147" s="30"/>
      <c r="M147" s="30"/>
      <c r="N147" s="30"/>
      <c r="O147" s="30"/>
      <c r="P147" s="30"/>
      <c r="Q147" s="31"/>
      <c r="R147" s="31"/>
      <c r="S147" s="31"/>
      <c r="T147" s="32"/>
      <c r="U147" s="32"/>
      <c r="V147" s="32"/>
      <c r="W147" s="32"/>
      <c r="X147" s="32"/>
      <c r="Y147" s="33"/>
      <c r="Z147" s="33"/>
      <c r="AA147" s="33"/>
    </row>
    <row r="148" spans="1:27">
      <c r="A148" s="29"/>
      <c r="B148" s="19">
        <f t="shared" si="5"/>
        <v>46327</v>
      </c>
      <c r="C148" s="27">
        <f>I148+J148+K148+L148+M148+N148+O148+P148+IF(Q148="",0,Q148*サマリー!$B$9)+IF(R148="",0,IF(R148=200,サマリー!$B$10,IF(R148=100,サマリー!$B$11,0)))+IF(S148="",0,S148*サマリー!$B$12)</f>
        <v>0</v>
      </c>
      <c r="D148" s="27">
        <f>T148+U148+V148+W148+X148+IF(Y148="",0,Y148*サマリー!$B$9)+IF(Z148="",0,IF(Z148=200,サマリー!$B$10,IF(Z148=100,サマリー!$B$11,0)))+IF(AA148="",0,AA148*サマリー!$B$12)</f>
        <v>0</v>
      </c>
      <c r="E148" s="27">
        <f t="shared" si="4"/>
        <v>0</v>
      </c>
      <c r="I148" s="30"/>
      <c r="J148" s="30"/>
      <c r="K148" s="30"/>
      <c r="L148" s="30"/>
      <c r="M148" s="30"/>
      <c r="N148" s="30"/>
      <c r="O148" s="30"/>
      <c r="P148" s="30"/>
      <c r="Q148" s="31"/>
      <c r="R148" s="31"/>
      <c r="S148" s="31"/>
      <c r="T148" s="32"/>
      <c r="U148" s="32"/>
      <c r="V148" s="32"/>
      <c r="W148" s="32"/>
      <c r="X148" s="32"/>
      <c r="Y148" s="33"/>
      <c r="Z148" s="33"/>
      <c r="AA148" s="33"/>
    </row>
    <row r="149" spans="1:27">
      <c r="A149" s="29"/>
      <c r="B149" s="19">
        <f t="shared" si="5"/>
        <v>46327</v>
      </c>
      <c r="C149" s="27">
        <f>I149+J149+K149+L149+M149+N149+O149+P149+IF(Q149="",0,Q149*サマリー!$B$9)+IF(R149="",0,IF(R149=200,サマリー!$B$10,IF(R149=100,サマリー!$B$11,0)))+IF(S149="",0,S149*サマリー!$B$12)</f>
        <v>0</v>
      </c>
      <c r="D149" s="27">
        <f>T149+U149+V149+W149+X149+IF(Y149="",0,Y149*サマリー!$B$9)+IF(Z149="",0,IF(Z149=200,サマリー!$B$10,IF(Z149=100,サマリー!$B$11,0)))+IF(AA149="",0,AA149*サマリー!$B$12)</f>
        <v>0</v>
      </c>
      <c r="E149" s="27">
        <f t="shared" si="4"/>
        <v>0</v>
      </c>
      <c r="I149" s="30"/>
      <c r="J149" s="30"/>
      <c r="K149" s="30"/>
      <c r="L149" s="30"/>
      <c r="M149" s="30"/>
      <c r="N149" s="30"/>
      <c r="O149" s="30"/>
      <c r="P149" s="30"/>
      <c r="Q149" s="31"/>
      <c r="R149" s="31"/>
      <c r="S149" s="31"/>
      <c r="T149" s="32"/>
      <c r="U149" s="32"/>
      <c r="V149" s="32"/>
      <c r="W149" s="32"/>
      <c r="X149" s="32"/>
      <c r="Y149" s="33"/>
      <c r="Z149" s="33"/>
      <c r="AA149" s="33"/>
    </row>
    <row r="150" spans="1:27">
      <c r="A150" s="29"/>
      <c r="B150" s="19">
        <f t="shared" si="5"/>
        <v>46327</v>
      </c>
      <c r="C150" s="27">
        <f>I150+J150+K150+L150+M150+N150+O150+P150+IF(Q150="",0,Q150*サマリー!$B$9)+IF(R150="",0,IF(R150=200,サマリー!$B$10,IF(R150=100,サマリー!$B$11,0)))+IF(S150="",0,S150*サマリー!$B$12)</f>
        <v>0</v>
      </c>
      <c r="D150" s="27">
        <f>T150+U150+V150+W150+X150+IF(Y150="",0,Y150*サマリー!$B$9)+IF(Z150="",0,IF(Z150=200,サマリー!$B$10,IF(Z150=100,サマリー!$B$11,0)))+IF(AA150="",0,AA150*サマリー!$B$12)</f>
        <v>0</v>
      </c>
      <c r="E150" s="27">
        <f t="shared" si="4"/>
        <v>0</v>
      </c>
      <c r="I150" s="30"/>
      <c r="J150" s="30"/>
      <c r="K150" s="30"/>
      <c r="L150" s="30"/>
      <c r="M150" s="30"/>
      <c r="N150" s="30"/>
      <c r="O150" s="30"/>
      <c r="P150" s="30"/>
      <c r="Q150" s="31"/>
      <c r="R150" s="31"/>
      <c r="S150" s="31"/>
      <c r="T150" s="32"/>
      <c r="U150" s="32"/>
      <c r="V150" s="32"/>
      <c r="W150" s="32"/>
      <c r="X150" s="32"/>
      <c r="Y150" s="33"/>
      <c r="Z150" s="33"/>
      <c r="AA150" s="33"/>
    </row>
    <row r="151" spans="1:27">
      <c r="A151" s="29"/>
      <c r="B151" s="19">
        <f t="shared" si="5"/>
        <v>46327</v>
      </c>
      <c r="C151" s="27">
        <f>I151+J151+K151+L151+M151+N151+O151+P151+IF(Q151="",0,Q151*サマリー!$B$9)+IF(R151="",0,IF(R151=200,サマリー!$B$10,IF(R151=100,サマリー!$B$11,0)))+IF(S151="",0,S151*サマリー!$B$12)</f>
        <v>0</v>
      </c>
      <c r="D151" s="27">
        <f>T151+U151+V151+W151+X151+IF(Y151="",0,Y151*サマリー!$B$9)+IF(Z151="",0,IF(Z151=200,サマリー!$B$10,IF(Z151=100,サマリー!$B$11,0)))+IF(AA151="",0,AA151*サマリー!$B$12)</f>
        <v>0</v>
      </c>
      <c r="E151" s="27">
        <f t="shared" si="4"/>
        <v>0</v>
      </c>
      <c r="I151" s="30"/>
      <c r="J151" s="30"/>
      <c r="K151" s="30"/>
      <c r="L151" s="30"/>
      <c r="M151" s="30"/>
      <c r="N151" s="30"/>
      <c r="O151" s="30"/>
      <c r="P151" s="30"/>
      <c r="Q151" s="31"/>
      <c r="R151" s="31"/>
      <c r="S151" s="31"/>
      <c r="T151" s="32"/>
      <c r="U151" s="32"/>
      <c r="V151" s="32"/>
      <c r="W151" s="32"/>
      <c r="X151" s="32"/>
      <c r="Y151" s="33"/>
      <c r="Z151" s="33"/>
      <c r="AA151" s="33"/>
    </row>
    <row r="152" spans="1:27">
      <c r="A152" s="29"/>
      <c r="B152" s="19">
        <f t="shared" si="5"/>
        <v>46327</v>
      </c>
      <c r="C152" s="27">
        <f>I152+J152+K152+L152+M152+N152+O152+P152+IF(Q152="",0,Q152*サマリー!$B$9)+IF(R152="",0,IF(R152=200,サマリー!$B$10,IF(R152=100,サマリー!$B$11,0)))+IF(S152="",0,S152*サマリー!$B$12)</f>
        <v>0</v>
      </c>
      <c r="D152" s="27">
        <f>T152+U152+V152+W152+X152+IF(Y152="",0,Y152*サマリー!$B$9)+IF(Z152="",0,IF(Z152=200,サマリー!$B$10,IF(Z152=100,サマリー!$B$11,0)))+IF(AA152="",0,AA152*サマリー!$B$12)</f>
        <v>0</v>
      </c>
      <c r="E152" s="27">
        <f t="shared" si="4"/>
        <v>0</v>
      </c>
      <c r="I152" s="30"/>
      <c r="J152" s="30"/>
      <c r="K152" s="30"/>
      <c r="L152" s="30"/>
      <c r="M152" s="30"/>
      <c r="N152" s="30"/>
      <c r="O152" s="30"/>
      <c r="P152" s="30"/>
      <c r="Q152" s="31"/>
      <c r="R152" s="31"/>
      <c r="S152" s="31"/>
      <c r="T152" s="32"/>
      <c r="U152" s="32"/>
      <c r="V152" s="32"/>
      <c r="W152" s="32"/>
      <c r="X152" s="32"/>
      <c r="Y152" s="33"/>
      <c r="Z152" s="33"/>
      <c r="AA152" s="33"/>
    </row>
    <row r="153" spans="1:27">
      <c r="A153" s="29"/>
      <c r="B153" s="19">
        <f t="shared" si="5"/>
        <v>46327</v>
      </c>
      <c r="C153" s="27">
        <f>I153+J153+K153+L153+M153+N153+O153+P153+IF(Q153="",0,Q153*サマリー!$B$9)+IF(R153="",0,IF(R153=200,サマリー!$B$10,IF(R153=100,サマリー!$B$11,0)))+IF(S153="",0,S153*サマリー!$B$12)</f>
        <v>0</v>
      </c>
      <c r="D153" s="27">
        <f>T153+U153+V153+W153+X153+IF(Y153="",0,Y153*サマリー!$B$9)+IF(Z153="",0,IF(Z153=200,サマリー!$B$10,IF(Z153=100,サマリー!$B$11,0)))+IF(AA153="",0,AA153*サマリー!$B$12)</f>
        <v>0</v>
      </c>
      <c r="E153" s="27">
        <f t="shared" si="4"/>
        <v>0</v>
      </c>
      <c r="I153" s="30"/>
      <c r="J153" s="30"/>
      <c r="K153" s="30"/>
      <c r="L153" s="30"/>
      <c r="M153" s="30"/>
      <c r="N153" s="30"/>
      <c r="O153" s="30"/>
      <c r="P153" s="30"/>
      <c r="Q153" s="31"/>
      <c r="R153" s="31"/>
      <c r="S153" s="31"/>
      <c r="T153" s="32"/>
      <c r="U153" s="32"/>
      <c r="V153" s="32"/>
      <c r="W153" s="32"/>
      <c r="X153" s="32"/>
      <c r="Y153" s="33"/>
      <c r="Z153" s="33"/>
      <c r="AA153" s="33"/>
    </row>
    <row r="154" spans="1:27">
      <c r="A154" s="29"/>
      <c r="B154" s="19">
        <f t="shared" si="5"/>
        <v>46327</v>
      </c>
      <c r="C154" s="27">
        <f>I154+J154+K154+L154+M154+N154+O154+P154+IF(Q154="",0,Q154*サマリー!$B$9)+IF(R154="",0,IF(R154=200,サマリー!$B$10,IF(R154=100,サマリー!$B$11,0)))+IF(S154="",0,S154*サマリー!$B$12)</f>
        <v>0</v>
      </c>
      <c r="D154" s="27">
        <f>T154+U154+V154+W154+X154+IF(Y154="",0,Y154*サマリー!$B$9)+IF(Z154="",0,IF(Z154=200,サマリー!$B$10,IF(Z154=100,サマリー!$B$11,0)))+IF(AA154="",0,AA154*サマリー!$B$12)</f>
        <v>0</v>
      </c>
      <c r="E154" s="27">
        <f t="shared" si="4"/>
        <v>0</v>
      </c>
      <c r="I154" s="30"/>
      <c r="J154" s="30"/>
      <c r="K154" s="30"/>
      <c r="L154" s="30"/>
      <c r="M154" s="30"/>
      <c r="N154" s="30"/>
      <c r="O154" s="30"/>
      <c r="P154" s="30"/>
      <c r="Q154" s="31"/>
      <c r="R154" s="31"/>
      <c r="S154" s="31"/>
      <c r="T154" s="32"/>
      <c r="U154" s="32"/>
      <c r="V154" s="32"/>
      <c r="W154" s="32"/>
      <c r="X154" s="32"/>
      <c r="Y154" s="33"/>
      <c r="Z154" s="33"/>
      <c r="AA154" s="33"/>
    </row>
    <row r="155" spans="1:27">
      <c r="A155" s="29"/>
      <c r="B155" s="19">
        <f t="shared" si="5"/>
        <v>46327</v>
      </c>
      <c r="C155" s="27">
        <f>I155+J155+K155+L155+M155+N155+O155+P155+IF(Q155="",0,Q155*サマリー!$B$9)+IF(R155="",0,IF(R155=200,サマリー!$B$10,IF(R155=100,サマリー!$B$11,0)))+IF(S155="",0,S155*サマリー!$B$12)</f>
        <v>0</v>
      </c>
      <c r="D155" s="27">
        <f>T155+U155+V155+W155+X155+IF(Y155="",0,Y155*サマリー!$B$9)+IF(Z155="",0,IF(Z155=200,サマリー!$B$10,IF(Z155=100,サマリー!$B$11,0)))+IF(AA155="",0,AA155*サマリー!$B$12)</f>
        <v>0</v>
      </c>
      <c r="E155" s="27">
        <f t="shared" si="4"/>
        <v>0</v>
      </c>
      <c r="I155" s="30"/>
      <c r="J155" s="30"/>
      <c r="K155" s="30"/>
      <c r="L155" s="30"/>
      <c r="M155" s="30"/>
      <c r="N155" s="30"/>
      <c r="O155" s="30"/>
      <c r="P155" s="30"/>
      <c r="Q155" s="31"/>
      <c r="R155" s="31"/>
      <c r="S155" s="31"/>
      <c r="T155" s="32"/>
      <c r="U155" s="32"/>
      <c r="V155" s="32"/>
      <c r="W155" s="32"/>
      <c r="X155" s="32"/>
      <c r="Y155" s="33"/>
      <c r="Z155" s="33"/>
      <c r="AA155" s="33"/>
    </row>
    <row r="156" spans="1:27">
      <c r="A156" s="29"/>
      <c r="B156" s="19">
        <f t="shared" si="5"/>
        <v>46327</v>
      </c>
      <c r="C156" s="27">
        <f>I156+J156+K156+L156+M156+N156+O156+P156+IF(Q156="",0,Q156*サマリー!$B$9)+IF(R156="",0,IF(R156=200,サマリー!$B$10,IF(R156=100,サマリー!$B$11,0)))+IF(S156="",0,S156*サマリー!$B$12)</f>
        <v>0</v>
      </c>
      <c r="D156" s="27">
        <f>T156+U156+V156+W156+X156+IF(Y156="",0,Y156*サマリー!$B$9)+IF(Z156="",0,IF(Z156=200,サマリー!$B$10,IF(Z156=100,サマリー!$B$11,0)))+IF(AA156="",0,AA156*サマリー!$B$12)</f>
        <v>0</v>
      </c>
      <c r="E156" s="27">
        <f t="shared" si="4"/>
        <v>0</v>
      </c>
      <c r="I156" s="30"/>
      <c r="J156" s="30"/>
      <c r="K156" s="30"/>
      <c r="L156" s="30"/>
      <c r="M156" s="30"/>
      <c r="N156" s="30"/>
      <c r="O156" s="30"/>
      <c r="P156" s="30"/>
      <c r="Q156" s="31"/>
      <c r="R156" s="31"/>
      <c r="S156" s="31"/>
      <c r="T156" s="32"/>
      <c r="U156" s="32"/>
      <c r="V156" s="32"/>
      <c r="W156" s="32"/>
      <c r="X156" s="32"/>
      <c r="Y156" s="33"/>
      <c r="Z156" s="33"/>
      <c r="AA156" s="33"/>
    </row>
    <row r="157" spans="1:27">
      <c r="A157" s="29"/>
      <c r="B157" s="19">
        <f t="shared" si="5"/>
        <v>46327</v>
      </c>
      <c r="C157" s="27">
        <f>I157+J157+K157+L157+M157+N157+O157+P157+IF(Q157="",0,Q157*サマリー!$B$9)+IF(R157="",0,IF(R157=200,サマリー!$B$10,IF(R157=100,サマリー!$B$11,0)))+IF(S157="",0,S157*サマリー!$B$12)</f>
        <v>0</v>
      </c>
      <c r="D157" s="27">
        <f>T157+U157+V157+W157+X157+IF(Y157="",0,Y157*サマリー!$B$9)+IF(Z157="",0,IF(Z157=200,サマリー!$B$10,IF(Z157=100,サマリー!$B$11,0)))+IF(AA157="",0,AA157*サマリー!$B$12)</f>
        <v>0</v>
      </c>
      <c r="E157" s="27">
        <f t="shared" si="4"/>
        <v>0</v>
      </c>
      <c r="I157" s="30"/>
      <c r="J157" s="30"/>
      <c r="K157" s="30"/>
      <c r="L157" s="30"/>
      <c r="M157" s="30"/>
      <c r="N157" s="30"/>
      <c r="O157" s="30"/>
      <c r="P157" s="30"/>
      <c r="Q157" s="31"/>
      <c r="R157" s="31"/>
      <c r="S157" s="31"/>
      <c r="T157" s="32"/>
      <c r="U157" s="32"/>
      <c r="V157" s="32"/>
      <c r="W157" s="32"/>
      <c r="X157" s="32"/>
      <c r="Y157" s="33"/>
      <c r="Z157" s="33"/>
      <c r="AA157" s="33"/>
    </row>
    <row r="158" spans="1:27">
      <c r="A158" s="29"/>
      <c r="B158" s="19">
        <f t="shared" si="5"/>
        <v>46327</v>
      </c>
      <c r="C158" s="27">
        <f>I158+J158+K158+L158+M158+N158+O158+P158+IF(Q158="",0,Q158*サマリー!$B$9)+IF(R158="",0,IF(R158=200,サマリー!$B$10,IF(R158=100,サマリー!$B$11,0)))+IF(S158="",0,S158*サマリー!$B$12)</f>
        <v>0</v>
      </c>
      <c r="D158" s="27">
        <f>T158+U158+V158+W158+X158+IF(Y158="",0,Y158*サマリー!$B$9)+IF(Z158="",0,IF(Z158=200,サマリー!$B$10,IF(Z158=100,サマリー!$B$11,0)))+IF(AA158="",0,AA158*サマリー!$B$12)</f>
        <v>0</v>
      </c>
      <c r="E158" s="27">
        <f t="shared" si="4"/>
        <v>0</v>
      </c>
      <c r="I158" s="30"/>
      <c r="J158" s="30"/>
      <c r="K158" s="30"/>
      <c r="L158" s="30"/>
      <c r="M158" s="30"/>
      <c r="N158" s="30"/>
      <c r="O158" s="30"/>
      <c r="P158" s="30"/>
      <c r="Q158" s="31"/>
      <c r="R158" s="31"/>
      <c r="S158" s="31"/>
      <c r="T158" s="32"/>
      <c r="U158" s="32"/>
      <c r="V158" s="32"/>
      <c r="W158" s="32"/>
      <c r="X158" s="32"/>
      <c r="Y158" s="33"/>
      <c r="Z158" s="33"/>
      <c r="AA158" s="33"/>
    </row>
    <row r="159" spans="1:27">
      <c r="A159" s="29"/>
      <c r="B159" s="19">
        <f t="shared" si="5"/>
        <v>46327</v>
      </c>
      <c r="C159" s="27">
        <f>I159+J159+K159+L159+M159+N159+O159+P159+IF(Q159="",0,Q159*サマリー!$B$9)+IF(R159="",0,IF(R159=200,サマリー!$B$10,IF(R159=100,サマリー!$B$11,0)))+IF(S159="",0,S159*サマリー!$B$12)</f>
        <v>0</v>
      </c>
      <c r="D159" s="27">
        <f>T159+U159+V159+W159+X159+IF(Y159="",0,Y159*サマリー!$B$9)+IF(Z159="",0,IF(Z159=200,サマリー!$B$10,IF(Z159=100,サマリー!$B$11,0)))+IF(AA159="",0,AA159*サマリー!$B$12)</f>
        <v>0</v>
      </c>
      <c r="E159" s="27">
        <f t="shared" si="4"/>
        <v>0</v>
      </c>
      <c r="I159" s="30"/>
      <c r="J159" s="30"/>
      <c r="K159" s="30"/>
      <c r="L159" s="30"/>
      <c r="M159" s="30"/>
      <c r="N159" s="30"/>
      <c r="O159" s="30"/>
      <c r="P159" s="30"/>
      <c r="Q159" s="31"/>
      <c r="R159" s="31"/>
      <c r="S159" s="31"/>
      <c r="T159" s="32"/>
      <c r="U159" s="32"/>
      <c r="V159" s="32"/>
      <c r="W159" s="32"/>
      <c r="X159" s="32"/>
      <c r="Y159" s="33"/>
      <c r="Z159" s="33"/>
      <c r="AA159" s="33"/>
    </row>
    <row r="160" spans="1:27">
      <c r="A160" s="29"/>
      <c r="B160" s="19">
        <f t="shared" si="5"/>
        <v>46327</v>
      </c>
      <c r="C160" s="27">
        <f>I160+J160+K160+L160+M160+N160+O160+P160+IF(Q160="",0,Q160*サマリー!$B$9)+IF(R160="",0,IF(R160=200,サマリー!$B$10,IF(R160=100,サマリー!$B$11,0)))+IF(S160="",0,S160*サマリー!$B$12)</f>
        <v>0</v>
      </c>
      <c r="D160" s="27">
        <f>T160+U160+V160+W160+X160+IF(Y160="",0,Y160*サマリー!$B$9)+IF(Z160="",0,IF(Z160=200,サマリー!$B$10,IF(Z160=100,サマリー!$B$11,0)))+IF(AA160="",0,AA160*サマリー!$B$12)</f>
        <v>0</v>
      </c>
      <c r="E160" s="27">
        <f t="shared" si="4"/>
        <v>0</v>
      </c>
      <c r="I160" s="30"/>
      <c r="J160" s="30"/>
      <c r="K160" s="30"/>
      <c r="L160" s="30"/>
      <c r="M160" s="30"/>
      <c r="N160" s="30"/>
      <c r="O160" s="30"/>
      <c r="P160" s="30"/>
      <c r="Q160" s="31"/>
      <c r="R160" s="31"/>
      <c r="S160" s="31"/>
      <c r="T160" s="32"/>
      <c r="U160" s="32"/>
      <c r="V160" s="32"/>
      <c r="W160" s="32"/>
      <c r="X160" s="32"/>
      <c r="Y160" s="33"/>
      <c r="Z160" s="33"/>
      <c r="AA160" s="33"/>
    </row>
    <row r="161" spans="1:27">
      <c r="A161" s="29"/>
      <c r="B161" s="19">
        <f t="shared" si="5"/>
        <v>46327</v>
      </c>
      <c r="C161" s="27">
        <f>I161+J161+K161+L161+M161+N161+O161+P161+IF(Q161="",0,Q161*サマリー!$B$9)+IF(R161="",0,IF(R161=200,サマリー!$B$10,IF(R161=100,サマリー!$B$11,0)))+IF(S161="",0,S161*サマリー!$B$12)</f>
        <v>0</v>
      </c>
      <c r="D161" s="27">
        <f>T161+U161+V161+W161+X161+IF(Y161="",0,Y161*サマリー!$B$9)+IF(Z161="",0,IF(Z161=200,サマリー!$B$10,IF(Z161=100,サマリー!$B$11,0)))+IF(AA161="",0,AA161*サマリー!$B$12)</f>
        <v>0</v>
      </c>
      <c r="E161" s="27">
        <f t="shared" si="4"/>
        <v>0</v>
      </c>
      <c r="I161" s="30"/>
      <c r="J161" s="30"/>
      <c r="K161" s="30"/>
      <c r="L161" s="30"/>
      <c r="M161" s="30"/>
      <c r="N161" s="30"/>
      <c r="O161" s="30"/>
      <c r="P161" s="30"/>
      <c r="Q161" s="31"/>
      <c r="R161" s="31"/>
      <c r="S161" s="31"/>
      <c r="T161" s="32"/>
      <c r="U161" s="32"/>
      <c r="V161" s="32"/>
      <c r="W161" s="32"/>
      <c r="X161" s="32"/>
      <c r="Y161" s="33"/>
      <c r="Z161" s="33"/>
      <c r="AA161" s="33"/>
    </row>
    <row r="162" spans="1:27">
      <c r="A162" s="29"/>
      <c r="B162" s="19">
        <f t="shared" si="5"/>
        <v>46327</v>
      </c>
      <c r="C162" s="27">
        <f>I162+J162+K162+L162+M162+N162+O162+P162+IF(Q162="",0,Q162*サマリー!$B$9)+IF(R162="",0,IF(R162=200,サマリー!$B$10,IF(R162=100,サマリー!$B$11,0)))+IF(S162="",0,S162*サマリー!$B$12)</f>
        <v>0</v>
      </c>
      <c r="D162" s="27">
        <f>T162+U162+V162+W162+X162+IF(Y162="",0,Y162*サマリー!$B$9)+IF(Z162="",0,IF(Z162=200,サマリー!$B$10,IF(Z162=100,サマリー!$B$11,0)))+IF(AA162="",0,AA162*サマリー!$B$12)</f>
        <v>0</v>
      </c>
      <c r="E162" s="27">
        <f t="shared" si="4"/>
        <v>0</v>
      </c>
      <c r="I162" s="30"/>
      <c r="J162" s="30"/>
      <c r="K162" s="30"/>
      <c r="L162" s="30"/>
      <c r="M162" s="30"/>
      <c r="N162" s="30"/>
      <c r="O162" s="30"/>
      <c r="P162" s="30"/>
      <c r="Q162" s="31"/>
      <c r="R162" s="31"/>
      <c r="S162" s="31"/>
      <c r="T162" s="32"/>
      <c r="U162" s="32"/>
      <c r="V162" s="32"/>
      <c r="W162" s="32"/>
      <c r="X162" s="32"/>
      <c r="Y162" s="33"/>
      <c r="Z162" s="33"/>
      <c r="AA162" s="33"/>
    </row>
    <row r="163" spans="1:27">
      <c r="A163" s="29"/>
      <c r="B163" s="19">
        <f t="shared" si="5"/>
        <v>46327</v>
      </c>
      <c r="C163" s="27">
        <f>I163+J163+K163+L163+M163+N163+O163+P163+IF(Q163="",0,Q163*サマリー!$B$9)+IF(R163="",0,IF(R163=200,サマリー!$B$10,IF(R163=100,サマリー!$B$11,0)))+IF(S163="",0,S163*サマリー!$B$12)</f>
        <v>0</v>
      </c>
      <c r="D163" s="27">
        <f>T163+U163+V163+W163+X163+IF(Y163="",0,Y163*サマリー!$B$9)+IF(Z163="",0,IF(Z163=200,サマリー!$B$10,IF(Z163=100,サマリー!$B$11,0)))+IF(AA163="",0,AA163*サマリー!$B$12)</f>
        <v>0</v>
      </c>
      <c r="E163" s="27">
        <f t="shared" si="4"/>
        <v>0</v>
      </c>
      <c r="I163" s="30"/>
      <c r="J163" s="30"/>
      <c r="K163" s="30"/>
      <c r="L163" s="30"/>
      <c r="M163" s="30"/>
      <c r="N163" s="30"/>
      <c r="O163" s="30"/>
      <c r="P163" s="30"/>
      <c r="Q163" s="31"/>
      <c r="R163" s="31"/>
      <c r="S163" s="31"/>
      <c r="T163" s="32"/>
      <c r="U163" s="32"/>
      <c r="V163" s="32"/>
      <c r="W163" s="32"/>
      <c r="X163" s="32"/>
      <c r="Y163" s="33"/>
      <c r="Z163" s="33"/>
      <c r="AA163" s="33"/>
    </row>
    <row r="164" spans="1:27">
      <c r="A164" s="29"/>
      <c r="B164" s="19">
        <f t="shared" si="5"/>
        <v>46327</v>
      </c>
      <c r="C164" s="27">
        <f>I164+J164+K164+L164+M164+N164+O164+P164+IF(Q164="",0,Q164*サマリー!$B$9)+IF(R164="",0,IF(R164=200,サマリー!$B$10,IF(R164=100,サマリー!$B$11,0)))+IF(S164="",0,S164*サマリー!$B$12)</f>
        <v>0</v>
      </c>
      <c r="D164" s="27">
        <f>T164+U164+V164+W164+X164+IF(Y164="",0,Y164*サマリー!$B$9)+IF(Z164="",0,IF(Z164=200,サマリー!$B$10,IF(Z164=100,サマリー!$B$11,0)))+IF(AA164="",0,AA164*サマリー!$B$12)</f>
        <v>0</v>
      </c>
      <c r="E164" s="27">
        <f t="shared" si="4"/>
        <v>0</v>
      </c>
      <c r="I164" s="30"/>
      <c r="J164" s="30"/>
      <c r="K164" s="30"/>
      <c r="L164" s="30"/>
      <c r="M164" s="30"/>
      <c r="N164" s="30"/>
      <c r="O164" s="30"/>
      <c r="P164" s="30"/>
      <c r="Q164" s="31"/>
      <c r="R164" s="31"/>
      <c r="S164" s="31"/>
      <c r="T164" s="32"/>
      <c r="U164" s="32"/>
      <c r="V164" s="32"/>
      <c r="W164" s="32"/>
      <c r="X164" s="32"/>
      <c r="Y164" s="33"/>
      <c r="Z164" s="33"/>
      <c r="AA164" s="33"/>
    </row>
    <row r="165" spans="1:27">
      <c r="A165" s="29"/>
      <c r="B165" s="19">
        <f t="shared" si="5"/>
        <v>46327</v>
      </c>
      <c r="C165" s="27">
        <f>I165+J165+K165+L165+M165+N165+O165+P165+IF(Q165="",0,Q165*サマリー!$B$9)+IF(R165="",0,IF(R165=200,サマリー!$B$10,IF(R165=100,サマリー!$B$11,0)))+IF(S165="",0,S165*サマリー!$B$12)</f>
        <v>0</v>
      </c>
      <c r="D165" s="27">
        <f>T165+U165+V165+W165+X165+IF(Y165="",0,Y165*サマリー!$B$9)+IF(Z165="",0,IF(Z165=200,サマリー!$B$10,IF(Z165=100,サマリー!$B$11,0)))+IF(AA165="",0,AA165*サマリー!$B$12)</f>
        <v>0</v>
      </c>
      <c r="E165" s="27">
        <f t="shared" si="4"/>
        <v>0</v>
      </c>
      <c r="I165" s="30"/>
      <c r="J165" s="30"/>
      <c r="K165" s="30"/>
      <c r="L165" s="30"/>
      <c r="M165" s="30"/>
      <c r="N165" s="30"/>
      <c r="O165" s="30"/>
      <c r="P165" s="30"/>
      <c r="Q165" s="31"/>
      <c r="R165" s="31"/>
      <c r="S165" s="31"/>
      <c r="T165" s="32"/>
      <c r="U165" s="32"/>
      <c r="V165" s="32"/>
      <c r="W165" s="32"/>
      <c r="X165" s="32"/>
      <c r="Y165" s="33"/>
      <c r="Z165" s="33"/>
      <c r="AA165" s="33"/>
    </row>
    <row r="166" spans="1:27">
      <c r="A166" s="29"/>
      <c r="B166" s="19">
        <f t="shared" si="5"/>
        <v>46327</v>
      </c>
      <c r="C166" s="27">
        <f>I166+J166+K166+L166+M166+N166+O166+P166+IF(Q166="",0,Q166*サマリー!$B$9)+IF(R166="",0,IF(R166=200,サマリー!$B$10,IF(R166=100,サマリー!$B$11,0)))+IF(S166="",0,S166*サマリー!$B$12)</f>
        <v>0</v>
      </c>
      <c r="D166" s="27">
        <f>T166+U166+V166+W166+X166+IF(Y166="",0,Y166*サマリー!$B$9)+IF(Z166="",0,IF(Z166=200,サマリー!$B$10,IF(Z166=100,サマリー!$B$11,0)))+IF(AA166="",0,AA166*サマリー!$B$12)</f>
        <v>0</v>
      </c>
      <c r="E166" s="27">
        <f t="shared" si="4"/>
        <v>0</v>
      </c>
      <c r="I166" s="30"/>
      <c r="J166" s="30"/>
      <c r="K166" s="30"/>
      <c r="L166" s="30"/>
      <c r="M166" s="30"/>
      <c r="N166" s="30"/>
      <c r="O166" s="30"/>
      <c r="P166" s="30"/>
      <c r="Q166" s="31"/>
      <c r="R166" s="31"/>
      <c r="S166" s="31"/>
      <c r="T166" s="32"/>
      <c r="U166" s="32"/>
      <c r="V166" s="32"/>
      <c r="W166" s="32"/>
      <c r="X166" s="32"/>
      <c r="Y166" s="33"/>
      <c r="Z166" s="33"/>
      <c r="AA166" s="33"/>
    </row>
    <row r="167" spans="1:27">
      <c r="A167" s="29"/>
      <c r="B167" s="19">
        <f t="shared" si="5"/>
        <v>46327</v>
      </c>
      <c r="C167" s="27">
        <f>I167+J167+K167+L167+M167+N167+O167+P167+IF(Q167="",0,Q167*サマリー!$B$9)+IF(R167="",0,IF(R167=200,サマリー!$B$10,IF(R167=100,サマリー!$B$11,0)))+IF(S167="",0,S167*サマリー!$B$12)</f>
        <v>0</v>
      </c>
      <c r="D167" s="27">
        <f>T167+U167+V167+W167+X167+IF(Y167="",0,Y167*サマリー!$B$9)+IF(Z167="",0,IF(Z167=200,サマリー!$B$10,IF(Z167=100,サマリー!$B$11,0)))+IF(AA167="",0,AA167*サマリー!$B$12)</f>
        <v>0</v>
      </c>
      <c r="E167" s="27">
        <f t="shared" si="4"/>
        <v>0</v>
      </c>
      <c r="I167" s="30"/>
      <c r="J167" s="30"/>
      <c r="K167" s="30"/>
      <c r="L167" s="30"/>
      <c r="M167" s="30"/>
      <c r="N167" s="30"/>
      <c r="O167" s="30"/>
      <c r="P167" s="30"/>
      <c r="Q167" s="31"/>
      <c r="R167" s="31"/>
      <c r="S167" s="31"/>
      <c r="T167" s="32"/>
      <c r="U167" s="32"/>
      <c r="V167" s="32"/>
      <c r="W167" s="32"/>
      <c r="X167" s="32"/>
      <c r="Y167" s="33"/>
      <c r="Z167" s="33"/>
      <c r="AA167" s="33"/>
    </row>
    <row r="168" spans="1:27">
      <c r="A168" s="29"/>
      <c r="B168" s="19">
        <f t="shared" si="5"/>
        <v>46327</v>
      </c>
      <c r="C168" s="27">
        <f>I168+J168+K168+L168+M168+N168+O168+P168+IF(Q168="",0,Q168*サマリー!$B$9)+IF(R168="",0,IF(R168=200,サマリー!$B$10,IF(R168=100,サマリー!$B$11,0)))+IF(S168="",0,S168*サマリー!$B$12)</f>
        <v>0</v>
      </c>
      <c r="D168" s="27">
        <f>T168+U168+V168+W168+X168+IF(Y168="",0,Y168*サマリー!$B$9)+IF(Z168="",0,IF(Z168=200,サマリー!$B$10,IF(Z168=100,サマリー!$B$11,0)))+IF(AA168="",0,AA168*サマリー!$B$12)</f>
        <v>0</v>
      </c>
      <c r="E168" s="27">
        <f t="shared" si="4"/>
        <v>0</v>
      </c>
      <c r="I168" s="30"/>
      <c r="J168" s="30"/>
      <c r="K168" s="30"/>
      <c r="L168" s="30"/>
      <c r="M168" s="30"/>
      <c r="N168" s="30"/>
      <c r="O168" s="30"/>
      <c r="P168" s="30"/>
      <c r="Q168" s="31"/>
      <c r="R168" s="31"/>
      <c r="S168" s="31"/>
      <c r="T168" s="32"/>
      <c r="U168" s="32"/>
      <c r="V168" s="32"/>
      <c r="W168" s="32"/>
      <c r="X168" s="32"/>
      <c r="Y168" s="33"/>
      <c r="Z168" s="33"/>
      <c r="AA168" s="33"/>
    </row>
    <row r="169" spans="1:27">
      <c r="A169" s="29"/>
      <c r="B169" s="19">
        <f t="shared" si="5"/>
        <v>46327</v>
      </c>
      <c r="C169" s="27">
        <f>I169+J169+K169+L169+M169+N169+O169+P169+IF(Q169="",0,Q169*サマリー!$B$9)+IF(R169="",0,IF(R169=200,サマリー!$B$10,IF(R169=100,サマリー!$B$11,0)))+IF(S169="",0,S169*サマリー!$B$12)</f>
        <v>0</v>
      </c>
      <c r="D169" s="27">
        <f>T169+U169+V169+W169+X169+IF(Y169="",0,Y169*サマリー!$B$9)+IF(Z169="",0,IF(Z169=200,サマリー!$B$10,IF(Z169=100,サマリー!$B$11,0)))+IF(AA169="",0,AA169*サマリー!$B$12)</f>
        <v>0</v>
      </c>
      <c r="E169" s="27">
        <f t="shared" si="4"/>
        <v>0</v>
      </c>
      <c r="I169" s="30"/>
      <c r="J169" s="30"/>
      <c r="K169" s="30"/>
      <c r="L169" s="30"/>
      <c r="M169" s="30"/>
      <c r="N169" s="30"/>
      <c r="O169" s="30"/>
      <c r="P169" s="30"/>
      <c r="Q169" s="31"/>
      <c r="R169" s="31"/>
      <c r="S169" s="31"/>
      <c r="T169" s="32"/>
      <c r="U169" s="32"/>
      <c r="V169" s="32"/>
      <c r="W169" s="32"/>
      <c r="X169" s="32"/>
      <c r="Y169" s="33"/>
      <c r="Z169" s="33"/>
      <c r="AA169" s="33"/>
    </row>
    <row r="170" spans="1:27">
      <c r="A170" s="29"/>
      <c r="B170" s="19">
        <f t="shared" si="5"/>
        <v>46327</v>
      </c>
      <c r="C170" s="27">
        <f>I170+J170+K170+L170+M170+N170+O170+P170+IF(Q170="",0,Q170*サマリー!$B$9)+IF(R170="",0,IF(R170=200,サマリー!$B$10,IF(R170=100,サマリー!$B$11,0)))+IF(S170="",0,S170*サマリー!$B$12)</f>
        <v>0</v>
      </c>
      <c r="D170" s="27">
        <f>T170+U170+V170+W170+X170+IF(Y170="",0,Y170*サマリー!$B$9)+IF(Z170="",0,IF(Z170=200,サマリー!$B$10,IF(Z170=100,サマリー!$B$11,0)))+IF(AA170="",0,AA170*サマリー!$B$12)</f>
        <v>0</v>
      </c>
      <c r="E170" s="27">
        <f t="shared" si="4"/>
        <v>0</v>
      </c>
      <c r="I170" s="30"/>
      <c r="J170" s="30"/>
      <c r="K170" s="30"/>
      <c r="L170" s="30"/>
      <c r="M170" s="30"/>
      <c r="N170" s="30"/>
      <c r="O170" s="30"/>
      <c r="P170" s="30"/>
      <c r="Q170" s="31"/>
      <c r="R170" s="31"/>
      <c r="S170" s="31"/>
      <c r="T170" s="32"/>
      <c r="U170" s="32"/>
      <c r="V170" s="32"/>
      <c r="W170" s="32"/>
      <c r="X170" s="32"/>
      <c r="Y170" s="33"/>
      <c r="Z170" s="33"/>
      <c r="AA170" s="33"/>
    </row>
    <row r="171" spans="1:27">
      <c r="A171" s="29"/>
      <c r="B171" s="19">
        <f t="shared" si="5"/>
        <v>46327</v>
      </c>
      <c r="C171" s="27">
        <f>I171+J171+K171+L171+M171+N171+O171+P171+IF(Q171="",0,Q171*サマリー!$B$9)+IF(R171="",0,IF(R171=200,サマリー!$B$10,IF(R171=100,サマリー!$B$11,0)))+IF(S171="",0,S171*サマリー!$B$12)</f>
        <v>0</v>
      </c>
      <c r="D171" s="27">
        <f>T171+U171+V171+W171+X171+IF(Y171="",0,Y171*サマリー!$B$9)+IF(Z171="",0,IF(Z171=200,サマリー!$B$10,IF(Z171=100,サマリー!$B$11,0)))+IF(AA171="",0,AA171*サマリー!$B$12)</f>
        <v>0</v>
      </c>
      <c r="E171" s="27">
        <f t="shared" si="4"/>
        <v>0</v>
      </c>
      <c r="I171" s="30"/>
      <c r="J171" s="30"/>
      <c r="K171" s="30"/>
      <c r="L171" s="30"/>
      <c r="M171" s="30"/>
      <c r="N171" s="30"/>
      <c r="O171" s="30"/>
      <c r="P171" s="30"/>
      <c r="Q171" s="31"/>
      <c r="R171" s="31"/>
      <c r="S171" s="31"/>
      <c r="T171" s="32"/>
      <c r="U171" s="32"/>
      <c r="V171" s="32"/>
      <c r="W171" s="32"/>
      <c r="X171" s="32"/>
      <c r="Y171" s="33"/>
      <c r="Z171" s="33"/>
      <c r="AA171" s="33"/>
    </row>
    <row r="172" spans="1:27">
      <c r="A172" s="29"/>
      <c r="B172" s="19">
        <f t="shared" si="5"/>
        <v>46327</v>
      </c>
      <c r="C172" s="27">
        <f>I172+J172+K172+L172+M172+N172+O172+P172+IF(Q172="",0,Q172*サマリー!$B$9)+IF(R172="",0,IF(R172=200,サマリー!$B$10,IF(R172=100,サマリー!$B$11,0)))+IF(S172="",0,S172*サマリー!$B$12)</f>
        <v>0</v>
      </c>
      <c r="D172" s="27">
        <f>T172+U172+V172+W172+X172+IF(Y172="",0,Y172*サマリー!$B$9)+IF(Z172="",0,IF(Z172=200,サマリー!$B$10,IF(Z172=100,サマリー!$B$11,0)))+IF(AA172="",0,AA172*サマリー!$B$12)</f>
        <v>0</v>
      </c>
      <c r="E172" s="27">
        <f t="shared" si="4"/>
        <v>0</v>
      </c>
      <c r="I172" s="30"/>
      <c r="J172" s="30"/>
      <c r="K172" s="30"/>
      <c r="L172" s="30"/>
      <c r="M172" s="30"/>
      <c r="N172" s="30"/>
      <c r="O172" s="30"/>
      <c r="P172" s="30"/>
      <c r="Q172" s="31"/>
      <c r="R172" s="31"/>
      <c r="S172" s="31"/>
      <c r="T172" s="32"/>
      <c r="U172" s="32"/>
      <c r="V172" s="32"/>
      <c r="W172" s="32"/>
      <c r="X172" s="32"/>
      <c r="Y172" s="33"/>
      <c r="Z172" s="33"/>
      <c r="AA172" s="33"/>
    </row>
    <row r="173" spans="1:27">
      <c r="A173" s="29"/>
      <c r="B173" s="19">
        <f t="shared" si="5"/>
        <v>46327</v>
      </c>
      <c r="C173" s="27">
        <f>I173+J173+K173+L173+M173+N173+O173+P173+IF(Q173="",0,Q173*サマリー!$B$9)+IF(R173="",0,IF(R173=200,サマリー!$B$10,IF(R173=100,サマリー!$B$11,0)))+IF(S173="",0,S173*サマリー!$B$12)</f>
        <v>0</v>
      </c>
      <c r="D173" s="27">
        <f>T173+U173+V173+W173+X173+IF(Y173="",0,Y173*サマリー!$B$9)+IF(Z173="",0,IF(Z173=200,サマリー!$B$10,IF(Z173=100,サマリー!$B$11,0)))+IF(AA173="",0,AA173*サマリー!$B$12)</f>
        <v>0</v>
      </c>
      <c r="E173" s="27">
        <f t="shared" si="4"/>
        <v>0</v>
      </c>
      <c r="I173" s="30"/>
      <c r="J173" s="30"/>
      <c r="K173" s="30"/>
      <c r="L173" s="30"/>
      <c r="M173" s="30"/>
      <c r="N173" s="30"/>
      <c r="O173" s="30"/>
      <c r="P173" s="30"/>
      <c r="Q173" s="31"/>
      <c r="R173" s="31"/>
      <c r="S173" s="31"/>
      <c r="T173" s="32"/>
      <c r="U173" s="32"/>
      <c r="V173" s="32"/>
      <c r="W173" s="32"/>
      <c r="X173" s="32"/>
      <c r="Y173" s="33"/>
      <c r="Z173" s="33"/>
      <c r="AA173" s="33"/>
    </row>
    <row r="174" spans="1:27">
      <c r="A174" s="29"/>
      <c r="B174" s="19">
        <f t="shared" si="5"/>
        <v>46327</v>
      </c>
      <c r="C174" s="27">
        <f>I174+J174+K174+L174+M174+N174+O174+P174+IF(Q174="",0,Q174*サマリー!$B$9)+IF(R174="",0,IF(R174=200,サマリー!$B$10,IF(R174=100,サマリー!$B$11,0)))+IF(S174="",0,S174*サマリー!$B$12)</f>
        <v>0</v>
      </c>
      <c r="D174" s="27">
        <f>T174+U174+V174+W174+X174+IF(Y174="",0,Y174*サマリー!$B$9)+IF(Z174="",0,IF(Z174=200,サマリー!$B$10,IF(Z174=100,サマリー!$B$11,0)))+IF(AA174="",0,AA174*サマリー!$B$12)</f>
        <v>0</v>
      </c>
      <c r="E174" s="27">
        <f t="shared" si="4"/>
        <v>0</v>
      </c>
      <c r="I174" s="30"/>
      <c r="J174" s="30"/>
      <c r="K174" s="30"/>
      <c r="L174" s="30"/>
      <c r="M174" s="30"/>
      <c r="N174" s="30"/>
      <c r="O174" s="30"/>
      <c r="P174" s="30"/>
      <c r="Q174" s="31"/>
      <c r="R174" s="31"/>
      <c r="S174" s="31"/>
      <c r="T174" s="32"/>
      <c r="U174" s="32"/>
      <c r="V174" s="32"/>
      <c r="W174" s="32"/>
      <c r="X174" s="32"/>
      <c r="Y174" s="33"/>
      <c r="Z174" s="33"/>
      <c r="AA174" s="33"/>
    </row>
    <row r="175" spans="1:27">
      <c r="A175" s="29"/>
      <c r="B175" s="19">
        <f t="shared" si="5"/>
        <v>46327</v>
      </c>
      <c r="C175" s="27">
        <f>I175+J175+K175+L175+M175+N175+O175+P175+IF(Q175="",0,Q175*サマリー!$B$9)+IF(R175="",0,IF(R175=200,サマリー!$B$10,IF(R175=100,サマリー!$B$11,0)))+IF(S175="",0,S175*サマリー!$B$12)</f>
        <v>0</v>
      </c>
      <c r="D175" s="27">
        <f>T175+U175+V175+W175+X175+IF(Y175="",0,Y175*サマリー!$B$9)+IF(Z175="",0,IF(Z175=200,サマリー!$B$10,IF(Z175=100,サマリー!$B$11,0)))+IF(AA175="",0,AA175*サマリー!$B$12)</f>
        <v>0</v>
      </c>
      <c r="E175" s="27">
        <f t="shared" si="4"/>
        <v>0</v>
      </c>
      <c r="I175" s="30"/>
      <c r="J175" s="30"/>
      <c r="K175" s="30"/>
      <c r="L175" s="30"/>
      <c r="M175" s="30"/>
      <c r="N175" s="30"/>
      <c r="O175" s="30"/>
      <c r="P175" s="30"/>
      <c r="Q175" s="31"/>
      <c r="R175" s="31"/>
      <c r="S175" s="31"/>
      <c r="T175" s="32"/>
      <c r="U175" s="32"/>
      <c r="V175" s="32"/>
      <c r="W175" s="32"/>
      <c r="X175" s="32"/>
      <c r="Y175" s="33"/>
      <c r="Z175" s="33"/>
      <c r="AA175" s="33"/>
    </row>
    <row r="176" spans="1:27">
      <c r="A176" s="29"/>
      <c r="B176" s="19">
        <f t="shared" si="5"/>
        <v>46327</v>
      </c>
      <c r="C176" s="27">
        <f>I176+J176+K176+L176+M176+N176+O176+P176+IF(Q176="",0,Q176*サマリー!$B$9)+IF(R176="",0,IF(R176=200,サマリー!$B$10,IF(R176=100,サマリー!$B$11,0)))+IF(S176="",0,S176*サマリー!$B$12)</f>
        <v>0</v>
      </c>
      <c r="D176" s="27">
        <f>T176+U176+V176+W176+X176+IF(Y176="",0,Y176*サマリー!$B$9)+IF(Z176="",0,IF(Z176=200,サマリー!$B$10,IF(Z176=100,サマリー!$B$11,0)))+IF(AA176="",0,AA176*サマリー!$B$12)</f>
        <v>0</v>
      </c>
      <c r="E176" s="27">
        <f t="shared" si="4"/>
        <v>0</v>
      </c>
      <c r="I176" s="30"/>
      <c r="J176" s="30"/>
      <c r="K176" s="30"/>
      <c r="L176" s="30"/>
      <c r="M176" s="30"/>
      <c r="N176" s="30"/>
      <c r="O176" s="30"/>
      <c r="P176" s="30"/>
      <c r="Q176" s="31"/>
      <c r="R176" s="31"/>
      <c r="S176" s="31"/>
      <c r="T176" s="32"/>
      <c r="U176" s="32"/>
      <c r="V176" s="32"/>
      <c r="W176" s="32"/>
      <c r="X176" s="32"/>
      <c r="Y176" s="33"/>
      <c r="Z176" s="33"/>
      <c r="AA176" s="33"/>
    </row>
    <row r="177" spans="1:27">
      <c r="A177" s="29"/>
      <c r="B177" s="19">
        <f t="shared" si="5"/>
        <v>46327</v>
      </c>
      <c r="C177" s="27">
        <f>I177+J177+K177+L177+M177+N177+O177+P177+IF(Q177="",0,Q177*サマリー!$B$9)+IF(R177="",0,IF(R177=200,サマリー!$B$10,IF(R177=100,サマリー!$B$11,0)))+IF(S177="",0,S177*サマリー!$B$12)</f>
        <v>0</v>
      </c>
      <c r="D177" s="27">
        <f>T177+U177+V177+W177+X177+IF(Y177="",0,Y177*サマリー!$B$9)+IF(Z177="",0,IF(Z177=200,サマリー!$B$10,IF(Z177=100,サマリー!$B$11,0)))+IF(AA177="",0,AA177*サマリー!$B$12)</f>
        <v>0</v>
      </c>
      <c r="E177" s="27">
        <f t="shared" si="4"/>
        <v>0</v>
      </c>
      <c r="I177" s="30"/>
      <c r="J177" s="30"/>
      <c r="K177" s="30"/>
      <c r="L177" s="30"/>
      <c r="M177" s="30"/>
      <c r="N177" s="30"/>
      <c r="O177" s="30"/>
      <c r="P177" s="30"/>
      <c r="Q177" s="31"/>
      <c r="R177" s="31"/>
      <c r="S177" s="31"/>
      <c r="T177" s="32"/>
      <c r="U177" s="32"/>
      <c r="V177" s="32"/>
      <c r="W177" s="32"/>
      <c r="X177" s="32"/>
      <c r="Y177" s="33"/>
      <c r="Z177" s="33"/>
      <c r="AA177" s="33"/>
    </row>
    <row r="178" spans="1:27">
      <c r="A178" s="29"/>
      <c r="B178" s="19">
        <f t="shared" si="5"/>
        <v>46327</v>
      </c>
      <c r="C178" s="27">
        <f>I178+J178+K178+L178+M178+N178+O178+P178+IF(Q178="",0,Q178*サマリー!$B$9)+IF(R178="",0,IF(R178=200,サマリー!$B$10,IF(R178=100,サマリー!$B$11,0)))+IF(S178="",0,S178*サマリー!$B$12)</f>
        <v>0</v>
      </c>
      <c r="D178" s="27">
        <f>T178+U178+V178+W178+X178+IF(Y178="",0,Y178*サマリー!$B$9)+IF(Z178="",0,IF(Z178=200,サマリー!$B$10,IF(Z178=100,サマリー!$B$11,0)))+IF(AA178="",0,AA178*サマリー!$B$12)</f>
        <v>0</v>
      </c>
      <c r="E178" s="27">
        <f t="shared" si="4"/>
        <v>0</v>
      </c>
      <c r="I178" s="30"/>
      <c r="J178" s="30"/>
      <c r="K178" s="30"/>
      <c r="L178" s="30"/>
      <c r="M178" s="30"/>
      <c r="N178" s="30"/>
      <c r="O178" s="30"/>
      <c r="P178" s="30"/>
      <c r="Q178" s="31"/>
      <c r="R178" s="31"/>
      <c r="S178" s="31"/>
      <c r="T178" s="32"/>
      <c r="U178" s="32"/>
      <c r="V178" s="32"/>
      <c r="W178" s="32"/>
      <c r="X178" s="32"/>
      <c r="Y178" s="33"/>
      <c r="Z178" s="33"/>
      <c r="AA178" s="33"/>
    </row>
    <row r="179" spans="1:27">
      <c r="A179" s="29"/>
      <c r="B179" s="19">
        <f t="shared" si="5"/>
        <v>46327</v>
      </c>
      <c r="C179" s="27">
        <f>I179+J179+K179+L179+M179+N179+O179+P179+IF(Q179="",0,Q179*サマリー!$B$9)+IF(R179="",0,IF(R179=200,サマリー!$B$10,IF(R179=100,サマリー!$B$11,0)))+IF(S179="",0,S179*サマリー!$B$12)</f>
        <v>0</v>
      </c>
      <c r="D179" s="27">
        <f>T179+U179+V179+W179+X179+IF(Y179="",0,Y179*サマリー!$B$9)+IF(Z179="",0,IF(Z179=200,サマリー!$B$10,IF(Z179=100,サマリー!$B$11,0)))+IF(AA179="",0,AA179*サマリー!$B$12)</f>
        <v>0</v>
      </c>
      <c r="E179" s="27">
        <f t="shared" si="4"/>
        <v>0</v>
      </c>
      <c r="I179" s="30"/>
      <c r="J179" s="30"/>
      <c r="K179" s="30"/>
      <c r="L179" s="30"/>
      <c r="M179" s="30"/>
      <c r="N179" s="30"/>
      <c r="O179" s="30"/>
      <c r="P179" s="30"/>
      <c r="Q179" s="31"/>
      <c r="R179" s="31"/>
      <c r="S179" s="31"/>
      <c r="T179" s="32"/>
      <c r="U179" s="32"/>
      <c r="V179" s="32"/>
      <c r="W179" s="32"/>
      <c r="X179" s="32"/>
      <c r="Y179" s="33"/>
      <c r="Z179" s="33"/>
      <c r="AA179" s="33"/>
    </row>
    <row r="180" spans="1:27">
      <c r="A180" s="29"/>
      <c r="B180" s="19">
        <f t="shared" si="5"/>
        <v>46327</v>
      </c>
      <c r="C180" s="27">
        <f>I180+J180+K180+L180+M180+N180+O180+P180+IF(Q180="",0,Q180*サマリー!$B$9)+IF(R180="",0,IF(R180=200,サマリー!$B$10,IF(R180=100,サマリー!$B$11,0)))+IF(S180="",0,S180*サマリー!$B$12)</f>
        <v>0</v>
      </c>
      <c r="D180" s="27">
        <f>T180+U180+V180+W180+X180+IF(Y180="",0,Y180*サマリー!$B$9)+IF(Z180="",0,IF(Z180=200,サマリー!$B$10,IF(Z180=100,サマリー!$B$11,0)))+IF(AA180="",0,AA180*サマリー!$B$12)</f>
        <v>0</v>
      </c>
      <c r="E180" s="27">
        <f t="shared" si="4"/>
        <v>0</v>
      </c>
      <c r="I180" s="30"/>
      <c r="J180" s="30"/>
      <c r="K180" s="30"/>
      <c r="L180" s="30"/>
      <c r="M180" s="30"/>
      <c r="N180" s="30"/>
      <c r="O180" s="30"/>
      <c r="P180" s="30"/>
      <c r="Q180" s="31"/>
      <c r="R180" s="31"/>
      <c r="S180" s="31"/>
      <c r="T180" s="32"/>
      <c r="U180" s="32"/>
      <c r="V180" s="32"/>
      <c r="W180" s="32"/>
      <c r="X180" s="32"/>
      <c r="Y180" s="33"/>
      <c r="Z180" s="33"/>
      <c r="AA180" s="33"/>
    </row>
    <row r="181" spans="1:27">
      <c r="A181" s="29"/>
      <c r="B181" s="19">
        <f t="shared" si="5"/>
        <v>46327</v>
      </c>
      <c r="C181" s="27">
        <f>I181+J181+K181+L181+M181+N181+O181+P181+IF(Q181="",0,Q181*サマリー!$B$9)+IF(R181="",0,IF(R181=200,サマリー!$B$10,IF(R181=100,サマリー!$B$11,0)))+IF(S181="",0,S181*サマリー!$B$12)</f>
        <v>0</v>
      </c>
      <c r="D181" s="27">
        <f>T181+U181+V181+W181+X181+IF(Y181="",0,Y181*サマリー!$B$9)+IF(Z181="",0,IF(Z181=200,サマリー!$B$10,IF(Z181=100,サマリー!$B$11,0)))+IF(AA181="",0,AA181*サマリー!$B$12)</f>
        <v>0</v>
      </c>
      <c r="E181" s="27">
        <f t="shared" si="4"/>
        <v>0</v>
      </c>
      <c r="I181" s="30"/>
      <c r="J181" s="30"/>
      <c r="K181" s="30"/>
      <c r="L181" s="30"/>
      <c r="M181" s="30"/>
      <c r="N181" s="30"/>
      <c r="O181" s="30"/>
      <c r="P181" s="30"/>
      <c r="Q181" s="31"/>
      <c r="R181" s="31"/>
      <c r="S181" s="31"/>
      <c r="T181" s="32"/>
      <c r="U181" s="32"/>
      <c r="V181" s="32"/>
      <c r="W181" s="32"/>
      <c r="X181" s="32"/>
      <c r="Y181" s="33"/>
      <c r="Z181" s="33"/>
      <c r="AA181" s="33"/>
    </row>
    <row r="182" spans="1:27">
      <c r="A182" s="29"/>
      <c r="B182" s="19">
        <f t="shared" si="5"/>
        <v>46327</v>
      </c>
      <c r="C182" s="27">
        <f>I182+J182+K182+L182+M182+N182+O182+P182+IF(Q182="",0,Q182*サマリー!$B$9)+IF(R182="",0,IF(R182=200,サマリー!$B$10,IF(R182=100,サマリー!$B$11,0)))+IF(S182="",0,S182*サマリー!$B$12)</f>
        <v>0</v>
      </c>
      <c r="D182" s="27">
        <f>T182+U182+V182+W182+X182+IF(Y182="",0,Y182*サマリー!$B$9)+IF(Z182="",0,IF(Z182=200,サマリー!$B$10,IF(Z182=100,サマリー!$B$11,0)))+IF(AA182="",0,AA182*サマリー!$B$12)</f>
        <v>0</v>
      </c>
      <c r="E182" s="27">
        <f t="shared" si="4"/>
        <v>0</v>
      </c>
      <c r="I182" s="30"/>
      <c r="J182" s="30"/>
      <c r="K182" s="30"/>
      <c r="L182" s="30"/>
      <c r="M182" s="30"/>
      <c r="N182" s="30"/>
      <c r="O182" s="30"/>
      <c r="P182" s="30"/>
      <c r="Q182" s="31"/>
      <c r="R182" s="31"/>
      <c r="S182" s="31"/>
      <c r="T182" s="32"/>
      <c r="U182" s="32"/>
      <c r="V182" s="32"/>
      <c r="W182" s="32"/>
      <c r="X182" s="32"/>
      <c r="Y182" s="33"/>
      <c r="Z182" s="33"/>
      <c r="AA182" s="33"/>
    </row>
    <row r="183" spans="1:27">
      <c r="A183" s="29"/>
      <c r="B183" s="19">
        <f t="shared" si="5"/>
        <v>46327</v>
      </c>
      <c r="C183" s="27">
        <f>I183+J183+K183+L183+M183+N183+O183+P183+IF(Q183="",0,Q183*サマリー!$B$9)+IF(R183="",0,IF(R183=200,サマリー!$B$10,IF(R183=100,サマリー!$B$11,0)))+IF(S183="",0,S183*サマリー!$B$12)</f>
        <v>0</v>
      </c>
      <c r="D183" s="27">
        <f>T183+U183+V183+W183+X183+IF(Y183="",0,Y183*サマリー!$B$9)+IF(Z183="",0,IF(Z183=200,サマリー!$B$10,IF(Z183=100,サマリー!$B$11,0)))+IF(AA183="",0,AA183*サマリー!$B$12)</f>
        <v>0</v>
      </c>
      <c r="E183" s="27">
        <f t="shared" si="4"/>
        <v>0</v>
      </c>
      <c r="I183" s="30"/>
      <c r="J183" s="30"/>
      <c r="K183" s="30"/>
      <c r="L183" s="30"/>
      <c r="M183" s="30"/>
      <c r="N183" s="30"/>
      <c r="O183" s="30"/>
      <c r="P183" s="30"/>
      <c r="Q183" s="31"/>
      <c r="R183" s="31"/>
      <c r="S183" s="31"/>
      <c r="T183" s="32"/>
      <c r="U183" s="32"/>
      <c r="V183" s="32"/>
      <c r="W183" s="32"/>
      <c r="X183" s="32"/>
      <c r="Y183" s="33"/>
      <c r="Z183" s="33"/>
      <c r="AA183" s="33"/>
    </row>
    <row r="184" spans="1:27">
      <c r="A184" s="29"/>
      <c r="B184" s="19">
        <f t="shared" si="5"/>
        <v>46327</v>
      </c>
      <c r="C184" s="27">
        <f>I184+J184+K184+L184+M184+N184+O184+P184+IF(Q184="",0,Q184*サマリー!$B$9)+IF(R184="",0,IF(R184=200,サマリー!$B$10,IF(R184=100,サマリー!$B$11,0)))+IF(S184="",0,S184*サマリー!$B$12)</f>
        <v>0</v>
      </c>
      <c r="D184" s="27">
        <f>T184+U184+V184+W184+X184+IF(Y184="",0,Y184*サマリー!$B$9)+IF(Z184="",0,IF(Z184=200,サマリー!$B$10,IF(Z184=100,サマリー!$B$11,0)))+IF(AA184="",0,AA184*サマリー!$B$12)</f>
        <v>0</v>
      </c>
      <c r="E184" s="27">
        <f t="shared" si="4"/>
        <v>0</v>
      </c>
      <c r="I184" s="30"/>
      <c r="J184" s="30"/>
      <c r="K184" s="30"/>
      <c r="L184" s="30"/>
      <c r="M184" s="30"/>
      <c r="N184" s="30"/>
      <c r="O184" s="30"/>
      <c r="P184" s="30"/>
      <c r="Q184" s="31"/>
      <c r="R184" s="31"/>
      <c r="S184" s="31"/>
      <c r="T184" s="32"/>
      <c r="U184" s="32"/>
      <c r="V184" s="32"/>
      <c r="W184" s="32"/>
      <c r="X184" s="32"/>
      <c r="Y184" s="33"/>
      <c r="Z184" s="33"/>
      <c r="AA184" s="33"/>
    </row>
    <row r="185" spans="1:27">
      <c r="A185" s="29"/>
      <c r="B185" s="19">
        <f t="shared" si="5"/>
        <v>46327</v>
      </c>
      <c r="C185" s="27">
        <f>I185+J185+K185+L185+M185+N185+O185+P185+IF(Q185="",0,Q185*サマリー!$B$9)+IF(R185="",0,IF(R185=200,サマリー!$B$10,IF(R185=100,サマリー!$B$11,0)))+IF(S185="",0,S185*サマリー!$B$12)</f>
        <v>0</v>
      </c>
      <c r="D185" s="27">
        <f>T185+U185+V185+W185+X185+IF(Y185="",0,Y185*サマリー!$B$9)+IF(Z185="",0,IF(Z185=200,サマリー!$B$10,IF(Z185=100,サマリー!$B$11,0)))+IF(AA185="",0,AA185*サマリー!$B$12)</f>
        <v>0</v>
      </c>
      <c r="E185" s="27">
        <f t="shared" si="4"/>
        <v>0</v>
      </c>
      <c r="I185" s="30"/>
      <c r="J185" s="30"/>
      <c r="K185" s="30"/>
      <c r="L185" s="30"/>
      <c r="M185" s="30"/>
      <c r="N185" s="30"/>
      <c r="O185" s="30"/>
      <c r="P185" s="30"/>
      <c r="Q185" s="31"/>
      <c r="R185" s="31"/>
      <c r="S185" s="31"/>
      <c r="T185" s="32"/>
      <c r="U185" s="32"/>
      <c r="V185" s="32"/>
      <c r="W185" s="32"/>
      <c r="X185" s="32"/>
      <c r="Y185" s="33"/>
      <c r="Z185" s="33"/>
      <c r="AA185" s="33"/>
    </row>
    <row r="186" spans="1:27">
      <c r="A186" s="29"/>
      <c r="B186" s="19">
        <f t="shared" si="5"/>
        <v>46327</v>
      </c>
      <c r="C186" s="27">
        <f>I186+J186+K186+L186+M186+N186+O186+P186+IF(Q186="",0,Q186*サマリー!$B$9)+IF(R186="",0,IF(R186=200,サマリー!$B$10,IF(R186=100,サマリー!$B$11,0)))+IF(S186="",0,S186*サマリー!$B$12)</f>
        <v>0</v>
      </c>
      <c r="D186" s="27">
        <f>T186+U186+V186+W186+X186+IF(Y186="",0,Y186*サマリー!$B$9)+IF(Z186="",0,IF(Z186=200,サマリー!$B$10,IF(Z186=100,サマリー!$B$11,0)))+IF(AA186="",0,AA186*サマリー!$B$12)</f>
        <v>0</v>
      </c>
      <c r="E186" s="27">
        <f t="shared" si="4"/>
        <v>0</v>
      </c>
      <c r="I186" s="30"/>
      <c r="J186" s="30"/>
      <c r="K186" s="30"/>
      <c r="L186" s="30"/>
      <c r="M186" s="30"/>
      <c r="N186" s="30"/>
      <c r="O186" s="30"/>
      <c r="P186" s="30"/>
      <c r="Q186" s="31"/>
      <c r="R186" s="31"/>
      <c r="S186" s="31"/>
      <c r="T186" s="32"/>
      <c r="U186" s="32"/>
      <c r="V186" s="32"/>
      <c r="W186" s="32"/>
      <c r="X186" s="32"/>
      <c r="Y186" s="33"/>
      <c r="Z186" s="33"/>
      <c r="AA186" s="33"/>
    </row>
    <row r="187" spans="1:27">
      <c r="A187" s="29"/>
      <c r="B187" s="19">
        <f t="shared" si="5"/>
        <v>46327</v>
      </c>
      <c r="C187" s="27">
        <f>I187+J187+K187+L187+M187+N187+O187+P187+IF(Q187="",0,Q187*サマリー!$B$9)+IF(R187="",0,IF(R187=200,サマリー!$B$10,IF(R187=100,サマリー!$B$11,0)))+IF(S187="",0,S187*サマリー!$B$12)</f>
        <v>0</v>
      </c>
      <c r="D187" s="27">
        <f>T187+U187+V187+W187+X187+IF(Y187="",0,Y187*サマリー!$B$9)+IF(Z187="",0,IF(Z187=200,サマリー!$B$10,IF(Z187=100,サマリー!$B$11,0)))+IF(AA187="",0,AA187*サマリー!$B$12)</f>
        <v>0</v>
      </c>
      <c r="E187" s="27">
        <f t="shared" si="4"/>
        <v>0</v>
      </c>
      <c r="I187" s="30"/>
      <c r="J187" s="30"/>
      <c r="K187" s="30"/>
      <c r="L187" s="30"/>
      <c r="M187" s="30"/>
      <c r="N187" s="30"/>
      <c r="O187" s="30"/>
      <c r="P187" s="30"/>
      <c r="Q187" s="31"/>
      <c r="R187" s="31"/>
      <c r="S187" s="31"/>
      <c r="T187" s="32"/>
      <c r="U187" s="32"/>
      <c r="V187" s="32"/>
      <c r="W187" s="32"/>
      <c r="X187" s="32"/>
      <c r="Y187" s="33"/>
      <c r="Z187" s="33"/>
      <c r="AA187" s="33"/>
    </row>
    <row r="188" spans="1:27">
      <c r="A188" s="29"/>
      <c r="B188" s="19">
        <f t="shared" si="5"/>
        <v>46327</v>
      </c>
      <c r="C188" s="27">
        <f>I188+J188+K188+L188+M188+N188+O188+P188+IF(Q188="",0,Q188*サマリー!$B$9)+IF(R188="",0,IF(R188=200,サマリー!$B$10,IF(R188=100,サマリー!$B$11,0)))+IF(S188="",0,S188*サマリー!$B$12)</f>
        <v>0</v>
      </c>
      <c r="D188" s="27">
        <f>T188+U188+V188+W188+X188+IF(Y188="",0,Y188*サマリー!$B$9)+IF(Z188="",0,IF(Z188=200,サマリー!$B$10,IF(Z188=100,サマリー!$B$11,0)))+IF(AA188="",0,AA188*サマリー!$B$12)</f>
        <v>0</v>
      </c>
      <c r="E188" s="27">
        <f t="shared" si="4"/>
        <v>0</v>
      </c>
      <c r="I188" s="30"/>
      <c r="J188" s="30"/>
      <c r="K188" s="30"/>
      <c r="L188" s="30"/>
      <c r="M188" s="30"/>
      <c r="N188" s="30"/>
      <c r="O188" s="30"/>
      <c r="P188" s="30"/>
      <c r="Q188" s="31"/>
      <c r="R188" s="31"/>
      <c r="S188" s="31"/>
      <c r="T188" s="32"/>
      <c r="U188" s="32"/>
      <c r="V188" s="32"/>
      <c r="W188" s="32"/>
      <c r="X188" s="32"/>
      <c r="Y188" s="33"/>
      <c r="Z188" s="33"/>
      <c r="AA188" s="33"/>
    </row>
    <row r="189" spans="1:27">
      <c r="A189" s="29"/>
      <c r="B189" s="19">
        <f t="shared" si="5"/>
        <v>46327</v>
      </c>
      <c r="C189" s="27">
        <f>I189+J189+K189+L189+M189+N189+O189+P189+IF(Q189="",0,Q189*サマリー!$B$9)+IF(R189="",0,IF(R189=200,サマリー!$B$10,IF(R189=100,サマリー!$B$11,0)))+IF(S189="",0,S189*サマリー!$B$12)</f>
        <v>0</v>
      </c>
      <c r="D189" s="27">
        <f>T189+U189+V189+W189+X189+IF(Y189="",0,Y189*サマリー!$B$9)+IF(Z189="",0,IF(Z189=200,サマリー!$B$10,IF(Z189=100,サマリー!$B$11,0)))+IF(AA189="",0,AA189*サマリー!$B$12)</f>
        <v>0</v>
      </c>
      <c r="E189" s="27">
        <f t="shared" si="4"/>
        <v>0</v>
      </c>
      <c r="I189" s="30"/>
      <c r="J189" s="30"/>
      <c r="K189" s="30"/>
      <c r="L189" s="30"/>
      <c r="M189" s="30"/>
      <c r="N189" s="30"/>
      <c r="O189" s="30"/>
      <c r="P189" s="30"/>
      <c r="Q189" s="31"/>
      <c r="R189" s="31"/>
      <c r="S189" s="31"/>
      <c r="T189" s="32"/>
      <c r="U189" s="32"/>
      <c r="V189" s="32"/>
      <c r="W189" s="32"/>
      <c r="X189" s="32"/>
      <c r="Y189" s="33"/>
      <c r="Z189" s="33"/>
      <c r="AA189" s="33"/>
    </row>
    <row r="190" spans="1:27">
      <c r="A190" s="29"/>
      <c r="B190" s="19">
        <f t="shared" si="5"/>
        <v>46327</v>
      </c>
      <c r="C190" s="27">
        <f>I190+J190+K190+L190+M190+N190+O190+P190+IF(Q190="",0,Q190*サマリー!$B$9)+IF(R190="",0,IF(R190=200,サマリー!$B$10,IF(R190=100,サマリー!$B$11,0)))+IF(S190="",0,S190*サマリー!$B$12)</f>
        <v>0</v>
      </c>
      <c r="D190" s="27">
        <f>T190+U190+V190+W190+X190+IF(Y190="",0,Y190*サマリー!$B$9)+IF(Z190="",0,IF(Z190=200,サマリー!$B$10,IF(Z190=100,サマリー!$B$11,0)))+IF(AA190="",0,AA190*サマリー!$B$12)</f>
        <v>0</v>
      </c>
      <c r="E190" s="27">
        <f t="shared" si="4"/>
        <v>0</v>
      </c>
      <c r="I190" s="30"/>
      <c r="J190" s="30"/>
      <c r="K190" s="30"/>
      <c r="L190" s="30"/>
      <c r="M190" s="30"/>
      <c r="N190" s="30"/>
      <c r="O190" s="30"/>
      <c r="P190" s="30"/>
      <c r="Q190" s="31"/>
      <c r="R190" s="31"/>
      <c r="S190" s="31"/>
      <c r="T190" s="32"/>
      <c r="U190" s="32"/>
      <c r="V190" s="32"/>
      <c r="W190" s="32"/>
      <c r="X190" s="32"/>
      <c r="Y190" s="33"/>
      <c r="Z190" s="33"/>
      <c r="AA190" s="33"/>
    </row>
    <row r="191" spans="1:27">
      <c r="A191" s="29"/>
      <c r="B191" s="19">
        <f t="shared" si="5"/>
        <v>46327</v>
      </c>
      <c r="C191" s="27">
        <f>I191+J191+K191+L191+M191+N191+O191+P191+IF(Q191="",0,Q191*サマリー!$B$9)+IF(R191="",0,IF(R191=200,サマリー!$B$10,IF(R191=100,サマリー!$B$11,0)))+IF(S191="",0,S191*サマリー!$B$12)</f>
        <v>0</v>
      </c>
      <c r="D191" s="27">
        <f>T191+U191+V191+W191+X191+IF(Y191="",0,Y191*サマリー!$B$9)+IF(Z191="",0,IF(Z191=200,サマリー!$B$10,IF(Z191=100,サマリー!$B$11,0)))+IF(AA191="",0,AA191*サマリー!$B$12)</f>
        <v>0</v>
      </c>
      <c r="E191" s="27">
        <f t="shared" si="4"/>
        <v>0</v>
      </c>
      <c r="I191" s="30"/>
      <c r="J191" s="30"/>
      <c r="K191" s="30"/>
      <c r="L191" s="30"/>
      <c r="M191" s="30"/>
      <c r="N191" s="30"/>
      <c r="O191" s="30"/>
      <c r="P191" s="30"/>
      <c r="Q191" s="31"/>
      <c r="R191" s="31"/>
      <c r="S191" s="31"/>
      <c r="T191" s="32"/>
      <c r="U191" s="32"/>
      <c r="V191" s="32"/>
      <c r="W191" s="32"/>
      <c r="X191" s="32"/>
      <c r="Y191" s="33"/>
      <c r="Z191" s="33"/>
      <c r="AA191" s="33"/>
    </row>
    <row r="192" spans="1:27">
      <c r="A192" s="29"/>
      <c r="B192" s="19">
        <f t="shared" si="5"/>
        <v>46327</v>
      </c>
      <c r="C192" s="27">
        <f>I192+J192+K192+L192+M192+N192+O192+P192+IF(Q192="",0,Q192*サマリー!$B$9)+IF(R192="",0,IF(R192=200,サマリー!$B$10,IF(R192=100,サマリー!$B$11,0)))+IF(S192="",0,S192*サマリー!$B$12)</f>
        <v>0</v>
      </c>
      <c r="D192" s="27">
        <f>T192+U192+V192+W192+X192+IF(Y192="",0,Y192*サマリー!$B$9)+IF(Z192="",0,IF(Z192=200,サマリー!$B$10,IF(Z192=100,サマリー!$B$11,0)))+IF(AA192="",0,AA192*サマリー!$B$12)</f>
        <v>0</v>
      </c>
      <c r="E192" s="27">
        <f t="shared" si="4"/>
        <v>0</v>
      </c>
      <c r="I192" s="30"/>
      <c r="J192" s="30"/>
      <c r="K192" s="30"/>
      <c r="L192" s="30"/>
      <c r="M192" s="30"/>
      <c r="N192" s="30"/>
      <c r="O192" s="30"/>
      <c r="P192" s="30"/>
      <c r="Q192" s="31"/>
      <c r="R192" s="31"/>
      <c r="S192" s="31"/>
      <c r="T192" s="32"/>
      <c r="U192" s="32"/>
      <c r="V192" s="32"/>
      <c r="W192" s="32"/>
      <c r="X192" s="32"/>
      <c r="Y192" s="33"/>
      <c r="Z192" s="33"/>
      <c r="AA192" s="33"/>
    </row>
    <row r="193" spans="1:27">
      <c r="A193" s="29"/>
      <c r="B193" s="19">
        <f t="shared" si="5"/>
        <v>46327</v>
      </c>
      <c r="C193" s="27">
        <f>I193+J193+K193+L193+M193+N193+O193+P193+IF(Q193="",0,Q193*サマリー!$B$9)+IF(R193="",0,IF(R193=200,サマリー!$B$10,IF(R193=100,サマリー!$B$11,0)))+IF(S193="",0,S193*サマリー!$B$12)</f>
        <v>0</v>
      </c>
      <c r="D193" s="27">
        <f>T193+U193+V193+W193+X193+IF(Y193="",0,Y193*サマリー!$B$9)+IF(Z193="",0,IF(Z193=200,サマリー!$B$10,IF(Z193=100,サマリー!$B$11,0)))+IF(AA193="",0,AA193*サマリー!$B$12)</f>
        <v>0</v>
      </c>
      <c r="E193" s="27">
        <f t="shared" si="4"/>
        <v>0</v>
      </c>
      <c r="I193" s="30"/>
      <c r="J193" s="30"/>
      <c r="K193" s="30"/>
      <c r="L193" s="30"/>
      <c r="M193" s="30"/>
      <c r="N193" s="30"/>
      <c r="O193" s="30"/>
      <c r="P193" s="30"/>
      <c r="Q193" s="31"/>
      <c r="R193" s="31"/>
      <c r="S193" s="31"/>
      <c r="T193" s="32"/>
      <c r="U193" s="32"/>
      <c r="V193" s="32"/>
      <c r="W193" s="32"/>
      <c r="X193" s="32"/>
      <c r="Y193" s="33"/>
      <c r="Z193" s="33"/>
      <c r="AA193" s="33"/>
    </row>
    <row r="194" spans="1:27">
      <c r="A194" s="29"/>
      <c r="B194" s="19">
        <f t="shared" si="5"/>
        <v>46327</v>
      </c>
      <c r="C194" s="27">
        <f>I194+J194+K194+L194+M194+N194+O194+P194+IF(Q194="",0,Q194*サマリー!$B$9)+IF(R194="",0,IF(R194=200,サマリー!$B$10,IF(R194=100,サマリー!$B$11,0)))+IF(S194="",0,S194*サマリー!$B$12)</f>
        <v>0</v>
      </c>
      <c r="D194" s="27">
        <f>T194+U194+V194+W194+X194+IF(Y194="",0,Y194*サマリー!$B$9)+IF(Z194="",0,IF(Z194=200,サマリー!$B$10,IF(Z194=100,サマリー!$B$11,0)))+IF(AA194="",0,AA194*サマリー!$B$12)</f>
        <v>0</v>
      </c>
      <c r="E194" s="27">
        <f t="shared" si="4"/>
        <v>0</v>
      </c>
      <c r="I194" s="30"/>
      <c r="J194" s="30"/>
      <c r="K194" s="30"/>
      <c r="L194" s="30"/>
      <c r="M194" s="30"/>
      <c r="N194" s="30"/>
      <c r="O194" s="30"/>
      <c r="P194" s="30"/>
      <c r="Q194" s="31"/>
      <c r="R194" s="31"/>
      <c r="S194" s="31"/>
      <c r="T194" s="32"/>
      <c r="U194" s="32"/>
      <c r="V194" s="32"/>
      <c r="W194" s="32"/>
      <c r="X194" s="32"/>
      <c r="Y194" s="33"/>
      <c r="Z194" s="33"/>
      <c r="AA194" s="33"/>
    </row>
    <row r="195" spans="1:27">
      <c r="A195" s="29"/>
      <c r="B195" s="19">
        <f t="shared" si="5"/>
        <v>46327</v>
      </c>
      <c r="C195" s="27">
        <f>I195+J195+K195+L195+M195+N195+O195+P195+IF(Q195="",0,Q195*サマリー!$B$9)+IF(R195="",0,IF(R195=200,サマリー!$B$10,IF(R195=100,サマリー!$B$11,0)))+IF(S195="",0,S195*サマリー!$B$12)</f>
        <v>0</v>
      </c>
      <c r="D195" s="27">
        <f>T195+U195+V195+W195+X195+IF(Y195="",0,Y195*サマリー!$B$9)+IF(Z195="",0,IF(Z195=200,サマリー!$B$10,IF(Z195=100,サマリー!$B$11,0)))+IF(AA195="",0,AA195*サマリー!$B$12)</f>
        <v>0</v>
      </c>
      <c r="E195" s="27">
        <f t="shared" si="4"/>
        <v>0</v>
      </c>
      <c r="I195" s="30"/>
      <c r="J195" s="30"/>
      <c r="K195" s="30"/>
      <c r="L195" s="30"/>
      <c r="M195" s="30"/>
      <c r="N195" s="30"/>
      <c r="O195" s="30"/>
      <c r="P195" s="30"/>
      <c r="Q195" s="31"/>
      <c r="R195" s="31"/>
      <c r="S195" s="31"/>
      <c r="T195" s="32"/>
      <c r="U195" s="32"/>
      <c r="V195" s="32"/>
      <c r="W195" s="32"/>
      <c r="X195" s="32"/>
      <c r="Y195" s="33"/>
      <c r="Z195" s="33"/>
      <c r="AA195" s="33"/>
    </row>
    <row r="196" spans="1:27">
      <c r="A196" s="29"/>
      <c r="B196" s="19">
        <f t="shared" si="5"/>
        <v>46327</v>
      </c>
      <c r="C196" s="27">
        <f>I196+J196+K196+L196+M196+N196+O196+P196+IF(Q196="",0,Q196*サマリー!$B$9)+IF(R196="",0,IF(R196=200,サマリー!$B$10,IF(R196=100,サマリー!$B$11,0)))+IF(S196="",0,S196*サマリー!$B$12)</f>
        <v>0</v>
      </c>
      <c r="D196" s="27">
        <f>T196+U196+V196+W196+X196+IF(Y196="",0,Y196*サマリー!$B$9)+IF(Z196="",0,IF(Z196=200,サマリー!$B$10,IF(Z196=100,サマリー!$B$11,0)))+IF(AA196="",0,AA196*サマリー!$B$12)</f>
        <v>0</v>
      </c>
      <c r="E196" s="27">
        <f t="shared" si="4"/>
        <v>0</v>
      </c>
      <c r="I196" s="30"/>
      <c r="J196" s="30"/>
      <c r="K196" s="30"/>
      <c r="L196" s="30"/>
      <c r="M196" s="30"/>
      <c r="N196" s="30"/>
      <c r="O196" s="30"/>
      <c r="P196" s="30"/>
      <c r="Q196" s="31"/>
      <c r="R196" s="31"/>
      <c r="S196" s="31"/>
      <c r="T196" s="32"/>
      <c r="U196" s="32"/>
      <c r="V196" s="32"/>
      <c r="W196" s="32"/>
      <c r="X196" s="32"/>
      <c r="Y196" s="33"/>
      <c r="Z196" s="33"/>
      <c r="AA196" s="33"/>
    </row>
    <row r="197" spans="1:27">
      <c r="A197" s="29"/>
      <c r="B197" s="19">
        <f t="shared" si="5"/>
        <v>46327</v>
      </c>
      <c r="C197" s="27">
        <f>I197+J197+K197+L197+M197+N197+O197+P197+IF(Q197="",0,Q197*サマリー!$B$9)+IF(R197="",0,IF(R197=200,サマリー!$B$10,IF(R197=100,サマリー!$B$11,0)))+IF(S197="",0,S197*サマリー!$B$12)</f>
        <v>0</v>
      </c>
      <c r="D197" s="27">
        <f>T197+U197+V197+W197+X197+IF(Y197="",0,Y197*サマリー!$B$9)+IF(Z197="",0,IF(Z197=200,サマリー!$B$10,IF(Z197=100,サマリー!$B$11,0)))+IF(AA197="",0,AA197*サマリー!$B$12)</f>
        <v>0</v>
      </c>
      <c r="E197" s="27">
        <f t="shared" si="4"/>
        <v>0</v>
      </c>
      <c r="I197" s="30"/>
      <c r="J197" s="30"/>
      <c r="K197" s="30"/>
      <c r="L197" s="30"/>
      <c r="M197" s="30"/>
      <c r="N197" s="30"/>
      <c r="O197" s="30"/>
      <c r="P197" s="30"/>
      <c r="Q197" s="31"/>
      <c r="R197" s="31"/>
      <c r="S197" s="31"/>
      <c r="T197" s="32"/>
      <c r="U197" s="32"/>
      <c r="V197" s="32"/>
      <c r="W197" s="32"/>
      <c r="X197" s="32"/>
      <c r="Y197" s="33"/>
      <c r="Z197" s="33"/>
      <c r="AA197" s="33"/>
    </row>
    <row r="198" spans="1:27">
      <c r="A198" s="29"/>
      <c r="B198" s="19">
        <f t="shared" si="5"/>
        <v>46327</v>
      </c>
      <c r="C198" s="27">
        <f>I198+J198+K198+L198+M198+N198+O198+P198+IF(Q198="",0,Q198*サマリー!$B$9)+IF(R198="",0,IF(R198=200,サマリー!$B$10,IF(R198=100,サマリー!$B$11,0)))+IF(S198="",0,S198*サマリー!$B$12)</f>
        <v>0</v>
      </c>
      <c r="D198" s="27">
        <f>T198+U198+V198+W198+X198+IF(Y198="",0,Y198*サマリー!$B$9)+IF(Z198="",0,IF(Z198=200,サマリー!$B$10,IF(Z198=100,サマリー!$B$11,0)))+IF(AA198="",0,AA198*サマリー!$B$12)</f>
        <v>0</v>
      </c>
      <c r="E198" s="27">
        <f t="shared" ref="E198:E261" si="6">C198+D198</f>
        <v>0</v>
      </c>
      <c r="I198" s="30"/>
      <c r="J198" s="30"/>
      <c r="K198" s="30"/>
      <c r="L198" s="30"/>
      <c r="M198" s="30"/>
      <c r="N198" s="30"/>
      <c r="O198" s="30"/>
      <c r="P198" s="30"/>
      <c r="Q198" s="31"/>
      <c r="R198" s="31"/>
      <c r="S198" s="31"/>
      <c r="T198" s="32"/>
      <c r="U198" s="32"/>
      <c r="V198" s="32"/>
      <c r="W198" s="32"/>
      <c r="X198" s="32"/>
      <c r="Y198" s="33"/>
      <c r="Z198" s="33"/>
      <c r="AA198" s="33"/>
    </row>
    <row r="199" spans="1:27">
      <c r="A199" s="29"/>
      <c r="B199" s="19">
        <f t="shared" ref="B199:B262" si="7">IF(A199="",B198,IF(A199&lt;DAY(B198),DATE(YEAR(B198),MONTH(B198)+1,A199),DATE(YEAR(B198),MONTH(B198),A199)))</f>
        <v>46327</v>
      </c>
      <c r="C199" s="27">
        <f>I199+J199+K199+L199+M199+N199+O199+P199+IF(Q199="",0,Q199*サマリー!$B$9)+IF(R199="",0,IF(R199=200,サマリー!$B$10,IF(R199=100,サマリー!$B$11,0)))+IF(S199="",0,S199*サマリー!$B$12)</f>
        <v>0</v>
      </c>
      <c r="D199" s="27">
        <f>T199+U199+V199+W199+X199+IF(Y199="",0,Y199*サマリー!$B$9)+IF(Z199="",0,IF(Z199=200,サマリー!$B$10,IF(Z199=100,サマリー!$B$11,0)))+IF(AA199="",0,AA199*サマリー!$B$12)</f>
        <v>0</v>
      </c>
      <c r="E199" s="27">
        <f t="shared" si="6"/>
        <v>0</v>
      </c>
      <c r="I199" s="30"/>
      <c r="J199" s="30"/>
      <c r="K199" s="30"/>
      <c r="L199" s="30"/>
      <c r="M199" s="30"/>
      <c r="N199" s="30"/>
      <c r="O199" s="30"/>
      <c r="P199" s="30"/>
      <c r="Q199" s="31"/>
      <c r="R199" s="31"/>
      <c r="S199" s="31"/>
      <c r="T199" s="32"/>
      <c r="U199" s="32"/>
      <c r="V199" s="32"/>
      <c r="W199" s="32"/>
      <c r="X199" s="32"/>
      <c r="Y199" s="33"/>
      <c r="Z199" s="33"/>
      <c r="AA199" s="33"/>
    </row>
    <row r="200" spans="1:27">
      <c r="A200" s="29"/>
      <c r="B200" s="19">
        <f t="shared" si="7"/>
        <v>46327</v>
      </c>
      <c r="C200" s="27">
        <f>I200+J200+K200+L200+M200+N200+O200+P200+IF(Q200="",0,Q200*サマリー!$B$9)+IF(R200="",0,IF(R200=200,サマリー!$B$10,IF(R200=100,サマリー!$B$11,0)))+IF(S200="",0,S200*サマリー!$B$12)</f>
        <v>0</v>
      </c>
      <c r="D200" s="27">
        <f>T200+U200+V200+W200+X200+IF(Y200="",0,Y200*サマリー!$B$9)+IF(Z200="",0,IF(Z200=200,サマリー!$B$10,IF(Z200=100,サマリー!$B$11,0)))+IF(AA200="",0,AA200*サマリー!$B$12)</f>
        <v>0</v>
      </c>
      <c r="E200" s="27">
        <f t="shared" si="6"/>
        <v>0</v>
      </c>
      <c r="I200" s="30"/>
      <c r="J200" s="30"/>
      <c r="K200" s="30"/>
      <c r="L200" s="30"/>
      <c r="M200" s="30"/>
      <c r="N200" s="30"/>
      <c r="O200" s="30"/>
      <c r="P200" s="30"/>
      <c r="Q200" s="31"/>
      <c r="R200" s="31"/>
      <c r="S200" s="31"/>
      <c r="T200" s="32"/>
      <c r="U200" s="32"/>
      <c r="V200" s="32"/>
      <c r="W200" s="32"/>
      <c r="X200" s="32"/>
      <c r="Y200" s="33"/>
      <c r="Z200" s="33"/>
      <c r="AA200" s="33"/>
    </row>
    <row r="201" spans="1:27">
      <c r="A201" s="29"/>
      <c r="B201" s="19">
        <f t="shared" si="7"/>
        <v>46327</v>
      </c>
      <c r="C201" s="27">
        <f>I201+J201+K201+L201+M201+N201+O201+P201+IF(Q201="",0,Q201*サマリー!$B$9)+IF(R201="",0,IF(R201=200,サマリー!$B$10,IF(R201=100,サマリー!$B$11,0)))+IF(S201="",0,S201*サマリー!$B$12)</f>
        <v>0</v>
      </c>
      <c r="D201" s="27">
        <f>T201+U201+V201+W201+X201+IF(Y201="",0,Y201*サマリー!$B$9)+IF(Z201="",0,IF(Z201=200,サマリー!$B$10,IF(Z201=100,サマリー!$B$11,0)))+IF(AA201="",0,AA201*サマリー!$B$12)</f>
        <v>0</v>
      </c>
      <c r="E201" s="27">
        <f t="shared" si="6"/>
        <v>0</v>
      </c>
      <c r="I201" s="30"/>
      <c r="J201" s="30"/>
      <c r="K201" s="30"/>
      <c r="L201" s="30"/>
      <c r="M201" s="30"/>
      <c r="N201" s="30"/>
      <c r="O201" s="30"/>
      <c r="P201" s="30"/>
      <c r="Q201" s="31"/>
      <c r="R201" s="31"/>
      <c r="S201" s="31"/>
      <c r="T201" s="32"/>
      <c r="U201" s="32"/>
      <c r="V201" s="32"/>
      <c r="W201" s="32"/>
      <c r="X201" s="32"/>
      <c r="Y201" s="33"/>
      <c r="Z201" s="33"/>
      <c r="AA201" s="33"/>
    </row>
    <row r="202" spans="1:27">
      <c r="A202" s="29"/>
      <c r="B202" s="19">
        <f t="shared" si="7"/>
        <v>46327</v>
      </c>
      <c r="C202" s="27">
        <f>I202+J202+K202+L202+M202+N202+O202+P202+IF(Q202="",0,Q202*サマリー!$B$9)+IF(R202="",0,IF(R202=200,サマリー!$B$10,IF(R202=100,サマリー!$B$11,0)))+IF(S202="",0,S202*サマリー!$B$12)</f>
        <v>0</v>
      </c>
      <c r="D202" s="27">
        <f>T202+U202+V202+W202+X202+IF(Y202="",0,Y202*サマリー!$B$9)+IF(Z202="",0,IF(Z202=200,サマリー!$B$10,IF(Z202=100,サマリー!$B$11,0)))+IF(AA202="",0,AA202*サマリー!$B$12)</f>
        <v>0</v>
      </c>
      <c r="E202" s="27">
        <f t="shared" si="6"/>
        <v>0</v>
      </c>
      <c r="I202" s="30"/>
      <c r="J202" s="30"/>
      <c r="K202" s="30"/>
      <c r="L202" s="30"/>
      <c r="M202" s="30"/>
      <c r="N202" s="30"/>
      <c r="O202" s="30"/>
      <c r="P202" s="30"/>
      <c r="Q202" s="31"/>
      <c r="R202" s="31"/>
      <c r="S202" s="31"/>
      <c r="T202" s="32"/>
      <c r="U202" s="32"/>
      <c r="V202" s="32"/>
      <c r="W202" s="32"/>
      <c r="X202" s="32"/>
      <c r="Y202" s="33"/>
      <c r="Z202" s="33"/>
      <c r="AA202" s="33"/>
    </row>
    <row r="203" spans="1:27">
      <c r="A203" s="29"/>
      <c r="B203" s="19">
        <f t="shared" si="7"/>
        <v>46327</v>
      </c>
      <c r="C203" s="27">
        <f>I203+J203+K203+L203+M203+N203+O203+P203+IF(Q203="",0,Q203*サマリー!$B$9)+IF(R203="",0,IF(R203=200,サマリー!$B$10,IF(R203=100,サマリー!$B$11,0)))+IF(S203="",0,S203*サマリー!$B$12)</f>
        <v>0</v>
      </c>
      <c r="D203" s="27">
        <f>T203+U203+V203+W203+X203+IF(Y203="",0,Y203*サマリー!$B$9)+IF(Z203="",0,IF(Z203=200,サマリー!$B$10,IF(Z203=100,サマリー!$B$11,0)))+IF(AA203="",0,AA203*サマリー!$B$12)</f>
        <v>0</v>
      </c>
      <c r="E203" s="27">
        <f t="shared" si="6"/>
        <v>0</v>
      </c>
      <c r="I203" s="30"/>
      <c r="J203" s="30"/>
      <c r="K203" s="30"/>
      <c r="L203" s="30"/>
      <c r="M203" s="30"/>
      <c r="N203" s="30"/>
      <c r="O203" s="30"/>
      <c r="P203" s="30"/>
      <c r="Q203" s="31"/>
      <c r="R203" s="31"/>
      <c r="S203" s="31"/>
      <c r="T203" s="32"/>
      <c r="U203" s="32"/>
      <c r="V203" s="32"/>
      <c r="W203" s="32"/>
      <c r="X203" s="32"/>
      <c r="Y203" s="33"/>
      <c r="Z203" s="33"/>
      <c r="AA203" s="33"/>
    </row>
    <row r="204" spans="1:27">
      <c r="A204" s="29"/>
      <c r="B204" s="19">
        <f t="shared" si="7"/>
        <v>46327</v>
      </c>
      <c r="C204" s="27">
        <f>I204+J204+K204+L204+M204+N204+O204+P204+IF(Q204="",0,Q204*サマリー!$B$9)+IF(R204="",0,IF(R204=200,サマリー!$B$10,IF(R204=100,サマリー!$B$11,0)))+IF(S204="",0,S204*サマリー!$B$12)</f>
        <v>0</v>
      </c>
      <c r="D204" s="27">
        <f>T204+U204+V204+W204+X204+IF(Y204="",0,Y204*サマリー!$B$9)+IF(Z204="",0,IF(Z204=200,サマリー!$B$10,IF(Z204=100,サマリー!$B$11,0)))+IF(AA204="",0,AA204*サマリー!$B$12)</f>
        <v>0</v>
      </c>
      <c r="E204" s="27">
        <f t="shared" si="6"/>
        <v>0</v>
      </c>
      <c r="I204" s="30"/>
      <c r="J204" s="30"/>
      <c r="K204" s="30"/>
      <c r="L204" s="30"/>
      <c r="M204" s="30"/>
      <c r="N204" s="30"/>
      <c r="O204" s="30"/>
      <c r="P204" s="30"/>
      <c r="Q204" s="31"/>
      <c r="R204" s="31"/>
      <c r="S204" s="31"/>
      <c r="T204" s="32"/>
      <c r="U204" s="32"/>
      <c r="V204" s="32"/>
      <c r="W204" s="32"/>
      <c r="X204" s="32"/>
      <c r="Y204" s="33"/>
      <c r="Z204" s="33"/>
      <c r="AA204" s="33"/>
    </row>
    <row r="205" spans="1:27">
      <c r="A205" s="29"/>
      <c r="B205" s="19">
        <f t="shared" si="7"/>
        <v>46327</v>
      </c>
      <c r="C205" s="27">
        <f>I205+J205+K205+L205+M205+N205+O205+P205+IF(Q205="",0,Q205*サマリー!$B$9)+IF(R205="",0,IF(R205=200,サマリー!$B$10,IF(R205=100,サマリー!$B$11,0)))+IF(S205="",0,S205*サマリー!$B$12)</f>
        <v>0</v>
      </c>
      <c r="D205" s="27">
        <f>T205+U205+V205+W205+X205+IF(Y205="",0,Y205*サマリー!$B$9)+IF(Z205="",0,IF(Z205=200,サマリー!$B$10,IF(Z205=100,サマリー!$B$11,0)))+IF(AA205="",0,AA205*サマリー!$B$12)</f>
        <v>0</v>
      </c>
      <c r="E205" s="27">
        <f t="shared" si="6"/>
        <v>0</v>
      </c>
      <c r="I205" s="30"/>
      <c r="J205" s="30"/>
      <c r="K205" s="30"/>
      <c r="L205" s="30"/>
      <c r="M205" s="30"/>
      <c r="N205" s="30"/>
      <c r="O205" s="30"/>
      <c r="P205" s="30"/>
      <c r="Q205" s="31"/>
      <c r="R205" s="31"/>
      <c r="S205" s="31"/>
      <c r="T205" s="32"/>
      <c r="U205" s="32"/>
      <c r="V205" s="32"/>
      <c r="W205" s="32"/>
      <c r="X205" s="32"/>
      <c r="Y205" s="33"/>
      <c r="Z205" s="33"/>
      <c r="AA205" s="33"/>
    </row>
    <row r="206" spans="1:27">
      <c r="A206" s="29"/>
      <c r="B206" s="19">
        <f t="shared" si="7"/>
        <v>46327</v>
      </c>
      <c r="C206" s="27">
        <f>I206+J206+K206+L206+M206+N206+O206+P206+IF(Q206="",0,Q206*サマリー!$B$9)+IF(R206="",0,IF(R206=200,サマリー!$B$10,IF(R206=100,サマリー!$B$11,0)))+IF(S206="",0,S206*サマリー!$B$12)</f>
        <v>0</v>
      </c>
      <c r="D206" s="27">
        <f>T206+U206+V206+W206+X206+IF(Y206="",0,Y206*サマリー!$B$9)+IF(Z206="",0,IF(Z206=200,サマリー!$B$10,IF(Z206=100,サマリー!$B$11,0)))+IF(AA206="",0,AA206*サマリー!$B$12)</f>
        <v>0</v>
      </c>
      <c r="E206" s="27">
        <f t="shared" si="6"/>
        <v>0</v>
      </c>
      <c r="I206" s="30"/>
      <c r="J206" s="30"/>
      <c r="K206" s="30"/>
      <c r="L206" s="30"/>
      <c r="M206" s="30"/>
      <c r="N206" s="30"/>
      <c r="O206" s="30"/>
      <c r="P206" s="30"/>
      <c r="Q206" s="31"/>
      <c r="R206" s="31"/>
      <c r="S206" s="31"/>
      <c r="T206" s="32"/>
      <c r="U206" s="32"/>
      <c r="V206" s="32"/>
      <c r="W206" s="32"/>
      <c r="X206" s="32"/>
      <c r="Y206" s="33"/>
      <c r="Z206" s="33"/>
      <c r="AA206" s="33"/>
    </row>
    <row r="207" spans="1:27">
      <c r="A207" s="29"/>
      <c r="B207" s="19">
        <f t="shared" si="7"/>
        <v>46327</v>
      </c>
      <c r="C207" s="27">
        <f>I207+J207+K207+L207+M207+N207+O207+P207+IF(Q207="",0,Q207*サマリー!$B$9)+IF(R207="",0,IF(R207=200,サマリー!$B$10,IF(R207=100,サマリー!$B$11,0)))+IF(S207="",0,S207*サマリー!$B$12)</f>
        <v>0</v>
      </c>
      <c r="D207" s="27">
        <f>T207+U207+V207+W207+X207+IF(Y207="",0,Y207*サマリー!$B$9)+IF(Z207="",0,IF(Z207=200,サマリー!$B$10,IF(Z207=100,サマリー!$B$11,0)))+IF(AA207="",0,AA207*サマリー!$B$12)</f>
        <v>0</v>
      </c>
      <c r="E207" s="27">
        <f t="shared" si="6"/>
        <v>0</v>
      </c>
      <c r="I207" s="30"/>
      <c r="J207" s="30"/>
      <c r="K207" s="30"/>
      <c r="L207" s="30"/>
      <c r="M207" s="30"/>
      <c r="N207" s="30"/>
      <c r="O207" s="30"/>
      <c r="P207" s="30"/>
      <c r="Q207" s="31"/>
      <c r="R207" s="31"/>
      <c r="S207" s="31"/>
      <c r="T207" s="32"/>
      <c r="U207" s="32"/>
      <c r="V207" s="32"/>
      <c r="W207" s="32"/>
      <c r="X207" s="32"/>
      <c r="Y207" s="33"/>
      <c r="Z207" s="33"/>
      <c r="AA207" s="33"/>
    </row>
    <row r="208" spans="1:27">
      <c r="A208" s="29"/>
      <c r="B208" s="19">
        <f t="shared" si="7"/>
        <v>46327</v>
      </c>
      <c r="C208" s="27">
        <f>I208+J208+K208+L208+M208+N208+O208+P208+IF(Q208="",0,Q208*サマリー!$B$9)+IF(R208="",0,IF(R208=200,サマリー!$B$10,IF(R208=100,サマリー!$B$11,0)))+IF(S208="",0,S208*サマリー!$B$12)</f>
        <v>0</v>
      </c>
      <c r="D208" s="27">
        <f>T208+U208+V208+W208+X208+IF(Y208="",0,Y208*サマリー!$B$9)+IF(Z208="",0,IF(Z208=200,サマリー!$B$10,IF(Z208=100,サマリー!$B$11,0)))+IF(AA208="",0,AA208*サマリー!$B$12)</f>
        <v>0</v>
      </c>
      <c r="E208" s="27">
        <f t="shared" si="6"/>
        <v>0</v>
      </c>
      <c r="I208" s="30"/>
      <c r="J208" s="30"/>
      <c r="K208" s="30"/>
      <c r="L208" s="30"/>
      <c r="M208" s="30"/>
      <c r="N208" s="30"/>
      <c r="O208" s="30"/>
      <c r="P208" s="30"/>
      <c r="Q208" s="31"/>
      <c r="R208" s="31"/>
      <c r="S208" s="31"/>
      <c r="T208" s="32"/>
      <c r="U208" s="32"/>
      <c r="V208" s="32"/>
      <c r="W208" s="32"/>
      <c r="X208" s="32"/>
      <c r="Y208" s="33"/>
      <c r="Z208" s="33"/>
      <c r="AA208" s="33"/>
    </row>
    <row r="209" spans="1:27">
      <c r="A209" s="29"/>
      <c r="B209" s="19">
        <f t="shared" si="7"/>
        <v>46327</v>
      </c>
      <c r="C209" s="27">
        <f>I209+J209+K209+L209+M209+N209+O209+P209+IF(Q209="",0,Q209*サマリー!$B$9)+IF(R209="",0,IF(R209=200,サマリー!$B$10,IF(R209=100,サマリー!$B$11,0)))+IF(S209="",0,S209*サマリー!$B$12)</f>
        <v>0</v>
      </c>
      <c r="D209" s="27">
        <f>T209+U209+V209+W209+X209+IF(Y209="",0,Y209*サマリー!$B$9)+IF(Z209="",0,IF(Z209=200,サマリー!$B$10,IF(Z209=100,サマリー!$B$11,0)))+IF(AA209="",0,AA209*サマリー!$B$12)</f>
        <v>0</v>
      </c>
      <c r="E209" s="27">
        <f t="shared" si="6"/>
        <v>0</v>
      </c>
      <c r="I209" s="30"/>
      <c r="J209" s="30"/>
      <c r="K209" s="30"/>
      <c r="L209" s="30"/>
      <c r="M209" s="30"/>
      <c r="N209" s="30"/>
      <c r="O209" s="30"/>
      <c r="P209" s="30"/>
      <c r="Q209" s="31"/>
      <c r="R209" s="31"/>
      <c r="S209" s="31"/>
      <c r="T209" s="32"/>
      <c r="U209" s="32"/>
      <c r="V209" s="32"/>
      <c r="W209" s="32"/>
      <c r="X209" s="32"/>
      <c r="Y209" s="33"/>
      <c r="Z209" s="33"/>
      <c r="AA209" s="33"/>
    </row>
    <row r="210" spans="1:27">
      <c r="A210" s="29"/>
      <c r="B210" s="19">
        <f t="shared" si="7"/>
        <v>46327</v>
      </c>
      <c r="C210" s="27">
        <f>I210+J210+K210+L210+M210+N210+O210+P210+IF(Q210="",0,Q210*サマリー!$B$9)+IF(R210="",0,IF(R210=200,サマリー!$B$10,IF(R210=100,サマリー!$B$11,0)))+IF(S210="",0,S210*サマリー!$B$12)</f>
        <v>0</v>
      </c>
      <c r="D210" s="27">
        <f>T210+U210+V210+W210+X210+IF(Y210="",0,Y210*サマリー!$B$9)+IF(Z210="",0,IF(Z210=200,サマリー!$B$10,IF(Z210=100,サマリー!$B$11,0)))+IF(AA210="",0,AA210*サマリー!$B$12)</f>
        <v>0</v>
      </c>
      <c r="E210" s="27">
        <f t="shared" si="6"/>
        <v>0</v>
      </c>
      <c r="I210" s="30"/>
      <c r="J210" s="30"/>
      <c r="K210" s="30"/>
      <c r="L210" s="30"/>
      <c r="M210" s="30"/>
      <c r="N210" s="30"/>
      <c r="O210" s="30"/>
      <c r="P210" s="30"/>
      <c r="Q210" s="31"/>
      <c r="R210" s="31"/>
      <c r="S210" s="31"/>
      <c r="T210" s="32"/>
      <c r="U210" s="32"/>
      <c r="V210" s="32"/>
      <c r="W210" s="32"/>
      <c r="X210" s="32"/>
      <c r="Y210" s="33"/>
      <c r="Z210" s="33"/>
      <c r="AA210" s="33"/>
    </row>
    <row r="211" spans="1:27">
      <c r="A211" s="29"/>
      <c r="B211" s="19">
        <f t="shared" si="7"/>
        <v>46327</v>
      </c>
      <c r="C211" s="27">
        <f>I211+J211+K211+L211+M211+N211+O211+P211+IF(Q211="",0,Q211*サマリー!$B$9)+IF(R211="",0,IF(R211=200,サマリー!$B$10,IF(R211=100,サマリー!$B$11,0)))+IF(S211="",0,S211*サマリー!$B$12)</f>
        <v>0</v>
      </c>
      <c r="D211" s="27">
        <f>T211+U211+V211+W211+X211+IF(Y211="",0,Y211*サマリー!$B$9)+IF(Z211="",0,IF(Z211=200,サマリー!$B$10,IF(Z211=100,サマリー!$B$11,0)))+IF(AA211="",0,AA211*サマリー!$B$12)</f>
        <v>0</v>
      </c>
      <c r="E211" s="27">
        <f t="shared" si="6"/>
        <v>0</v>
      </c>
      <c r="I211" s="30"/>
      <c r="J211" s="30"/>
      <c r="K211" s="30"/>
      <c r="L211" s="30"/>
      <c r="M211" s="30"/>
      <c r="N211" s="30"/>
      <c r="O211" s="30"/>
      <c r="P211" s="30"/>
      <c r="Q211" s="31"/>
      <c r="R211" s="31"/>
      <c r="S211" s="31"/>
      <c r="T211" s="32"/>
      <c r="U211" s="32"/>
      <c r="V211" s="32"/>
      <c r="W211" s="32"/>
      <c r="X211" s="32"/>
      <c r="Y211" s="33"/>
      <c r="Z211" s="33"/>
      <c r="AA211" s="33"/>
    </row>
    <row r="212" spans="1:27">
      <c r="A212" s="29"/>
      <c r="B212" s="19">
        <f t="shared" si="7"/>
        <v>46327</v>
      </c>
      <c r="C212" s="27">
        <f>I212+J212+K212+L212+M212+N212+O212+P212+IF(Q212="",0,Q212*サマリー!$B$9)+IF(R212="",0,IF(R212=200,サマリー!$B$10,IF(R212=100,サマリー!$B$11,0)))+IF(S212="",0,S212*サマリー!$B$12)</f>
        <v>0</v>
      </c>
      <c r="D212" s="27">
        <f>T212+U212+V212+W212+X212+IF(Y212="",0,Y212*サマリー!$B$9)+IF(Z212="",0,IF(Z212=200,サマリー!$B$10,IF(Z212=100,サマリー!$B$11,0)))+IF(AA212="",0,AA212*サマリー!$B$12)</f>
        <v>0</v>
      </c>
      <c r="E212" s="27">
        <f t="shared" si="6"/>
        <v>0</v>
      </c>
      <c r="I212" s="30"/>
      <c r="J212" s="30"/>
      <c r="K212" s="30"/>
      <c r="L212" s="30"/>
      <c r="M212" s="30"/>
      <c r="N212" s="30"/>
      <c r="O212" s="30"/>
      <c r="P212" s="30"/>
      <c r="Q212" s="31"/>
      <c r="R212" s="31"/>
      <c r="S212" s="31"/>
      <c r="T212" s="32"/>
      <c r="U212" s="32"/>
      <c r="V212" s="32"/>
      <c r="W212" s="32"/>
      <c r="X212" s="32"/>
      <c r="Y212" s="33"/>
      <c r="Z212" s="33"/>
      <c r="AA212" s="33"/>
    </row>
    <row r="213" spans="1:27">
      <c r="A213" s="29"/>
      <c r="B213" s="19">
        <f t="shared" si="7"/>
        <v>46327</v>
      </c>
      <c r="C213" s="27">
        <f>I213+J213+K213+L213+M213+N213+O213+P213+IF(Q213="",0,Q213*サマリー!$B$9)+IF(R213="",0,IF(R213=200,サマリー!$B$10,IF(R213=100,サマリー!$B$11,0)))+IF(S213="",0,S213*サマリー!$B$12)</f>
        <v>0</v>
      </c>
      <c r="D213" s="27">
        <f>T213+U213+V213+W213+X213+IF(Y213="",0,Y213*サマリー!$B$9)+IF(Z213="",0,IF(Z213=200,サマリー!$B$10,IF(Z213=100,サマリー!$B$11,0)))+IF(AA213="",0,AA213*サマリー!$B$12)</f>
        <v>0</v>
      </c>
      <c r="E213" s="27">
        <f t="shared" si="6"/>
        <v>0</v>
      </c>
      <c r="I213" s="30"/>
      <c r="J213" s="30"/>
      <c r="K213" s="30"/>
      <c r="L213" s="30"/>
      <c r="M213" s="30"/>
      <c r="N213" s="30"/>
      <c r="O213" s="30"/>
      <c r="P213" s="30"/>
      <c r="Q213" s="31"/>
      <c r="R213" s="31"/>
      <c r="S213" s="31"/>
      <c r="T213" s="32"/>
      <c r="U213" s="32"/>
      <c r="V213" s="32"/>
      <c r="W213" s="32"/>
      <c r="X213" s="32"/>
      <c r="Y213" s="33"/>
      <c r="Z213" s="33"/>
      <c r="AA213" s="33"/>
    </row>
    <row r="214" spans="1:27">
      <c r="A214" s="29"/>
      <c r="B214" s="19">
        <f t="shared" si="7"/>
        <v>46327</v>
      </c>
      <c r="C214" s="27">
        <f>I214+J214+K214+L214+M214+N214+O214+P214+IF(Q214="",0,Q214*サマリー!$B$9)+IF(R214="",0,IF(R214=200,サマリー!$B$10,IF(R214=100,サマリー!$B$11,0)))+IF(S214="",0,S214*サマリー!$B$12)</f>
        <v>0</v>
      </c>
      <c r="D214" s="27">
        <f>T214+U214+V214+W214+X214+IF(Y214="",0,Y214*サマリー!$B$9)+IF(Z214="",0,IF(Z214=200,サマリー!$B$10,IF(Z214=100,サマリー!$B$11,0)))+IF(AA214="",0,AA214*サマリー!$B$12)</f>
        <v>0</v>
      </c>
      <c r="E214" s="27">
        <f t="shared" si="6"/>
        <v>0</v>
      </c>
      <c r="I214" s="30"/>
      <c r="J214" s="30"/>
      <c r="K214" s="30"/>
      <c r="L214" s="30"/>
      <c r="M214" s="30"/>
      <c r="N214" s="30"/>
      <c r="O214" s="30"/>
      <c r="P214" s="30"/>
      <c r="Q214" s="31"/>
      <c r="R214" s="31"/>
      <c r="S214" s="31"/>
      <c r="T214" s="32"/>
      <c r="U214" s="32"/>
      <c r="V214" s="32"/>
      <c r="W214" s="32"/>
      <c r="X214" s="32"/>
      <c r="Y214" s="33"/>
      <c r="Z214" s="33"/>
      <c r="AA214" s="33"/>
    </row>
    <row r="215" spans="1:27">
      <c r="A215" s="29"/>
      <c r="B215" s="19">
        <f t="shared" si="7"/>
        <v>46327</v>
      </c>
      <c r="C215" s="27">
        <f>I215+J215+K215+L215+M215+N215+O215+P215+IF(Q215="",0,Q215*サマリー!$B$9)+IF(R215="",0,IF(R215=200,サマリー!$B$10,IF(R215=100,サマリー!$B$11,0)))+IF(S215="",0,S215*サマリー!$B$12)</f>
        <v>0</v>
      </c>
      <c r="D215" s="27">
        <f>T215+U215+V215+W215+X215+IF(Y215="",0,Y215*サマリー!$B$9)+IF(Z215="",0,IF(Z215=200,サマリー!$B$10,IF(Z215=100,サマリー!$B$11,0)))+IF(AA215="",0,AA215*サマリー!$B$12)</f>
        <v>0</v>
      </c>
      <c r="E215" s="27">
        <f t="shared" si="6"/>
        <v>0</v>
      </c>
      <c r="I215" s="30"/>
      <c r="J215" s="30"/>
      <c r="K215" s="30"/>
      <c r="L215" s="30"/>
      <c r="M215" s="30"/>
      <c r="N215" s="30"/>
      <c r="O215" s="30"/>
      <c r="P215" s="30"/>
      <c r="Q215" s="31"/>
      <c r="R215" s="31"/>
      <c r="S215" s="31"/>
      <c r="T215" s="32"/>
      <c r="U215" s="32"/>
      <c r="V215" s="32"/>
      <c r="W215" s="32"/>
      <c r="X215" s="32"/>
      <c r="Y215" s="33"/>
      <c r="Z215" s="33"/>
      <c r="AA215" s="33"/>
    </row>
    <row r="216" spans="1:27">
      <c r="A216" s="29"/>
      <c r="B216" s="19">
        <f t="shared" si="7"/>
        <v>46327</v>
      </c>
      <c r="C216" s="27">
        <f>I216+J216+K216+L216+M216+N216+O216+P216+IF(Q216="",0,Q216*サマリー!$B$9)+IF(R216="",0,IF(R216=200,サマリー!$B$10,IF(R216=100,サマリー!$B$11,0)))+IF(S216="",0,S216*サマリー!$B$12)</f>
        <v>0</v>
      </c>
      <c r="D216" s="27">
        <f>T216+U216+V216+W216+X216+IF(Y216="",0,Y216*サマリー!$B$9)+IF(Z216="",0,IF(Z216=200,サマリー!$B$10,IF(Z216=100,サマリー!$B$11,0)))+IF(AA216="",0,AA216*サマリー!$B$12)</f>
        <v>0</v>
      </c>
      <c r="E216" s="27">
        <f t="shared" si="6"/>
        <v>0</v>
      </c>
      <c r="I216" s="30"/>
      <c r="J216" s="30"/>
      <c r="K216" s="30"/>
      <c r="L216" s="30"/>
      <c r="M216" s="30"/>
      <c r="N216" s="30"/>
      <c r="O216" s="30"/>
      <c r="P216" s="30"/>
      <c r="Q216" s="31"/>
      <c r="R216" s="31"/>
      <c r="S216" s="31"/>
      <c r="T216" s="32"/>
      <c r="U216" s="32"/>
      <c r="V216" s="32"/>
      <c r="W216" s="32"/>
      <c r="X216" s="32"/>
      <c r="Y216" s="33"/>
      <c r="Z216" s="33"/>
      <c r="AA216" s="33"/>
    </row>
    <row r="217" spans="1:27">
      <c r="A217" s="29"/>
      <c r="B217" s="19">
        <f t="shared" si="7"/>
        <v>46327</v>
      </c>
      <c r="C217" s="27">
        <f>I217+J217+K217+L217+M217+N217+O217+P217+IF(Q217="",0,Q217*サマリー!$B$9)+IF(R217="",0,IF(R217=200,サマリー!$B$10,IF(R217=100,サマリー!$B$11,0)))+IF(S217="",0,S217*サマリー!$B$12)</f>
        <v>0</v>
      </c>
      <c r="D217" s="27">
        <f>T217+U217+V217+W217+X217+IF(Y217="",0,Y217*サマリー!$B$9)+IF(Z217="",0,IF(Z217=200,サマリー!$B$10,IF(Z217=100,サマリー!$B$11,0)))+IF(AA217="",0,AA217*サマリー!$B$12)</f>
        <v>0</v>
      </c>
      <c r="E217" s="27">
        <f t="shared" si="6"/>
        <v>0</v>
      </c>
      <c r="I217" s="30"/>
      <c r="J217" s="30"/>
      <c r="K217" s="30"/>
      <c r="L217" s="30"/>
      <c r="M217" s="30"/>
      <c r="N217" s="30"/>
      <c r="O217" s="30"/>
      <c r="P217" s="30"/>
      <c r="Q217" s="31"/>
      <c r="R217" s="31"/>
      <c r="S217" s="31"/>
      <c r="T217" s="32"/>
      <c r="U217" s="32"/>
      <c r="V217" s="32"/>
      <c r="W217" s="32"/>
      <c r="X217" s="32"/>
      <c r="Y217" s="33"/>
      <c r="Z217" s="33"/>
      <c r="AA217" s="33"/>
    </row>
    <row r="218" spans="1:27">
      <c r="A218" s="29"/>
      <c r="B218" s="19">
        <f t="shared" si="7"/>
        <v>46327</v>
      </c>
      <c r="C218" s="27">
        <f>I218+J218+K218+L218+M218+N218+O218+P218+IF(Q218="",0,Q218*サマリー!$B$9)+IF(R218="",0,IF(R218=200,サマリー!$B$10,IF(R218=100,サマリー!$B$11,0)))+IF(S218="",0,S218*サマリー!$B$12)</f>
        <v>0</v>
      </c>
      <c r="D218" s="27">
        <f>T218+U218+V218+W218+X218+IF(Y218="",0,Y218*サマリー!$B$9)+IF(Z218="",0,IF(Z218=200,サマリー!$B$10,IF(Z218=100,サマリー!$B$11,0)))+IF(AA218="",0,AA218*サマリー!$B$12)</f>
        <v>0</v>
      </c>
      <c r="E218" s="27">
        <f t="shared" si="6"/>
        <v>0</v>
      </c>
      <c r="I218" s="30"/>
      <c r="J218" s="30"/>
      <c r="K218" s="30"/>
      <c r="L218" s="30"/>
      <c r="M218" s="30"/>
      <c r="N218" s="30"/>
      <c r="O218" s="30"/>
      <c r="P218" s="30"/>
      <c r="Q218" s="31"/>
      <c r="R218" s="31"/>
      <c r="S218" s="31"/>
      <c r="T218" s="32"/>
      <c r="U218" s="32"/>
      <c r="V218" s="32"/>
      <c r="W218" s="32"/>
      <c r="X218" s="32"/>
      <c r="Y218" s="33"/>
      <c r="Z218" s="33"/>
      <c r="AA218" s="33"/>
    </row>
    <row r="219" spans="1:27">
      <c r="A219" s="29"/>
      <c r="B219" s="19">
        <f t="shared" si="7"/>
        <v>46327</v>
      </c>
      <c r="C219" s="27">
        <f>I219+J219+K219+L219+M219+N219+O219+P219+IF(Q219="",0,Q219*サマリー!$B$9)+IF(R219="",0,IF(R219=200,サマリー!$B$10,IF(R219=100,サマリー!$B$11,0)))+IF(S219="",0,S219*サマリー!$B$12)</f>
        <v>0</v>
      </c>
      <c r="D219" s="27">
        <f>T219+U219+V219+W219+X219+IF(Y219="",0,Y219*サマリー!$B$9)+IF(Z219="",0,IF(Z219=200,サマリー!$B$10,IF(Z219=100,サマリー!$B$11,0)))+IF(AA219="",0,AA219*サマリー!$B$12)</f>
        <v>0</v>
      </c>
      <c r="E219" s="27">
        <f t="shared" si="6"/>
        <v>0</v>
      </c>
      <c r="I219" s="30"/>
      <c r="J219" s="30"/>
      <c r="K219" s="30"/>
      <c r="L219" s="30"/>
      <c r="M219" s="30"/>
      <c r="N219" s="30"/>
      <c r="O219" s="30"/>
      <c r="P219" s="30"/>
      <c r="Q219" s="31"/>
      <c r="R219" s="31"/>
      <c r="S219" s="31"/>
      <c r="T219" s="32"/>
      <c r="U219" s="32"/>
      <c r="V219" s="32"/>
      <c r="W219" s="32"/>
      <c r="X219" s="32"/>
      <c r="Y219" s="33"/>
      <c r="Z219" s="33"/>
      <c r="AA219" s="33"/>
    </row>
    <row r="220" spans="1:27">
      <c r="A220" s="29"/>
      <c r="B220" s="19">
        <f t="shared" si="7"/>
        <v>46327</v>
      </c>
      <c r="C220" s="27">
        <f>I220+J220+K220+L220+M220+N220+O220+P220+IF(Q220="",0,Q220*サマリー!$B$9)+IF(R220="",0,IF(R220=200,サマリー!$B$10,IF(R220=100,サマリー!$B$11,0)))+IF(S220="",0,S220*サマリー!$B$12)</f>
        <v>0</v>
      </c>
      <c r="D220" s="27">
        <f>T220+U220+V220+W220+X220+IF(Y220="",0,Y220*サマリー!$B$9)+IF(Z220="",0,IF(Z220=200,サマリー!$B$10,IF(Z220=100,サマリー!$B$11,0)))+IF(AA220="",0,AA220*サマリー!$B$12)</f>
        <v>0</v>
      </c>
      <c r="E220" s="27">
        <f t="shared" si="6"/>
        <v>0</v>
      </c>
      <c r="I220" s="30"/>
      <c r="J220" s="30"/>
      <c r="K220" s="30"/>
      <c r="L220" s="30"/>
      <c r="M220" s="30"/>
      <c r="N220" s="30"/>
      <c r="O220" s="30"/>
      <c r="P220" s="30"/>
      <c r="Q220" s="31"/>
      <c r="R220" s="31"/>
      <c r="S220" s="31"/>
      <c r="T220" s="32"/>
      <c r="U220" s="32"/>
      <c r="V220" s="32"/>
      <c r="W220" s="32"/>
      <c r="X220" s="32"/>
      <c r="Y220" s="33"/>
      <c r="Z220" s="33"/>
      <c r="AA220" s="33"/>
    </row>
    <row r="221" spans="1:27">
      <c r="A221" s="29"/>
      <c r="B221" s="19">
        <f t="shared" si="7"/>
        <v>46327</v>
      </c>
      <c r="C221" s="27">
        <f>I221+J221+K221+L221+M221+N221+O221+P221+IF(Q221="",0,Q221*サマリー!$B$9)+IF(R221="",0,IF(R221=200,サマリー!$B$10,IF(R221=100,サマリー!$B$11,0)))+IF(S221="",0,S221*サマリー!$B$12)</f>
        <v>0</v>
      </c>
      <c r="D221" s="27">
        <f>T221+U221+V221+W221+X221+IF(Y221="",0,Y221*サマリー!$B$9)+IF(Z221="",0,IF(Z221=200,サマリー!$B$10,IF(Z221=100,サマリー!$B$11,0)))+IF(AA221="",0,AA221*サマリー!$B$12)</f>
        <v>0</v>
      </c>
      <c r="E221" s="27">
        <f t="shared" si="6"/>
        <v>0</v>
      </c>
      <c r="I221" s="30"/>
      <c r="J221" s="30"/>
      <c r="K221" s="30"/>
      <c r="L221" s="30"/>
      <c r="M221" s="30"/>
      <c r="N221" s="30"/>
      <c r="O221" s="30"/>
      <c r="P221" s="30"/>
      <c r="Q221" s="31"/>
      <c r="R221" s="31"/>
      <c r="S221" s="31"/>
      <c r="T221" s="32"/>
      <c r="U221" s="32"/>
      <c r="V221" s="32"/>
      <c r="W221" s="32"/>
      <c r="X221" s="32"/>
      <c r="Y221" s="33"/>
      <c r="Z221" s="33"/>
      <c r="AA221" s="33"/>
    </row>
    <row r="222" spans="1:27">
      <c r="A222" s="29"/>
      <c r="B222" s="19">
        <f t="shared" si="7"/>
        <v>46327</v>
      </c>
      <c r="C222" s="27">
        <f>I222+J222+K222+L222+M222+N222+O222+P222+IF(Q222="",0,Q222*サマリー!$B$9)+IF(R222="",0,IF(R222=200,サマリー!$B$10,IF(R222=100,サマリー!$B$11,0)))+IF(S222="",0,S222*サマリー!$B$12)</f>
        <v>0</v>
      </c>
      <c r="D222" s="27">
        <f>T222+U222+V222+W222+X222+IF(Y222="",0,Y222*サマリー!$B$9)+IF(Z222="",0,IF(Z222=200,サマリー!$B$10,IF(Z222=100,サマリー!$B$11,0)))+IF(AA222="",0,AA222*サマリー!$B$12)</f>
        <v>0</v>
      </c>
      <c r="E222" s="27">
        <f t="shared" si="6"/>
        <v>0</v>
      </c>
      <c r="I222" s="30"/>
      <c r="J222" s="30"/>
      <c r="K222" s="30"/>
      <c r="L222" s="30"/>
      <c r="M222" s="30"/>
      <c r="N222" s="30"/>
      <c r="O222" s="30"/>
      <c r="P222" s="30"/>
      <c r="Q222" s="31"/>
      <c r="R222" s="31"/>
      <c r="S222" s="31"/>
      <c r="T222" s="32"/>
      <c r="U222" s="32"/>
      <c r="V222" s="32"/>
      <c r="W222" s="32"/>
      <c r="X222" s="32"/>
      <c r="Y222" s="33"/>
      <c r="Z222" s="33"/>
      <c r="AA222" s="33"/>
    </row>
    <row r="223" spans="1:27">
      <c r="A223" s="29"/>
      <c r="B223" s="19">
        <f t="shared" si="7"/>
        <v>46327</v>
      </c>
      <c r="C223" s="27">
        <f>I223+J223+K223+L223+M223+N223+O223+P223+IF(Q223="",0,Q223*サマリー!$B$9)+IF(R223="",0,IF(R223=200,サマリー!$B$10,IF(R223=100,サマリー!$B$11,0)))+IF(S223="",0,S223*サマリー!$B$12)</f>
        <v>0</v>
      </c>
      <c r="D223" s="27">
        <f>T223+U223+V223+W223+X223+IF(Y223="",0,Y223*サマリー!$B$9)+IF(Z223="",0,IF(Z223=200,サマリー!$B$10,IF(Z223=100,サマリー!$B$11,0)))+IF(AA223="",0,AA223*サマリー!$B$12)</f>
        <v>0</v>
      </c>
      <c r="E223" s="27">
        <f t="shared" si="6"/>
        <v>0</v>
      </c>
      <c r="I223" s="30"/>
      <c r="J223" s="30"/>
      <c r="K223" s="30"/>
      <c r="L223" s="30"/>
      <c r="M223" s="30"/>
      <c r="N223" s="30"/>
      <c r="O223" s="30"/>
      <c r="P223" s="30"/>
      <c r="Q223" s="31"/>
      <c r="R223" s="31"/>
      <c r="S223" s="31"/>
      <c r="T223" s="32"/>
      <c r="U223" s="32"/>
      <c r="V223" s="32"/>
      <c r="W223" s="32"/>
      <c r="X223" s="32"/>
      <c r="Y223" s="33"/>
      <c r="Z223" s="33"/>
      <c r="AA223" s="33"/>
    </row>
    <row r="224" spans="1:27">
      <c r="A224" s="29"/>
      <c r="B224" s="19">
        <f t="shared" si="7"/>
        <v>46327</v>
      </c>
      <c r="C224" s="27">
        <f>I224+J224+K224+L224+M224+N224+O224+P224+IF(Q224="",0,Q224*サマリー!$B$9)+IF(R224="",0,IF(R224=200,サマリー!$B$10,IF(R224=100,サマリー!$B$11,0)))+IF(S224="",0,S224*サマリー!$B$12)</f>
        <v>0</v>
      </c>
      <c r="D224" s="27">
        <f>T224+U224+V224+W224+X224+IF(Y224="",0,Y224*サマリー!$B$9)+IF(Z224="",0,IF(Z224=200,サマリー!$B$10,IF(Z224=100,サマリー!$B$11,0)))+IF(AA224="",0,AA224*サマリー!$B$12)</f>
        <v>0</v>
      </c>
      <c r="E224" s="27">
        <f t="shared" si="6"/>
        <v>0</v>
      </c>
      <c r="I224" s="30"/>
      <c r="J224" s="30"/>
      <c r="K224" s="30"/>
      <c r="L224" s="30"/>
      <c r="M224" s="30"/>
      <c r="N224" s="30"/>
      <c r="O224" s="30"/>
      <c r="P224" s="30"/>
      <c r="Q224" s="31"/>
      <c r="R224" s="31"/>
      <c r="S224" s="31"/>
      <c r="T224" s="32"/>
      <c r="U224" s="32"/>
      <c r="V224" s="32"/>
      <c r="W224" s="32"/>
      <c r="X224" s="32"/>
      <c r="Y224" s="33"/>
      <c r="Z224" s="33"/>
      <c r="AA224" s="33"/>
    </row>
    <row r="225" spans="1:27">
      <c r="A225" s="29"/>
      <c r="B225" s="19">
        <f t="shared" si="7"/>
        <v>46327</v>
      </c>
      <c r="C225" s="27">
        <f>I225+J225+K225+L225+M225+N225+O225+P225+IF(Q225="",0,Q225*サマリー!$B$9)+IF(R225="",0,IF(R225=200,サマリー!$B$10,IF(R225=100,サマリー!$B$11,0)))+IF(S225="",0,S225*サマリー!$B$12)</f>
        <v>0</v>
      </c>
      <c r="D225" s="27">
        <f>T225+U225+V225+W225+X225+IF(Y225="",0,Y225*サマリー!$B$9)+IF(Z225="",0,IF(Z225=200,サマリー!$B$10,IF(Z225=100,サマリー!$B$11,0)))+IF(AA225="",0,AA225*サマリー!$B$12)</f>
        <v>0</v>
      </c>
      <c r="E225" s="27">
        <f t="shared" si="6"/>
        <v>0</v>
      </c>
      <c r="I225" s="30"/>
      <c r="J225" s="30"/>
      <c r="K225" s="30"/>
      <c r="L225" s="30"/>
      <c r="M225" s="30"/>
      <c r="N225" s="30"/>
      <c r="O225" s="30"/>
      <c r="P225" s="30"/>
      <c r="Q225" s="31"/>
      <c r="R225" s="31"/>
      <c r="S225" s="31"/>
      <c r="T225" s="32"/>
      <c r="U225" s="32"/>
      <c r="V225" s="32"/>
      <c r="W225" s="32"/>
      <c r="X225" s="32"/>
      <c r="Y225" s="33"/>
      <c r="Z225" s="33"/>
      <c r="AA225" s="33"/>
    </row>
    <row r="226" spans="1:27">
      <c r="A226" s="29"/>
      <c r="B226" s="19">
        <f t="shared" si="7"/>
        <v>46327</v>
      </c>
      <c r="C226" s="27">
        <f>I226+J226+K226+L226+M226+N226+O226+P226+IF(Q226="",0,Q226*サマリー!$B$9)+IF(R226="",0,IF(R226=200,サマリー!$B$10,IF(R226=100,サマリー!$B$11,0)))+IF(S226="",0,S226*サマリー!$B$12)</f>
        <v>0</v>
      </c>
      <c r="D226" s="27">
        <f>T226+U226+V226+W226+X226+IF(Y226="",0,Y226*サマリー!$B$9)+IF(Z226="",0,IF(Z226=200,サマリー!$B$10,IF(Z226=100,サマリー!$B$11,0)))+IF(AA226="",0,AA226*サマリー!$B$12)</f>
        <v>0</v>
      </c>
      <c r="E226" s="27">
        <f t="shared" si="6"/>
        <v>0</v>
      </c>
      <c r="I226" s="30"/>
      <c r="J226" s="30"/>
      <c r="K226" s="30"/>
      <c r="L226" s="30"/>
      <c r="M226" s="30"/>
      <c r="N226" s="30"/>
      <c r="O226" s="30"/>
      <c r="P226" s="30"/>
      <c r="Q226" s="31"/>
      <c r="R226" s="31"/>
      <c r="S226" s="31"/>
      <c r="T226" s="32"/>
      <c r="U226" s="32"/>
      <c r="V226" s="32"/>
      <c r="W226" s="32"/>
      <c r="X226" s="32"/>
      <c r="Y226" s="33"/>
      <c r="Z226" s="33"/>
      <c r="AA226" s="33"/>
    </row>
    <row r="227" spans="1:27">
      <c r="A227" s="29"/>
      <c r="B227" s="19">
        <f t="shared" si="7"/>
        <v>46327</v>
      </c>
      <c r="C227" s="27">
        <f>I227+J227+K227+L227+M227+N227+O227+P227+IF(Q227="",0,Q227*サマリー!$B$9)+IF(R227="",0,IF(R227=200,サマリー!$B$10,IF(R227=100,サマリー!$B$11,0)))+IF(S227="",0,S227*サマリー!$B$12)</f>
        <v>0</v>
      </c>
      <c r="D227" s="27">
        <f>T227+U227+V227+W227+X227+IF(Y227="",0,Y227*サマリー!$B$9)+IF(Z227="",0,IF(Z227=200,サマリー!$B$10,IF(Z227=100,サマリー!$B$11,0)))+IF(AA227="",0,AA227*サマリー!$B$12)</f>
        <v>0</v>
      </c>
      <c r="E227" s="27">
        <f t="shared" si="6"/>
        <v>0</v>
      </c>
      <c r="I227" s="30"/>
      <c r="J227" s="30"/>
      <c r="K227" s="30"/>
      <c r="L227" s="30"/>
      <c r="M227" s="30"/>
      <c r="N227" s="30"/>
      <c r="O227" s="30"/>
      <c r="P227" s="30"/>
      <c r="Q227" s="31"/>
      <c r="R227" s="31"/>
      <c r="S227" s="31"/>
      <c r="T227" s="32"/>
      <c r="U227" s="32"/>
      <c r="V227" s="32"/>
      <c r="W227" s="32"/>
      <c r="X227" s="32"/>
      <c r="Y227" s="33"/>
      <c r="Z227" s="33"/>
      <c r="AA227" s="33"/>
    </row>
    <row r="228" spans="1:27">
      <c r="A228" s="29"/>
      <c r="B228" s="19">
        <f t="shared" si="7"/>
        <v>46327</v>
      </c>
      <c r="C228" s="27">
        <f>I228+J228+K228+L228+M228+N228+O228+P228+IF(Q228="",0,Q228*サマリー!$B$9)+IF(R228="",0,IF(R228=200,サマリー!$B$10,IF(R228=100,サマリー!$B$11,0)))+IF(S228="",0,S228*サマリー!$B$12)</f>
        <v>0</v>
      </c>
      <c r="D228" s="27">
        <f>T228+U228+V228+W228+X228+IF(Y228="",0,Y228*サマリー!$B$9)+IF(Z228="",0,IF(Z228=200,サマリー!$B$10,IF(Z228=100,サマリー!$B$11,0)))+IF(AA228="",0,AA228*サマリー!$B$12)</f>
        <v>0</v>
      </c>
      <c r="E228" s="27">
        <f t="shared" si="6"/>
        <v>0</v>
      </c>
      <c r="I228" s="30"/>
      <c r="J228" s="30"/>
      <c r="K228" s="30"/>
      <c r="L228" s="30"/>
      <c r="M228" s="30"/>
      <c r="N228" s="30"/>
      <c r="O228" s="30"/>
      <c r="P228" s="30"/>
      <c r="Q228" s="31"/>
      <c r="R228" s="31"/>
      <c r="S228" s="31"/>
      <c r="T228" s="32"/>
      <c r="U228" s="32"/>
      <c r="V228" s="32"/>
      <c r="W228" s="32"/>
      <c r="X228" s="32"/>
      <c r="Y228" s="33"/>
      <c r="Z228" s="33"/>
      <c r="AA228" s="33"/>
    </row>
    <row r="229" spans="1:27">
      <c r="A229" s="29"/>
      <c r="B229" s="19">
        <f t="shared" si="7"/>
        <v>46327</v>
      </c>
      <c r="C229" s="27">
        <f>I229+J229+K229+L229+M229+N229+O229+P229+IF(Q229="",0,Q229*サマリー!$B$9)+IF(R229="",0,IF(R229=200,サマリー!$B$10,IF(R229=100,サマリー!$B$11,0)))+IF(S229="",0,S229*サマリー!$B$12)</f>
        <v>0</v>
      </c>
      <c r="D229" s="27">
        <f>T229+U229+V229+W229+X229+IF(Y229="",0,Y229*サマリー!$B$9)+IF(Z229="",0,IF(Z229=200,サマリー!$B$10,IF(Z229=100,サマリー!$B$11,0)))+IF(AA229="",0,AA229*サマリー!$B$12)</f>
        <v>0</v>
      </c>
      <c r="E229" s="27">
        <f t="shared" si="6"/>
        <v>0</v>
      </c>
      <c r="I229" s="30"/>
      <c r="J229" s="30"/>
      <c r="K229" s="30"/>
      <c r="L229" s="30"/>
      <c r="M229" s="30"/>
      <c r="N229" s="30"/>
      <c r="O229" s="30"/>
      <c r="P229" s="30"/>
      <c r="Q229" s="31"/>
      <c r="R229" s="31"/>
      <c r="S229" s="31"/>
      <c r="T229" s="32"/>
      <c r="U229" s="32"/>
      <c r="V229" s="32"/>
      <c r="W229" s="32"/>
      <c r="X229" s="32"/>
      <c r="Y229" s="33"/>
      <c r="Z229" s="33"/>
      <c r="AA229" s="33"/>
    </row>
    <row r="230" spans="1:27">
      <c r="A230" s="29"/>
      <c r="B230" s="19">
        <f t="shared" si="7"/>
        <v>46327</v>
      </c>
      <c r="C230" s="27">
        <f>I230+J230+K230+L230+M230+N230+O230+P230+IF(Q230="",0,Q230*サマリー!$B$9)+IF(R230="",0,IF(R230=200,サマリー!$B$10,IF(R230=100,サマリー!$B$11,0)))+IF(S230="",0,S230*サマリー!$B$12)</f>
        <v>0</v>
      </c>
      <c r="D230" s="27">
        <f>T230+U230+V230+W230+X230+IF(Y230="",0,Y230*サマリー!$B$9)+IF(Z230="",0,IF(Z230=200,サマリー!$B$10,IF(Z230=100,サマリー!$B$11,0)))+IF(AA230="",0,AA230*サマリー!$B$12)</f>
        <v>0</v>
      </c>
      <c r="E230" s="27">
        <f t="shared" si="6"/>
        <v>0</v>
      </c>
      <c r="I230" s="30"/>
      <c r="J230" s="30"/>
      <c r="K230" s="30"/>
      <c r="L230" s="30"/>
      <c r="M230" s="30"/>
      <c r="N230" s="30"/>
      <c r="O230" s="30"/>
      <c r="P230" s="30"/>
      <c r="Q230" s="31"/>
      <c r="R230" s="31"/>
      <c r="S230" s="31"/>
      <c r="T230" s="32"/>
      <c r="U230" s="32"/>
      <c r="V230" s="32"/>
      <c r="W230" s="32"/>
      <c r="X230" s="32"/>
      <c r="Y230" s="33"/>
      <c r="Z230" s="33"/>
      <c r="AA230" s="33"/>
    </row>
    <row r="231" spans="1:27">
      <c r="A231" s="29"/>
      <c r="B231" s="19">
        <f t="shared" si="7"/>
        <v>46327</v>
      </c>
      <c r="C231" s="27">
        <f>I231+J231+K231+L231+M231+N231+O231+P231+IF(Q231="",0,Q231*サマリー!$B$9)+IF(R231="",0,IF(R231=200,サマリー!$B$10,IF(R231=100,サマリー!$B$11,0)))+IF(S231="",0,S231*サマリー!$B$12)</f>
        <v>0</v>
      </c>
      <c r="D231" s="27">
        <f>T231+U231+V231+W231+X231+IF(Y231="",0,Y231*サマリー!$B$9)+IF(Z231="",0,IF(Z231=200,サマリー!$B$10,IF(Z231=100,サマリー!$B$11,0)))+IF(AA231="",0,AA231*サマリー!$B$12)</f>
        <v>0</v>
      </c>
      <c r="E231" s="27">
        <f t="shared" si="6"/>
        <v>0</v>
      </c>
      <c r="I231" s="30"/>
      <c r="J231" s="30"/>
      <c r="K231" s="30"/>
      <c r="L231" s="30"/>
      <c r="M231" s="30"/>
      <c r="N231" s="30"/>
      <c r="O231" s="30"/>
      <c r="P231" s="30"/>
      <c r="Q231" s="31"/>
      <c r="R231" s="31"/>
      <c r="S231" s="31"/>
      <c r="T231" s="32"/>
      <c r="U231" s="32"/>
      <c r="V231" s="32"/>
      <c r="W231" s="32"/>
      <c r="X231" s="32"/>
      <c r="Y231" s="33"/>
      <c r="Z231" s="33"/>
      <c r="AA231" s="33"/>
    </row>
    <row r="232" spans="1:27">
      <c r="A232" s="29"/>
      <c r="B232" s="19">
        <f t="shared" si="7"/>
        <v>46327</v>
      </c>
      <c r="C232" s="27">
        <f>I232+J232+K232+L232+M232+N232+O232+P232+IF(Q232="",0,Q232*サマリー!$B$9)+IF(R232="",0,IF(R232=200,サマリー!$B$10,IF(R232=100,サマリー!$B$11,0)))+IF(S232="",0,S232*サマリー!$B$12)</f>
        <v>0</v>
      </c>
      <c r="D232" s="27">
        <f>T232+U232+V232+W232+X232+IF(Y232="",0,Y232*サマリー!$B$9)+IF(Z232="",0,IF(Z232=200,サマリー!$B$10,IF(Z232=100,サマリー!$B$11,0)))+IF(AA232="",0,AA232*サマリー!$B$12)</f>
        <v>0</v>
      </c>
      <c r="E232" s="27">
        <f t="shared" si="6"/>
        <v>0</v>
      </c>
      <c r="I232" s="30"/>
      <c r="J232" s="30"/>
      <c r="K232" s="30"/>
      <c r="L232" s="30"/>
      <c r="M232" s="30"/>
      <c r="N232" s="30"/>
      <c r="O232" s="30"/>
      <c r="P232" s="30"/>
      <c r="Q232" s="31"/>
      <c r="R232" s="31"/>
      <c r="S232" s="31"/>
      <c r="T232" s="32"/>
      <c r="U232" s="32"/>
      <c r="V232" s="32"/>
      <c r="W232" s="32"/>
      <c r="X232" s="32"/>
      <c r="Y232" s="33"/>
      <c r="Z232" s="33"/>
      <c r="AA232" s="33"/>
    </row>
    <row r="233" spans="1:27">
      <c r="A233" s="29"/>
      <c r="B233" s="19">
        <f t="shared" si="7"/>
        <v>46327</v>
      </c>
      <c r="C233" s="27">
        <f>I233+J233+K233+L233+M233+N233+O233+P233+IF(Q233="",0,Q233*サマリー!$B$9)+IF(R233="",0,IF(R233=200,サマリー!$B$10,IF(R233=100,サマリー!$B$11,0)))+IF(S233="",0,S233*サマリー!$B$12)</f>
        <v>0</v>
      </c>
      <c r="D233" s="27">
        <f>T233+U233+V233+W233+X233+IF(Y233="",0,Y233*サマリー!$B$9)+IF(Z233="",0,IF(Z233=200,サマリー!$B$10,IF(Z233=100,サマリー!$B$11,0)))+IF(AA233="",0,AA233*サマリー!$B$12)</f>
        <v>0</v>
      </c>
      <c r="E233" s="27">
        <f t="shared" si="6"/>
        <v>0</v>
      </c>
      <c r="I233" s="30"/>
      <c r="J233" s="30"/>
      <c r="K233" s="30"/>
      <c r="L233" s="30"/>
      <c r="M233" s="30"/>
      <c r="N233" s="30"/>
      <c r="O233" s="30"/>
      <c r="P233" s="30"/>
      <c r="Q233" s="31"/>
      <c r="R233" s="31"/>
      <c r="S233" s="31"/>
      <c r="T233" s="32"/>
      <c r="U233" s="32"/>
      <c r="V233" s="32"/>
      <c r="W233" s="32"/>
      <c r="X233" s="32"/>
      <c r="Y233" s="33"/>
      <c r="Z233" s="33"/>
      <c r="AA233" s="33"/>
    </row>
    <row r="234" spans="1:27">
      <c r="A234" s="29"/>
      <c r="B234" s="19">
        <f t="shared" si="7"/>
        <v>46327</v>
      </c>
      <c r="C234" s="27">
        <f>I234+J234+K234+L234+M234+N234+O234+P234+IF(Q234="",0,Q234*サマリー!$B$9)+IF(R234="",0,IF(R234=200,サマリー!$B$10,IF(R234=100,サマリー!$B$11,0)))+IF(S234="",0,S234*サマリー!$B$12)</f>
        <v>0</v>
      </c>
      <c r="D234" s="27">
        <f>T234+U234+V234+W234+X234+IF(Y234="",0,Y234*サマリー!$B$9)+IF(Z234="",0,IF(Z234=200,サマリー!$B$10,IF(Z234=100,サマリー!$B$11,0)))+IF(AA234="",0,AA234*サマリー!$B$12)</f>
        <v>0</v>
      </c>
      <c r="E234" s="27">
        <f t="shared" si="6"/>
        <v>0</v>
      </c>
      <c r="I234" s="30"/>
      <c r="J234" s="30"/>
      <c r="K234" s="30"/>
      <c r="L234" s="30"/>
      <c r="M234" s="30"/>
      <c r="N234" s="30"/>
      <c r="O234" s="30"/>
      <c r="P234" s="30"/>
      <c r="Q234" s="31"/>
      <c r="R234" s="31"/>
      <c r="S234" s="31"/>
      <c r="T234" s="32"/>
      <c r="U234" s="32"/>
      <c r="V234" s="32"/>
      <c r="W234" s="32"/>
      <c r="X234" s="32"/>
      <c r="Y234" s="33"/>
      <c r="Z234" s="33"/>
      <c r="AA234" s="33"/>
    </row>
    <row r="235" spans="1:27">
      <c r="A235" s="29"/>
      <c r="B235" s="19">
        <f t="shared" si="7"/>
        <v>46327</v>
      </c>
      <c r="C235" s="27">
        <f>I235+J235+K235+L235+M235+N235+O235+P235+IF(Q235="",0,Q235*サマリー!$B$9)+IF(R235="",0,IF(R235=200,サマリー!$B$10,IF(R235=100,サマリー!$B$11,0)))+IF(S235="",0,S235*サマリー!$B$12)</f>
        <v>0</v>
      </c>
      <c r="D235" s="27">
        <f>T235+U235+V235+W235+X235+IF(Y235="",0,Y235*サマリー!$B$9)+IF(Z235="",0,IF(Z235=200,サマリー!$B$10,IF(Z235=100,サマリー!$B$11,0)))+IF(AA235="",0,AA235*サマリー!$B$12)</f>
        <v>0</v>
      </c>
      <c r="E235" s="27">
        <f t="shared" si="6"/>
        <v>0</v>
      </c>
      <c r="I235" s="30"/>
      <c r="J235" s="30"/>
      <c r="K235" s="30"/>
      <c r="L235" s="30"/>
      <c r="M235" s="30"/>
      <c r="N235" s="30"/>
      <c r="O235" s="30"/>
      <c r="P235" s="30"/>
      <c r="Q235" s="31"/>
      <c r="R235" s="31"/>
      <c r="S235" s="31"/>
      <c r="T235" s="32"/>
      <c r="U235" s="32"/>
      <c r="V235" s="32"/>
      <c r="W235" s="32"/>
      <c r="X235" s="32"/>
      <c r="Y235" s="33"/>
      <c r="Z235" s="33"/>
      <c r="AA235" s="33"/>
    </row>
    <row r="236" spans="1:27">
      <c r="A236" s="29"/>
      <c r="B236" s="19">
        <f t="shared" si="7"/>
        <v>46327</v>
      </c>
      <c r="C236" s="27">
        <f>I236+J236+K236+L236+M236+N236+O236+P236+IF(Q236="",0,Q236*サマリー!$B$9)+IF(R236="",0,IF(R236=200,サマリー!$B$10,IF(R236=100,サマリー!$B$11,0)))+IF(S236="",0,S236*サマリー!$B$12)</f>
        <v>0</v>
      </c>
      <c r="D236" s="27">
        <f>T236+U236+V236+W236+X236+IF(Y236="",0,Y236*サマリー!$B$9)+IF(Z236="",0,IF(Z236=200,サマリー!$B$10,IF(Z236=100,サマリー!$B$11,0)))+IF(AA236="",0,AA236*サマリー!$B$12)</f>
        <v>0</v>
      </c>
      <c r="E236" s="27">
        <f t="shared" si="6"/>
        <v>0</v>
      </c>
      <c r="I236" s="30"/>
      <c r="J236" s="30"/>
      <c r="K236" s="30"/>
      <c r="L236" s="30"/>
      <c r="M236" s="30"/>
      <c r="N236" s="30"/>
      <c r="O236" s="30"/>
      <c r="P236" s="30"/>
      <c r="Q236" s="31"/>
      <c r="R236" s="31"/>
      <c r="S236" s="31"/>
      <c r="T236" s="32"/>
      <c r="U236" s="32"/>
      <c r="V236" s="32"/>
      <c r="W236" s="32"/>
      <c r="X236" s="32"/>
      <c r="Y236" s="33"/>
      <c r="Z236" s="33"/>
      <c r="AA236" s="33"/>
    </row>
    <row r="237" spans="1:27">
      <c r="A237" s="29"/>
      <c r="B237" s="19">
        <f t="shared" si="7"/>
        <v>46327</v>
      </c>
      <c r="C237" s="27">
        <f>I237+J237+K237+L237+M237+N237+O237+P237+IF(Q237="",0,Q237*サマリー!$B$9)+IF(R237="",0,IF(R237=200,サマリー!$B$10,IF(R237=100,サマリー!$B$11,0)))+IF(S237="",0,S237*サマリー!$B$12)</f>
        <v>0</v>
      </c>
      <c r="D237" s="27">
        <f>T237+U237+V237+W237+X237+IF(Y237="",0,Y237*サマリー!$B$9)+IF(Z237="",0,IF(Z237=200,サマリー!$B$10,IF(Z237=100,サマリー!$B$11,0)))+IF(AA237="",0,AA237*サマリー!$B$12)</f>
        <v>0</v>
      </c>
      <c r="E237" s="27">
        <f t="shared" si="6"/>
        <v>0</v>
      </c>
      <c r="I237" s="30"/>
      <c r="J237" s="30"/>
      <c r="K237" s="30"/>
      <c r="L237" s="30"/>
      <c r="M237" s="30"/>
      <c r="N237" s="30"/>
      <c r="O237" s="30"/>
      <c r="P237" s="30"/>
      <c r="Q237" s="31"/>
      <c r="R237" s="31"/>
      <c r="S237" s="31"/>
      <c r="T237" s="32"/>
      <c r="U237" s="32"/>
      <c r="V237" s="32"/>
      <c r="W237" s="32"/>
      <c r="X237" s="32"/>
      <c r="Y237" s="33"/>
      <c r="Z237" s="33"/>
      <c r="AA237" s="33"/>
    </row>
    <row r="238" spans="1:27">
      <c r="A238" s="29"/>
      <c r="B238" s="19">
        <f t="shared" si="7"/>
        <v>46327</v>
      </c>
      <c r="C238" s="27">
        <f>I238+J238+K238+L238+M238+N238+O238+P238+IF(Q238="",0,Q238*サマリー!$B$9)+IF(R238="",0,IF(R238=200,サマリー!$B$10,IF(R238=100,サマリー!$B$11,0)))+IF(S238="",0,S238*サマリー!$B$12)</f>
        <v>0</v>
      </c>
      <c r="D238" s="27">
        <f>T238+U238+V238+W238+X238+IF(Y238="",0,Y238*サマリー!$B$9)+IF(Z238="",0,IF(Z238=200,サマリー!$B$10,IF(Z238=100,サマリー!$B$11,0)))+IF(AA238="",0,AA238*サマリー!$B$12)</f>
        <v>0</v>
      </c>
      <c r="E238" s="27">
        <f t="shared" si="6"/>
        <v>0</v>
      </c>
      <c r="I238" s="30"/>
      <c r="J238" s="30"/>
      <c r="K238" s="30"/>
      <c r="L238" s="30"/>
      <c r="M238" s="30"/>
      <c r="N238" s="30"/>
      <c r="O238" s="30"/>
      <c r="P238" s="30"/>
      <c r="Q238" s="31"/>
      <c r="R238" s="31"/>
      <c r="S238" s="31"/>
      <c r="T238" s="32"/>
      <c r="U238" s="32"/>
      <c r="V238" s="32"/>
      <c r="W238" s="32"/>
      <c r="X238" s="32"/>
      <c r="Y238" s="33"/>
      <c r="Z238" s="33"/>
      <c r="AA238" s="33"/>
    </row>
    <row r="239" spans="1:27">
      <c r="A239" s="29"/>
      <c r="B239" s="19">
        <f t="shared" si="7"/>
        <v>46327</v>
      </c>
      <c r="C239" s="27">
        <f>I239+J239+K239+L239+M239+N239+O239+P239+IF(Q239="",0,Q239*サマリー!$B$9)+IF(R239="",0,IF(R239=200,サマリー!$B$10,IF(R239=100,サマリー!$B$11,0)))+IF(S239="",0,S239*サマリー!$B$12)</f>
        <v>0</v>
      </c>
      <c r="D239" s="27">
        <f>T239+U239+V239+W239+X239+IF(Y239="",0,Y239*サマリー!$B$9)+IF(Z239="",0,IF(Z239=200,サマリー!$B$10,IF(Z239=100,サマリー!$B$11,0)))+IF(AA239="",0,AA239*サマリー!$B$12)</f>
        <v>0</v>
      </c>
      <c r="E239" s="27">
        <f t="shared" si="6"/>
        <v>0</v>
      </c>
      <c r="I239" s="30"/>
      <c r="J239" s="30"/>
      <c r="K239" s="30"/>
      <c r="L239" s="30"/>
      <c r="M239" s="30"/>
      <c r="N239" s="30"/>
      <c r="O239" s="30"/>
      <c r="P239" s="30"/>
      <c r="Q239" s="31"/>
      <c r="R239" s="31"/>
      <c r="S239" s="31"/>
      <c r="T239" s="32"/>
      <c r="U239" s="32"/>
      <c r="V239" s="32"/>
      <c r="W239" s="32"/>
      <c r="X239" s="32"/>
      <c r="Y239" s="33"/>
      <c r="Z239" s="33"/>
      <c r="AA239" s="33"/>
    </row>
    <row r="240" spans="1:27">
      <c r="A240" s="29"/>
      <c r="B240" s="19">
        <f t="shared" si="7"/>
        <v>46327</v>
      </c>
      <c r="C240" s="27">
        <f>I240+J240+K240+L240+M240+N240+O240+P240+IF(Q240="",0,Q240*サマリー!$B$9)+IF(R240="",0,IF(R240=200,サマリー!$B$10,IF(R240=100,サマリー!$B$11,0)))+IF(S240="",0,S240*サマリー!$B$12)</f>
        <v>0</v>
      </c>
      <c r="D240" s="27">
        <f>T240+U240+V240+W240+X240+IF(Y240="",0,Y240*サマリー!$B$9)+IF(Z240="",0,IF(Z240=200,サマリー!$B$10,IF(Z240=100,サマリー!$B$11,0)))+IF(AA240="",0,AA240*サマリー!$B$12)</f>
        <v>0</v>
      </c>
      <c r="E240" s="27">
        <f t="shared" si="6"/>
        <v>0</v>
      </c>
      <c r="I240" s="30"/>
      <c r="J240" s="30"/>
      <c r="K240" s="30"/>
      <c r="L240" s="30"/>
      <c r="M240" s="30"/>
      <c r="N240" s="30"/>
      <c r="O240" s="30"/>
      <c r="P240" s="30"/>
      <c r="Q240" s="31"/>
      <c r="R240" s="31"/>
      <c r="S240" s="31"/>
      <c r="T240" s="32"/>
      <c r="U240" s="32"/>
      <c r="V240" s="32"/>
      <c r="W240" s="32"/>
      <c r="X240" s="32"/>
      <c r="Y240" s="33"/>
      <c r="Z240" s="33"/>
      <c r="AA240" s="33"/>
    </row>
    <row r="241" spans="1:27">
      <c r="A241" s="29"/>
      <c r="B241" s="19">
        <f t="shared" si="7"/>
        <v>46327</v>
      </c>
      <c r="C241" s="27">
        <f>I241+J241+K241+L241+M241+N241+O241+P241+IF(Q241="",0,Q241*サマリー!$B$9)+IF(R241="",0,IF(R241=200,サマリー!$B$10,IF(R241=100,サマリー!$B$11,0)))+IF(S241="",0,S241*サマリー!$B$12)</f>
        <v>0</v>
      </c>
      <c r="D241" s="27">
        <f>T241+U241+V241+W241+X241+IF(Y241="",0,Y241*サマリー!$B$9)+IF(Z241="",0,IF(Z241=200,サマリー!$B$10,IF(Z241=100,サマリー!$B$11,0)))+IF(AA241="",0,AA241*サマリー!$B$12)</f>
        <v>0</v>
      </c>
      <c r="E241" s="27">
        <f t="shared" si="6"/>
        <v>0</v>
      </c>
      <c r="I241" s="30"/>
      <c r="J241" s="30"/>
      <c r="K241" s="30"/>
      <c r="L241" s="30"/>
      <c r="M241" s="30"/>
      <c r="N241" s="30"/>
      <c r="O241" s="30"/>
      <c r="P241" s="30"/>
      <c r="Q241" s="31"/>
      <c r="R241" s="31"/>
      <c r="S241" s="31"/>
      <c r="T241" s="32"/>
      <c r="U241" s="32"/>
      <c r="V241" s="32"/>
      <c r="W241" s="32"/>
      <c r="X241" s="32"/>
      <c r="Y241" s="33"/>
      <c r="Z241" s="33"/>
      <c r="AA241" s="33"/>
    </row>
    <row r="242" spans="1:27">
      <c r="A242" s="29"/>
      <c r="B242" s="19">
        <f t="shared" si="7"/>
        <v>46327</v>
      </c>
      <c r="C242" s="27">
        <f>I242+J242+K242+L242+M242+N242+O242+P242+IF(Q242="",0,Q242*サマリー!$B$9)+IF(R242="",0,IF(R242=200,サマリー!$B$10,IF(R242=100,サマリー!$B$11,0)))+IF(S242="",0,S242*サマリー!$B$12)</f>
        <v>0</v>
      </c>
      <c r="D242" s="27">
        <f>T242+U242+V242+W242+X242+IF(Y242="",0,Y242*サマリー!$B$9)+IF(Z242="",0,IF(Z242=200,サマリー!$B$10,IF(Z242=100,サマリー!$B$11,0)))+IF(AA242="",0,AA242*サマリー!$B$12)</f>
        <v>0</v>
      </c>
      <c r="E242" s="27">
        <f t="shared" si="6"/>
        <v>0</v>
      </c>
      <c r="I242" s="30"/>
      <c r="J242" s="30"/>
      <c r="K242" s="30"/>
      <c r="L242" s="30"/>
      <c r="M242" s="30"/>
      <c r="N242" s="30"/>
      <c r="O242" s="30"/>
      <c r="P242" s="30"/>
      <c r="Q242" s="31"/>
      <c r="R242" s="31"/>
      <c r="S242" s="31"/>
      <c r="T242" s="32"/>
      <c r="U242" s="32"/>
      <c r="V242" s="32"/>
      <c r="W242" s="32"/>
      <c r="X242" s="32"/>
      <c r="Y242" s="33"/>
      <c r="Z242" s="33"/>
      <c r="AA242" s="33"/>
    </row>
    <row r="243" spans="1:27">
      <c r="A243" s="29"/>
      <c r="B243" s="19">
        <f t="shared" si="7"/>
        <v>46327</v>
      </c>
      <c r="C243" s="27">
        <f>I243+J243+K243+L243+M243+N243+O243+P243+IF(Q243="",0,Q243*サマリー!$B$9)+IF(R243="",0,IF(R243=200,サマリー!$B$10,IF(R243=100,サマリー!$B$11,0)))+IF(S243="",0,S243*サマリー!$B$12)</f>
        <v>0</v>
      </c>
      <c r="D243" s="27">
        <f>T243+U243+V243+W243+X243+IF(Y243="",0,Y243*サマリー!$B$9)+IF(Z243="",0,IF(Z243=200,サマリー!$B$10,IF(Z243=100,サマリー!$B$11,0)))+IF(AA243="",0,AA243*サマリー!$B$12)</f>
        <v>0</v>
      </c>
      <c r="E243" s="27">
        <f t="shared" si="6"/>
        <v>0</v>
      </c>
      <c r="I243" s="30"/>
      <c r="J243" s="30"/>
      <c r="K243" s="30"/>
      <c r="L243" s="30"/>
      <c r="M243" s="30"/>
      <c r="N243" s="30"/>
      <c r="O243" s="30"/>
      <c r="P243" s="30"/>
      <c r="Q243" s="31"/>
      <c r="R243" s="31"/>
      <c r="S243" s="31"/>
      <c r="T243" s="32"/>
      <c r="U243" s="32"/>
      <c r="V243" s="32"/>
      <c r="W243" s="32"/>
      <c r="X243" s="32"/>
      <c r="Y243" s="33"/>
      <c r="Z243" s="33"/>
      <c r="AA243" s="33"/>
    </row>
    <row r="244" spans="1:27">
      <c r="A244" s="29"/>
      <c r="B244" s="19">
        <f t="shared" si="7"/>
        <v>46327</v>
      </c>
      <c r="C244" s="27">
        <f>I244+J244+K244+L244+M244+N244+O244+P244+IF(Q244="",0,Q244*サマリー!$B$9)+IF(R244="",0,IF(R244=200,サマリー!$B$10,IF(R244=100,サマリー!$B$11,0)))+IF(S244="",0,S244*サマリー!$B$12)</f>
        <v>0</v>
      </c>
      <c r="D244" s="27">
        <f>T244+U244+V244+W244+X244+IF(Y244="",0,Y244*サマリー!$B$9)+IF(Z244="",0,IF(Z244=200,サマリー!$B$10,IF(Z244=100,サマリー!$B$11,0)))+IF(AA244="",0,AA244*サマリー!$B$12)</f>
        <v>0</v>
      </c>
      <c r="E244" s="27">
        <f t="shared" si="6"/>
        <v>0</v>
      </c>
      <c r="I244" s="30"/>
      <c r="J244" s="30"/>
      <c r="K244" s="30"/>
      <c r="L244" s="30"/>
      <c r="M244" s="30"/>
      <c r="N244" s="30"/>
      <c r="O244" s="30"/>
      <c r="P244" s="30"/>
      <c r="Q244" s="31"/>
      <c r="R244" s="31"/>
      <c r="S244" s="31"/>
      <c r="T244" s="32"/>
      <c r="U244" s="32"/>
      <c r="V244" s="32"/>
      <c r="W244" s="32"/>
      <c r="X244" s="32"/>
      <c r="Y244" s="33"/>
      <c r="Z244" s="33"/>
      <c r="AA244" s="33"/>
    </row>
    <row r="245" spans="1:27">
      <c r="A245" s="29"/>
      <c r="B245" s="19">
        <f t="shared" si="7"/>
        <v>46327</v>
      </c>
      <c r="C245" s="27">
        <f>I245+J245+K245+L245+M245+N245+O245+P245+IF(Q245="",0,Q245*サマリー!$B$9)+IF(R245="",0,IF(R245=200,サマリー!$B$10,IF(R245=100,サマリー!$B$11,0)))+IF(S245="",0,S245*サマリー!$B$12)</f>
        <v>0</v>
      </c>
      <c r="D245" s="27">
        <f>T245+U245+V245+W245+X245+IF(Y245="",0,Y245*サマリー!$B$9)+IF(Z245="",0,IF(Z245=200,サマリー!$B$10,IF(Z245=100,サマリー!$B$11,0)))+IF(AA245="",0,AA245*サマリー!$B$12)</f>
        <v>0</v>
      </c>
      <c r="E245" s="27">
        <f t="shared" si="6"/>
        <v>0</v>
      </c>
      <c r="I245" s="30"/>
      <c r="J245" s="30"/>
      <c r="K245" s="30"/>
      <c r="L245" s="30"/>
      <c r="M245" s="30"/>
      <c r="N245" s="30"/>
      <c r="O245" s="30"/>
      <c r="P245" s="30"/>
      <c r="Q245" s="31"/>
      <c r="R245" s="31"/>
      <c r="S245" s="31"/>
      <c r="T245" s="32"/>
      <c r="U245" s="32"/>
      <c r="V245" s="32"/>
      <c r="W245" s="32"/>
      <c r="X245" s="32"/>
      <c r="Y245" s="33"/>
      <c r="Z245" s="33"/>
      <c r="AA245" s="33"/>
    </row>
    <row r="246" spans="1:27">
      <c r="A246" s="29"/>
      <c r="B246" s="19">
        <f t="shared" si="7"/>
        <v>46327</v>
      </c>
      <c r="C246" s="27">
        <f>I246+J246+K246+L246+M246+N246+O246+P246+IF(Q246="",0,Q246*サマリー!$B$9)+IF(R246="",0,IF(R246=200,サマリー!$B$10,IF(R246=100,サマリー!$B$11,0)))+IF(S246="",0,S246*サマリー!$B$12)</f>
        <v>0</v>
      </c>
      <c r="D246" s="27">
        <f>T246+U246+V246+W246+X246+IF(Y246="",0,Y246*サマリー!$B$9)+IF(Z246="",0,IF(Z246=200,サマリー!$B$10,IF(Z246=100,サマリー!$B$11,0)))+IF(AA246="",0,AA246*サマリー!$B$12)</f>
        <v>0</v>
      </c>
      <c r="E246" s="27">
        <f t="shared" si="6"/>
        <v>0</v>
      </c>
      <c r="I246" s="30"/>
      <c r="J246" s="30"/>
      <c r="K246" s="30"/>
      <c r="L246" s="30"/>
      <c r="M246" s="30"/>
      <c r="N246" s="30"/>
      <c r="O246" s="30"/>
      <c r="P246" s="30"/>
      <c r="Q246" s="31"/>
      <c r="R246" s="31"/>
      <c r="S246" s="31"/>
      <c r="T246" s="32"/>
      <c r="U246" s="32"/>
      <c r="V246" s="32"/>
      <c r="W246" s="32"/>
      <c r="X246" s="32"/>
      <c r="Y246" s="33"/>
      <c r="Z246" s="33"/>
      <c r="AA246" s="33"/>
    </row>
    <row r="247" spans="1:27">
      <c r="A247" s="29"/>
      <c r="B247" s="19">
        <f t="shared" si="7"/>
        <v>46327</v>
      </c>
      <c r="C247" s="27">
        <f>I247+J247+K247+L247+M247+N247+O247+P247+IF(Q247="",0,Q247*サマリー!$B$9)+IF(R247="",0,IF(R247=200,サマリー!$B$10,IF(R247=100,サマリー!$B$11,0)))+IF(S247="",0,S247*サマリー!$B$12)</f>
        <v>0</v>
      </c>
      <c r="D247" s="27">
        <f>T247+U247+V247+W247+X247+IF(Y247="",0,Y247*サマリー!$B$9)+IF(Z247="",0,IF(Z247=200,サマリー!$B$10,IF(Z247=100,サマリー!$B$11,0)))+IF(AA247="",0,AA247*サマリー!$B$12)</f>
        <v>0</v>
      </c>
      <c r="E247" s="27">
        <f t="shared" si="6"/>
        <v>0</v>
      </c>
      <c r="I247" s="30"/>
      <c r="J247" s="30"/>
      <c r="K247" s="30"/>
      <c r="L247" s="30"/>
      <c r="M247" s="30"/>
      <c r="N247" s="30"/>
      <c r="O247" s="30"/>
      <c r="P247" s="30"/>
      <c r="Q247" s="31"/>
      <c r="R247" s="31"/>
      <c r="S247" s="31"/>
      <c r="T247" s="32"/>
      <c r="U247" s="32"/>
      <c r="V247" s="32"/>
      <c r="W247" s="32"/>
      <c r="X247" s="32"/>
      <c r="Y247" s="33"/>
      <c r="Z247" s="33"/>
      <c r="AA247" s="33"/>
    </row>
    <row r="248" spans="1:27">
      <c r="A248" s="29"/>
      <c r="B248" s="19">
        <f t="shared" si="7"/>
        <v>46327</v>
      </c>
      <c r="C248" s="27">
        <f>I248+J248+K248+L248+M248+N248+O248+P248+IF(Q248="",0,Q248*サマリー!$B$9)+IF(R248="",0,IF(R248=200,サマリー!$B$10,IF(R248=100,サマリー!$B$11,0)))+IF(S248="",0,S248*サマリー!$B$12)</f>
        <v>0</v>
      </c>
      <c r="D248" s="27">
        <f>T248+U248+V248+W248+X248+IF(Y248="",0,Y248*サマリー!$B$9)+IF(Z248="",0,IF(Z248=200,サマリー!$B$10,IF(Z248=100,サマリー!$B$11,0)))+IF(AA248="",0,AA248*サマリー!$B$12)</f>
        <v>0</v>
      </c>
      <c r="E248" s="27">
        <f t="shared" si="6"/>
        <v>0</v>
      </c>
      <c r="I248" s="30"/>
      <c r="J248" s="30"/>
      <c r="K248" s="30"/>
      <c r="L248" s="30"/>
      <c r="M248" s="30"/>
      <c r="N248" s="30"/>
      <c r="O248" s="30"/>
      <c r="P248" s="30"/>
      <c r="Q248" s="31"/>
      <c r="R248" s="31"/>
      <c r="S248" s="31"/>
      <c r="T248" s="32"/>
      <c r="U248" s="32"/>
      <c r="V248" s="32"/>
      <c r="W248" s="32"/>
      <c r="X248" s="32"/>
      <c r="Y248" s="33"/>
      <c r="Z248" s="33"/>
      <c r="AA248" s="33"/>
    </row>
    <row r="249" spans="1:27">
      <c r="A249" s="29"/>
      <c r="B249" s="19">
        <f t="shared" si="7"/>
        <v>46327</v>
      </c>
      <c r="C249" s="27">
        <f>I249+J249+K249+L249+M249+N249+O249+P249+IF(Q249="",0,Q249*サマリー!$B$9)+IF(R249="",0,IF(R249=200,サマリー!$B$10,IF(R249=100,サマリー!$B$11,0)))+IF(S249="",0,S249*サマリー!$B$12)</f>
        <v>0</v>
      </c>
      <c r="D249" s="27">
        <f>T249+U249+V249+W249+X249+IF(Y249="",0,Y249*サマリー!$B$9)+IF(Z249="",0,IF(Z249=200,サマリー!$B$10,IF(Z249=100,サマリー!$B$11,0)))+IF(AA249="",0,AA249*サマリー!$B$12)</f>
        <v>0</v>
      </c>
      <c r="E249" s="27">
        <f t="shared" si="6"/>
        <v>0</v>
      </c>
      <c r="I249" s="30"/>
      <c r="J249" s="30"/>
      <c r="K249" s="30"/>
      <c r="L249" s="30"/>
      <c r="M249" s="30"/>
      <c r="N249" s="30"/>
      <c r="O249" s="30"/>
      <c r="P249" s="30"/>
      <c r="Q249" s="31"/>
      <c r="R249" s="31"/>
      <c r="S249" s="31"/>
      <c r="T249" s="32"/>
      <c r="U249" s="32"/>
      <c r="V249" s="32"/>
      <c r="W249" s="32"/>
      <c r="X249" s="32"/>
      <c r="Y249" s="33"/>
      <c r="Z249" s="33"/>
      <c r="AA249" s="33"/>
    </row>
    <row r="250" spans="1:27">
      <c r="A250" s="29"/>
      <c r="B250" s="19">
        <f t="shared" si="7"/>
        <v>46327</v>
      </c>
      <c r="C250" s="27">
        <f>I250+J250+K250+L250+M250+N250+O250+P250+IF(Q250="",0,Q250*サマリー!$B$9)+IF(R250="",0,IF(R250=200,サマリー!$B$10,IF(R250=100,サマリー!$B$11,0)))+IF(S250="",0,S250*サマリー!$B$12)</f>
        <v>0</v>
      </c>
      <c r="D250" s="27">
        <f>T250+U250+V250+W250+X250+IF(Y250="",0,Y250*サマリー!$B$9)+IF(Z250="",0,IF(Z250=200,サマリー!$B$10,IF(Z250=100,サマリー!$B$11,0)))+IF(AA250="",0,AA250*サマリー!$B$12)</f>
        <v>0</v>
      </c>
      <c r="E250" s="27">
        <f t="shared" si="6"/>
        <v>0</v>
      </c>
      <c r="I250" s="30"/>
      <c r="J250" s="30"/>
      <c r="K250" s="30"/>
      <c r="L250" s="30"/>
      <c r="M250" s="30"/>
      <c r="N250" s="30"/>
      <c r="O250" s="30"/>
      <c r="P250" s="30"/>
      <c r="Q250" s="31"/>
      <c r="R250" s="31"/>
      <c r="S250" s="31"/>
      <c r="T250" s="32"/>
      <c r="U250" s="32"/>
      <c r="V250" s="32"/>
      <c r="W250" s="32"/>
      <c r="X250" s="32"/>
      <c r="Y250" s="33"/>
      <c r="Z250" s="33"/>
      <c r="AA250" s="33"/>
    </row>
    <row r="251" spans="1:27">
      <c r="A251" s="29"/>
      <c r="B251" s="19">
        <f t="shared" si="7"/>
        <v>46327</v>
      </c>
      <c r="C251" s="27">
        <f>I251+J251+K251+L251+M251+N251+O251+P251+IF(Q251="",0,Q251*サマリー!$B$9)+IF(R251="",0,IF(R251=200,サマリー!$B$10,IF(R251=100,サマリー!$B$11,0)))+IF(S251="",0,S251*サマリー!$B$12)</f>
        <v>0</v>
      </c>
      <c r="D251" s="27">
        <f>T251+U251+V251+W251+X251+IF(Y251="",0,Y251*サマリー!$B$9)+IF(Z251="",0,IF(Z251=200,サマリー!$B$10,IF(Z251=100,サマリー!$B$11,0)))+IF(AA251="",0,AA251*サマリー!$B$12)</f>
        <v>0</v>
      </c>
      <c r="E251" s="27">
        <f t="shared" si="6"/>
        <v>0</v>
      </c>
      <c r="I251" s="30"/>
      <c r="J251" s="30"/>
      <c r="K251" s="30"/>
      <c r="L251" s="30"/>
      <c r="M251" s="30"/>
      <c r="N251" s="30"/>
      <c r="O251" s="30"/>
      <c r="P251" s="30"/>
      <c r="Q251" s="31"/>
      <c r="R251" s="31"/>
      <c r="S251" s="31"/>
      <c r="T251" s="32"/>
      <c r="U251" s="32"/>
      <c r="V251" s="32"/>
      <c r="W251" s="32"/>
      <c r="X251" s="32"/>
      <c r="Y251" s="33"/>
      <c r="Z251" s="33"/>
      <c r="AA251" s="33"/>
    </row>
    <row r="252" spans="1:27">
      <c r="A252" s="29"/>
      <c r="B252" s="19">
        <f t="shared" si="7"/>
        <v>46327</v>
      </c>
      <c r="C252" s="27">
        <f>I252+J252+K252+L252+M252+N252+O252+P252+IF(Q252="",0,Q252*サマリー!$B$9)+IF(R252="",0,IF(R252=200,サマリー!$B$10,IF(R252=100,サマリー!$B$11,0)))+IF(S252="",0,S252*サマリー!$B$12)</f>
        <v>0</v>
      </c>
      <c r="D252" s="27">
        <f>T252+U252+V252+W252+X252+IF(Y252="",0,Y252*サマリー!$B$9)+IF(Z252="",0,IF(Z252=200,サマリー!$B$10,IF(Z252=100,サマリー!$B$11,0)))+IF(AA252="",0,AA252*サマリー!$B$12)</f>
        <v>0</v>
      </c>
      <c r="E252" s="27">
        <f t="shared" si="6"/>
        <v>0</v>
      </c>
      <c r="I252" s="30"/>
      <c r="J252" s="30"/>
      <c r="K252" s="30"/>
      <c r="L252" s="30"/>
      <c r="M252" s="30"/>
      <c r="N252" s="30"/>
      <c r="O252" s="30"/>
      <c r="P252" s="30"/>
      <c r="Q252" s="31"/>
      <c r="R252" s="31"/>
      <c r="S252" s="31"/>
      <c r="T252" s="32"/>
      <c r="U252" s="32"/>
      <c r="V252" s="32"/>
      <c r="W252" s="32"/>
      <c r="X252" s="32"/>
      <c r="Y252" s="33"/>
      <c r="Z252" s="33"/>
      <c r="AA252" s="33"/>
    </row>
    <row r="253" spans="1:27">
      <c r="A253" s="29"/>
      <c r="B253" s="19">
        <f t="shared" si="7"/>
        <v>46327</v>
      </c>
      <c r="C253" s="27">
        <f>I253+J253+K253+L253+M253+N253+O253+P253+IF(Q253="",0,Q253*サマリー!$B$9)+IF(R253="",0,IF(R253=200,サマリー!$B$10,IF(R253=100,サマリー!$B$11,0)))+IF(S253="",0,S253*サマリー!$B$12)</f>
        <v>0</v>
      </c>
      <c r="D253" s="27">
        <f>T253+U253+V253+W253+X253+IF(Y253="",0,Y253*サマリー!$B$9)+IF(Z253="",0,IF(Z253=200,サマリー!$B$10,IF(Z253=100,サマリー!$B$11,0)))+IF(AA253="",0,AA253*サマリー!$B$12)</f>
        <v>0</v>
      </c>
      <c r="E253" s="27">
        <f t="shared" si="6"/>
        <v>0</v>
      </c>
      <c r="I253" s="30"/>
      <c r="J253" s="30"/>
      <c r="K253" s="30"/>
      <c r="L253" s="30"/>
      <c r="M253" s="30"/>
      <c r="N253" s="30"/>
      <c r="O253" s="30"/>
      <c r="P253" s="30"/>
      <c r="Q253" s="31"/>
      <c r="R253" s="31"/>
      <c r="S253" s="31"/>
      <c r="T253" s="32"/>
      <c r="U253" s="32"/>
      <c r="V253" s="32"/>
      <c r="W253" s="32"/>
      <c r="X253" s="32"/>
      <c r="Y253" s="33"/>
      <c r="Z253" s="33"/>
      <c r="AA253" s="33"/>
    </row>
    <row r="254" spans="1:27">
      <c r="A254" s="29"/>
      <c r="B254" s="19">
        <f t="shared" si="7"/>
        <v>46327</v>
      </c>
      <c r="C254" s="27">
        <f>I254+J254+K254+L254+M254+N254+O254+P254+IF(Q254="",0,Q254*サマリー!$B$9)+IF(R254="",0,IF(R254=200,サマリー!$B$10,IF(R254=100,サマリー!$B$11,0)))+IF(S254="",0,S254*サマリー!$B$12)</f>
        <v>0</v>
      </c>
      <c r="D254" s="27">
        <f>T254+U254+V254+W254+X254+IF(Y254="",0,Y254*サマリー!$B$9)+IF(Z254="",0,IF(Z254=200,サマリー!$B$10,IF(Z254=100,サマリー!$B$11,0)))+IF(AA254="",0,AA254*サマリー!$B$12)</f>
        <v>0</v>
      </c>
      <c r="E254" s="27">
        <f t="shared" si="6"/>
        <v>0</v>
      </c>
      <c r="I254" s="30"/>
      <c r="J254" s="30"/>
      <c r="K254" s="30"/>
      <c r="L254" s="30"/>
      <c r="M254" s="30"/>
      <c r="N254" s="30"/>
      <c r="O254" s="30"/>
      <c r="P254" s="30"/>
      <c r="Q254" s="31"/>
      <c r="R254" s="31"/>
      <c r="S254" s="31"/>
      <c r="T254" s="32"/>
      <c r="U254" s="32"/>
      <c r="V254" s="32"/>
      <c r="W254" s="32"/>
      <c r="X254" s="32"/>
      <c r="Y254" s="33"/>
      <c r="Z254" s="33"/>
      <c r="AA254" s="33"/>
    </row>
    <row r="255" spans="1:27">
      <c r="A255" s="29"/>
      <c r="B255" s="19">
        <f t="shared" si="7"/>
        <v>46327</v>
      </c>
      <c r="C255" s="27">
        <f>I255+J255+K255+L255+M255+N255+O255+P255+IF(Q255="",0,Q255*サマリー!$B$9)+IF(R255="",0,IF(R255=200,サマリー!$B$10,IF(R255=100,サマリー!$B$11,0)))+IF(S255="",0,S255*サマリー!$B$12)</f>
        <v>0</v>
      </c>
      <c r="D255" s="27">
        <f>T255+U255+V255+W255+X255+IF(Y255="",0,Y255*サマリー!$B$9)+IF(Z255="",0,IF(Z255=200,サマリー!$B$10,IF(Z255=100,サマリー!$B$11,0)))+IF(AA255="",0,AA255*サマリー!$B$12)</f>
        <v>0</v>
      </c>
      <c r="E255" s="27">
        <f t="shared" si="6"/>
        <v>0</v>
      </c>
      <c r="I255" s="30"/>
      <c r="J255" s="30"/>
      <c r="K255" s="30"/>
      <c r="L255" s="30"/>
      <c r="M255" s="30"/>
      <c r="N255" s="30"/>
      <c r="O255" s="30"/>
      <c r="P255" s="30"/>
      <c r="Q255" s="31"/>
      <c r="R255" s="31"/>
      <c r="S255" s="31"/>
      <c r="T255" s="32"/>
      <c r="U255" s="32"/>
      <c r="V255" s="32"/>
      <c r="W255" s="32"/>
      <c r="X255" s="32"/>
      <c r="Y255" s="33"/>
      <c r="Z255" s="33"/>
      <c r="AA255" s="33"/>
    </row>
    <row r="256" spans="1:27">
      <c r="A256" s="29"/>
      <c r="B256" s="19">
        <f t="shared" si="7"/>
        <v>46327</v>
      </c>
      <c r="C256" s="27">
        <f>I256+J256+K256+L256+M256+N256+O256+P256+IF(Q256="",0,Q256*サマリー!$B$9)+IF(R256="",0,IF(R256=200,サマリー!$B$10,IF(R256=100,サマリー!$B$11,0)))+IF(S256="",0,S256*サマリー!$B$12)</f>
        <v>0</v>
      </c>
      <c r="D256" s="27">
        <f>T256+U256+V256+W256+X256+IF(Y256="",0,Y256*サマリー!$B$9)+IF(Z256="",0,IF(Z256=200,サマリー!$B$10,IF(Z256=100,サマリー!$B$11,0)))+IF(AA256="",0,AA256*サマリー!$B$12)</f>
        <v>0</v>
      </c>
      <c r="E256" s="27">
        <f t="shared" si="6"/>
        <v>0</v>
      </c>
      <c r="I256" s="30"/>
      <c r="J256" s="30"/>
      <c r="K256" s="30"/>
      <c r="L256" s="30"/>
      <c r="M256" s="30"/>
      <c r="N256" s="30"/>
      <c r="O256" s="30"/>
      <c r="P256" s="30"/>
      <c r="Q256" s="31"/>
      <c r="R256" s="31"/>
      <c r="S256" s="31"/>
      <c r="T256" s="32"/>
      <c r="U256" s="32"/>
      <c r="V256" s="32"/>
      <c r="W256" s="32"/>
      <c r="X256" s="32"/>
      <c r="Y256" s="33"/>
      <c r="Z256" s="33"/>
      <c r="AA256" s="33"/>
    </row>
    <row r="257" spans="1:27">
      <c r="A257" s="29"/>
      <c r="B257" s="19">
        <f t="shared" si="7"/>
        <v>46327</v>
      </c>
      <c r="C257" s="27">
        <f>I257+J257+K257+L257+M257+N257+O257+P257+IF(Q257="",0,Q257*サマリー!$B$9)+IF(R257="",0,IF(R257=200,サマリー!$B$10,IF(R257=100,サマリー!$B$11,0)))+IF(S257="",0,S257*サマリー!$B$12)</f>
        <v>0</v>
      </c>
      <c r="D257" s="27">
        <f>T257+U257+V257+W257+X257+IF(Y257="",0,Y257*サマリー!$B$9)+IF(Z257="",0,IF(Z257=200,サマリー!$B$10,IF(Z257=100,サマリー!$B$11,0)))+IF(AA257="",0,AA257*サマリー!$B$12)</f>
        <v>0</v>
      </c>
      <c r="E257" s="27">
        <f t="shared" si="6"/>
        <v>0</v>
      </c>
      <c r="I257" s="30"/>
      <c r="J257" s="30"/>
      <c r="K257" s="30"/>
      <c r="L257" s="30"/>
      <c r="M257" s="30"/>
      <c r="N257" s="30"/>
      <c r="O257" s="30"/>
      <c r="P257" s="30"/>
      <c r="Q257" s="31"/>
      <c r="R257" s="31"/>
      <c r="S257" s="31"/>
      <c r="T257" s="32"/>
      <c r="U257" s="32"/>
      <c r="V257" s="32"/>
      <c r="W257" s="32"/>
      <c r="X257" s="32"/>
      <c r="Y257" s="33"/>
      <c r="Z257" s="33"/>
      <c r="AA257" s="33"/>
    </row>
    <row r="258" spans="1:27">
      <c r="A258" s="29"/>
      <c r="B258" s="19">
        <f t="shared" si="7"/>
        <v>46327</v>
      </c>
      <c r="C258" s="27">
        <f>I258+J258+K258+L258+M258+N258+O258+P258+IF(Q258="",0,Q258*サマリー!$B$9)+IF(R258="",0,IF(R258=200,サマリー!$B$10,IF(R258=100,サマリー!$B$11,0)))+IF(S258="",0,S258*サマリー!$B$12)</f>
        <v>0</v>
      </c>
      <c r="D258" s="27">
        <f>T258+U258+V258+W258+X258+IF(Y258="",0,Y258*サマリー!$B$9)+IF(Z258="",0,IF(Z258=200,サマリー!$B$10,IF(Z258=100,サマリー!$B$11,0)))+IF(AA258="",0,AA258*サマリー!$B$12)</f>
        <v>0</v>
      </c>
      <c r="E258" s="27">
        <f t="shared" si="6"/>
        <v>0</v>
      </c>
      <c r="I258" s="30"/>
      <c r="J258" s="30"/>
      <c r="K258" s="30"/>
      <c r="L258" s="30"/>
      <c r="M258" s="30"/>
      <c r="N258" s="30"/>
      <c r="O258" s="30"/>
      <c r="P258" s="30"/>
      <c r="Q258" s="31"/>
      <c r="R258" s="31"/>
      <c r="S258" s="31"/>
      <c r="T258" s="32"/>
      <c r="U258" s="32"/>
      <c r="V258" s="32"/>
      <c r="W258" s="32"/>
      <c r="X258" s="32"/>
      <c r="Y258" s="33"/>
      <c r="Z258" s="33"/>
      <c r="AA258" s="33"/>
    </row>
    <row r="259" spans="1:27">
      <c r="A259" s="29"/>
      <c r="B259" s="19">
        <f t="shared" si="7"/>
        <v>46327</v>
      </c>
      <c r="C259" s="27">
        <f>I259+J259+K259+L259+M259+N259+O259+P259+IF(Q259="",0,Q259*サマリー!$B$9)+IF(R259="",0,IF(R259=200,サマリー!$B$10,IF(R259=100,サマリー!$B$11,0)))+IF(S259="",0,S259*サマリー!$B$12)</f>
        <v>0</v>
      </c>
      <c r="D259" s="27">
        <f>T259+U259+V259+W259+X259+IF(Y259="",0,Y259*サマリー!$B$9)+IF(Z259="",0,IF(Z259=200,サマリー!$B$10,IF(Z259=100,サマリー!$B$11,0)))+IF(AA259="",0,AA259*サマリー!$B$12)</f>
        <v>0</v>
      </c>
      <c r="E259" s="27">
        <f t="shared" si="6"/>
        <v>0</v>
      </c>
      <c r="I259" s="30"/>
      <c r="J259" s="30"/>
      <c r="K259" s="30"/>
      <c r="L259" s="30"/>
      <c r="M259" s="30"/>
      <c r="N259" s="30"/>
      <c r="O259" s="30"/>
      <c r="P259" s="30"/>
      <c r="Q259" s="31"/>
      <c r="R259" s="31"/>
      <c r="S259" s="31"/>
      <c r="T259" s="32"/>
      <c r="U259" s="32"/>
      <c r="V259" s="32"/>
      <c r="W259" s="32"/>
      <c r="X259" s="32"/>
      <c r="Y259" s="33"/>
      <c r="Z259" s="33"/>
      <c r="AA259" s="33"/>
    </row>
    <row r="260" spans="1:27">
      <c r="A260" s="29"/>
      <c r="B260" s="19">
        <f t="shared" si="7"/>
        <v>46327</v>
      </c>
      <c r="C260" s="27">
        <f>I260+J260+K260+L260+M260+N260+O260+P260+IF(Q260="",0,Q260*サマリー!$B$9)+IF(R260="",0,IF(R260=200,サマリー!$B$10,IF(R260=100,サマリー!$B$11,0)))+IF(S260="",0,S260*サマリー!$B$12)</f>
        <v>0</v>
      </c>
      <c r="D260" s="27">
        <f>T260+U260+V260+W260+X260+IF(Y260="",0,Y260*サマリー!$B$9)+IF(Z260="",0,IF(Z260=200,サマリー!$B$10,IF(Z260=100,サマリー!$B$11,0)))+IF(AA260="",0,AA260*サマリー!$B$12)</f>
        <v>0</v>
      </c>
      <c r="E260" s="27">
        <f t="shared" si="6"/>
        <v>0</v>
      </c>
      <c r="I260" s="30"/>
      <c r="J260" s="30"/>
      <c r="K260" s="30"/>
      <c r="L260" s="30"/>
      <c r="M260" s="30"/>
      <c r="N260" s="30"/>
      <c r="O260" s="30"/>
      <c r="P260" s="30"/>
      <c r="Q260" s="31"/>
      <c r="R260" s="31"/>
      <c r="S260" s="31"/>
      <c r="T260" s="32"/>
      <c r="U260" s="32"/>
      <c r="V260" s="32"/>
      <c r="W260" s="32"/>
      <c r="X260" s="32"/>
      <c r="Y260" s="33"/>
      <c r="Z260" s="33"/>
      <c r="AA260" s="33"/>
    </row>
    <row r="261" spans="1:27">
      <c r="A261" s="29"/>
      <c r="B261" s="19">
        <f t="shared" si="7"/>
        <v>46327</v>
      </c>
      <c r="C261" s="27">
        <f>I261+J261+K261+L261+M261+N261+O261+P261+IF(Q261="",0,Q261*サマリー!$B$9)+IF(R261="",0,IF(R261=200,サマリー!$B$10,IF(R261=100,サマリー!$B$11,0)))+IF(S261="",0,S261*サマリー!$B$12)</f>
        <v>0</v>
      </c>
      <c r="D261" s="27">
        <f>T261+U261+V261+W261+X261+IF(Y261="",0,Y261*サマリー!$B$9)+IF(Z261="",0,IF(Z261=200,サマリー!$B$10,IF(Z261=100,サマリー!$B$11,0)))+IF(AA261="",0,AA261*サマリー!$B$12)</f>
        <v>0</v>
      </c>
      <c r="E261" s="27">
        <f t="shared" si="6"/>
        <v>0</v>
      </c>
      <c r="I261" s="30"/>
      <c r="J261" s="30"/>
      <c r="K261" s="30"/>
      <c r="L261" s="30"/>
      <c r="M261" s="30"/>
      <c r="N261" s="30"/>
      <c r="O261" s="30"/>
      <c r="P261" s="30"/>
      <c r="Q261" s="31"/>
      <c r="R261" s="31"/>
      <c r="S261" s="31"/>
      <c r="T261" s="32"/>
      <c r="U261" s="32"/>
      <c r="V261" s="32"/>
      <c r="W261" s="32"/>
      <c r="X261" s="32"/>
      <c r="Y261" s="33"/>
      <c r="Z261" s="33"/>
      <c r="AA261" s="33"/>
    </row>
    <row r="262" spans="1:27">
      <c r="A262" s="29"/>
      <c r="B262" s="19">
        <f t="shared" si="7"/>
        <v>46327</v>
      </c>
      <c r="C262" s="27">
        <f>I262+J262+K262+L262+M262+N262+O262+P262+IF(Q262="",0,Q262*サマリー!$B$9)+IF(R262="",0,IF(R262=200,サマリー!$B$10,IF(R262=100,サマリー!$B$11,0)))+IF(S262="",0,S262*サマリー!$B$12)</f>
        <v>0</v>
      </c>
      <c r="D262" s="27">
        <f>T262+U262+V262+W262+X262+IF(Y262="",0,Y262*サマリー!$B$9)+IF(Z262="",0,IF(Z262=200,サマリー!$B$10,IF(Z262=100,サマリー!$B$11,0)))+IF(AA262="",0,AA262*サマリー!$B$12)</f>
        <v>0</v>
      </c>
      <c r="E262" s="27">
        <f t="shared" ref="E262:E325" si="8">C262+D262</f>
        <v>0</v>
      </c>
      <c r="I262" s="30"/>
      <c r="J262" s="30"/>
      <c r="K262" s="30"/>
      <c r="L262" s="30"/>
      <c r="M262" s="30"/>
      <c r="N262" s="30"/>
      <c r="O262" s="30"/>
      <c r="P262" s="30"/>
      <c r="Q262" s="31"/>
      <c r="R262" s="31"/>
      <c r="S262" s="31"/>
      <c r="T262" s="32"/>
      <c r="U262" s="32"/>
      <c r="V262" s="32"/>
      <c r="W262" s="32"/>
      <c r="X262" s="32"/>
      <c r="Y262" s="33"/>
      <c r="Z262" s="33"/>
      <c r="AA262" s="33"/>
    </row>
    <row r="263" spans="1:27">
      <c r="A263" s="29"/>
      <c r="B263" s="19">
        <f t="shared" ref="B263:B326" si="9">IF(A263="",B262,IF(A263&lt;DAY(B262),DATE(YEAR(B262),MONTH(B262)+1,A263),DATE(YEAR(B262),MONTH(B262),A263)))</f>
        <v>46327</v>
      </c>
      <c r="C263" s="27">
        <f>I263+J263+K263+L263+M263+N263+O263+P263+IF(Q263="",0,Q263*サマリー!$B$9)+IF(R263="",0,IF(R263=200,サマリー!$B$10,IF(R263=100,サマリー!$B$11,0)))+IF(S263="",0,S263*サマリー!$B$12)</f>
        <v>0</v>
      </c>
      <c r="D263" s="27">
        <f>T263+U263+V263+W263+X263+IF(Y263="",0,Y263*サマリー!$B$9)+IF(Z263="",0,IF(Z263=200,サマリー!$B$10,IF(Z263=100,サマリー!$B$11,0)))+IF(AA263="",0,AA263*サマリー!$B$12)</f>
        <v>0</v>
      </c>
      <c r="E263" s="27">
        <f t="shared" si="8"/>
        <v>0</v>
      </c>
      <c r="I263" s="30"/>
      <c r="J263" s="30"/>
      <c r="K263" s="30"/>
      <c r="L263" s="30"/>
      <c r="M263" s="30"/>
      <c r="N263" s="30"/>
      <c r="O263" s="30"/>
      <c r="P263" s="30"/>
      <c r="Q263" s="31"/>
      <c r="R263" s="31"/>
      <c r="S263" s="31"/>
      <c r="T263" s="32"/>
      <c r="U263" s="32"/>
      <c r="V263" s="32"/>
      <c r="W263" s="32"/>
      <c r="X263" s="32"/>
      <c r="Y263" s="33"/>
      <c r="Z263" s="33"/>
      <c r="AA263" s="33"/>
    </row>
    <row r="264" spans="1:27">
      <c r="A264" s="29"/>
      <c r="B264" s="19">
        <f t="shared" si="9"/>
        <v>46327</v>
      </c>
      <c r="C264" s="27">
        <f>I264+J264+K264+L264+M264+N264+O264+P264+IF(Q264="",0,Q264*サマリー!$B$9)+IF(R264="",0,IF(R264=200,サマリー!$B$10,IF(R264=100,サマリー!$B$11,0)))+IF(S264="",0,S264*サマリー!$B$12)</f>
        <v>0</v>
      </c>
      <c r="D264" s="27">
        <f>T264+U264+V264+W264+X264+IF(Y264="",0,Y264*サマリー!$B$9)+IF(Z264="",0,IF(Z264=200,サマリー!$B$10,IF(Z264=100,サマリー!$B$11,0)))+IF(AA264="",0,AA264*サマリー!$B$12)</f>
        <v>0</v>
      </c>
      <c r="E264" s="27">
        <f t="shared" si="8"/>
        <v>0</v>
      </c>
      <c r="I264" s="30"/>
      <c r="J264" s="30"/>
      <c r="K264" s="30"/>
      <c r="L264" s="30"/>
      <c r="M264" s="30"/>
      <c r="N264" s="30"/>
      <c r="O264" s="30"/>
      <c r="P264" s="30"/>
      <c r="Q264" s="31"/>
      <c r="R264" s="31"/>
      <c r="S264" s="31"/>
      <c r="T264" s="32"/>
      <c r="U264" s="32"/>
      <c r="V264" s="32"/>
      <c r="W264" s="32"/>
      <c r="X264" s="32"/>
      <c r="Y264" s="33"/>
      <c r="Z264" s="33"/>
      <c r="AA264" s="33"/>
    </row>
    <row r="265" spans="1:27">
      <c r="A265" s="29"/>
      <c r="B265" s="19">
        <f t="shared" si="9"/>
        <v>46327</v>
      </c>
      <c r="C265" s="27">
        <f>I265+J265+K265+L265+M265+N265+O265+P265+IF(Q265="",0,Q265*サマリー!$B$9)+IF(R265="",0,IF(R265=200,サマリー!$B$10,IF(R265=100,サマリー!$B$11,0)))+IF(S265="",0,S265*サマリー!$B$12)</f>
        <v>0</v>
      </c>
      <c r="D265" s="27">
        <f>T265+U265+V265+W265+X265+IF(Y265="",0,Y265*サマリー!$B$9)+IF(Z265="",0,IF(Z265=200,サマリー!$B$10,IF(Z265=100,サマリー!$B$11,0)))+IF(AA265="",0,AA265*サマリー!$B$12)</f>
        <v>0</v>
      </c>
      <c r="E265" s="27">
        <f t="shared" si="8"/>
        <v>0</v>
      </c>
      <c r="I265" s="30"/>
      <c r="J265" s="30"/>
      <c r="K265" s="30"/>
      <c r="L265" s="30"/>
      <c r="M265" s="30"/>
      <c r="N265" s="30"/>
      <c r="O265" s="30"/>
      <c r="P265" s="30"/>
      <c r="Q265" s="31"/>
      <c r="R265" s="31"/>
      <c r="S265" s="31"/>
      <c r="T265" s="32"/>
      <c r="U265" s="32"/>
      <c r="V265" s="32"/>
      <c r="W265" s="32"/>
      <c r="X265" s="32"/>
      <c r="Y265" s="33"/>
      <c r="Z265" s="33"/>
      <c r="AA265" s="33"/>
    </row>
    <row r="266" spans="1:27">
      <c r="A266" s="29"/>
      <c r="B266" s="19">
        <f t="shared" si="9"/>
        <v>46327</v>
      </c>
      <c r="C266" s="27">
        <f>I266+J266+K266+L266+M266+N266+O266+P266+IF(Q266="",0,Q266*サマリー!$B$9)+IF(R266="",0,IF(R266=200,サマリー!$B$10,IF(R266=100,サマリー!$B$11,0)))+IF(S266="",0,S266*サマリー!$B$12)</f>
        <v>0</v>
      </c>
      <c r="D266" s="27">
        <f>T266+U266+V266+W266+X266+IF(Y266="",0,Y266*サマリー!$B$9)+IF(Z266="",0,IF(Z266=200,サマリー!$B$10,IF(Z266=100,サマリー!$B$11,0)))+IF(AA266="",0,AA266*サマリー!$B$12)</f>
        <v>0</v>
      </c>
      <c r="E266" s="27">
        <f t="shared" si="8"/>
        <v>0</v>
      </c>
      <c r="I266" s="30"/>
      <c r="J266" s="30"/>
      <c r="K266" s="30"/>
      <c r="L266" s="30"/>
      <c r="M266" s="30"/>
      <c r="N266" s="30"/>
      <c r="O266" s="30"/>
      <c r="P266" s="30"/>
      <c r="Q266" s="31"/>
      <c r="R266" s="31"/>
      <c r="S266" s="31"/>
      <c r="T266" s="32"/>
      <c r="U266" s="32"/>
      <c r="V266" s="32"/>
      <c r="W266" s="32"/>
      <c r="X266" s="32"/>
      <c r="Y266" s="33"/>
      <c r="Z266" s="33"/>
      <c r="AA266" s="33"/>
    </row>
    <row r="267" spans="1:27">
      <c r="A267" s="29"/>
      <c r="B267" s="19">
        <f t="shared" si="9"/>
        <v>46327</v>
      </c>
      <c r="C267" s="27">
        <f>I267+J267+K267+L267+M267+N267+O267+P267+IF(Q267="",0,Q267*サマリー!$B$9)+IF(R267="",0,IF(R267=200,サマリー!$B$10,IF(R267=100,サマリー!$B$11,0)))+IF(S267="",0,S267*サマリー!$B$12)</f>
        <v>0</v>
      </c>
      <c r="D267" s="27">
        <f>T267+U267+V267+W267+X267+IF(Y267="",0,Y267*サマリー!$B$9)+IF(Z267="",0,IF(Z267=200,サマリー!$B$10,IF(Z267=100,サマリー!$B$11,0)))+IF(AA267="",0,AA267*サマリー!$B$12)</f>
        <v>0</v>
      </c>
      <c r="E267" s="27">
        <f t="shared" si="8"/>
        <v>0</v>
      </c>
      <c r="I267" s="30"/>
      <c r="J267" s="30"/>
      <c r="K267" s="30"/>
      <c r="L267" s="30"/>
      <c r="M267" s="30"/>
      <c r="N267" s="30"/>
      <c r="O267" s="30"/>
      <c r="P267" s="30"/>
      <c r="Q267" s="31"/>
      <c r="R267" s="31"/>
      <c r="S267" s="31"/>
      <c r="T267" s="32"/>
      <c r="U267" s="32"/>
      <c r="V267" s="32"/>
      <c r="W267" s="32"/>
      <c r="X267" s="32"/>
      <c r="Y267" s="33"/>
      <c r="Z267" s="33"/>
      <c r="AA267" s="33"/>
    </row>
    <row r="268" spans="1:27">
      <c r="A268" s="29"/>
      <c r="B268" s="19">
        <f t="shared" si="9"/>
        <v>46327</v>
      </c>
      <c r="C268" s="27">
        <f>I268+J268+K268+L268+M268+N268+O268+P268+IF(Q268="",0,Q268*サマリー!$B$9)+IF(R268="",0,IF(R268=200,サマリー!$B$10,IF(R268=100,サマリー!$B$11,0)))+IF(S268="",0,S268*サマリー!$B$12)</f>
        <v>0</v>
      </c>
      <c r="D268" s="27">
        <f>T268+U268+V268+W268+X268+IF(Y268="",0,Y268*サマリー!$B$9)+IF(Z268="",0,IF(Z268=200,サマリー!$B$10,IF(Z268=100,サマリー!$B$11,0)))+IF(AA268="",0,AA268*サマリー!$B$12)</f>
        <v>0</v>
      </c>
      <c r="E268" s="27">
        <f t="shared" si="8"/>
        <v>0</v>
      </c>
      <c r="I268" s="30"/>
      <c r="J268" s="30"/>
      <c r="K268" s="30"/>
      <c r="L268" s="30"/>
      <c r="M268" s="30"/>
      <c r="N268" s="30"/>
      <c r="O268" s="30"/>
      <c r="P268" s="30"/>
      <c r="Q268" s="31"/>
      <c r="R268" s="31"/>
      <c r="S268" s="31"/>
      <c r="T268" s="32"/>
      <c r="U268" s="32"/>
      <c r="V268" s="32"/>
      <c r="W268" s="32"/>
      <c r="X268" s="32"/>
      <c r="Y268" s="33"/>
      <c r="Z268" s="33"/>
      <c r="AA268" s="33"/>
    </row>
    <row r="269" spans="1:27">
      <c r="A269" s="29"/>
      <c r="B269" s="19">
        <f t="shared" si="9"/>
        <v>46327</v>
      </c>
      <c r="C269" s="27">
        <f>I269+J269+K269+L269+M269+N269+O269+P269+IF(Q269="",0,Q269*サマリー!$B$9)+IF(R269="",0,IF(R269=200,サマリー!$B$10,IF(R269=100,サマリー!$B$11,0)))+IF(S269="",0,S269*サマリー!$B$12)</f>
        <v>0</v>
      </c>
      <c r="D269" s="27">
        <f>T269+U269+V269+W269+X269+IF(Y269="",0,Y269*サマリー!$B$9)+IF(Z269="",0,IF(Z269=200,サマリー!$B$10,IF(Z269=100,サマリー!$B$11,0)))+IF(AA269="",0,AA269*サマリー!$B$12)</f>
        <v>0</v>
      </c>
      <c r="E269" s="27">
        <f t="shared" si="8"/>
        <v>0</v>
      </c>
      <c r="I269" s="30"/>
      <c r="J269" s="30"/>
      <c r="K269" s="30"/>
      <c r="L269" s="30"/>
      <c r="M269" s="30"/>
      <c r="N269" s="30"/>
      <c r="O269" s="30"/>
      <c r="P269" s="30"/>
      <c r="Q269" s="31"/>
      <c r="R269" s="31"/>
      <c r="S269" s="31"/>
      <c r="T269" s="32"/>
      <c r="U269" s="32"/>
      <c r="V269" s="32"/>
      <c r="W269" s="32"/>
      <c r="X269" s="32"/>
      <c r="Y269" s="33"/>
      <c r="Z269" s="33"/>
      <c r="AA269" s="33"/>
    </row>
    <row r="270" spans="1:27">
      <c r="A270" s="29"/>
      <c r="B270" s="19">
        <f t="shared" si="9"/>
        <v>46327</v>
      </c>
      <c r="C270" s="27">
        <f>I270+J270+K270+L270+M270+N270+O270+P270+IF(Q270="",0,Q270*サマリー!$B$9)+IF(R270="",0,IF(R270=200,サマリー!$B$10,IF(R270=100,サマリー!$B$11,0)))+IF(S270="",0,S270*サマリー!$B$12)</f>
        <v>0</v>
      </c>
      <c r="D270" s="27">
        <f>T270+U270+V270+W270+X270+IF(Y270="",0,Y270*サマリー!$B$9)+IF(Z270="",0,IF(Z270=200,サマリー!$B$10,IF(Z270=100,サマリー!$B$11,0)))+IF(AA270="",0,AA270*サマリー!$B$12)</f>
        <v>0</v>
      </c>
      <c r="E270" s="27">
        <f t="shared" si="8"/>
        <v>0</v>
      </c>
      <c r="I270" s="30"/>
      <c r="J270" s="30"/>
      <c r="K270" s="30"/>
      <c r="L270" s="30"/>
      <c r="M270" s="30"/>
      <c r="N270" s="30"/>
      <c r="O270" s="30"/>
      <c r="P270" s="30"/>
      <c r="Q270" s="31"/>
      <c r="R270" s="31"/>
      <c r="S270" s="31"/>
      <c r="T270" s="32"/>
      <c r="U270" s="32"/>
      <c r="V270" s="32"/>
      <c r="W270" s="32"/>
      <c r="X270" s="32"/>
      <c r="Y270" s="33"/>
      <c r="Z270" s="33"/>
      <c r="AA270" s="33"/>
    </row>
    <row r="271" spans="1:27">
      <c r="A271" s="29"/>
      <c r="B271" s="19">
        <f t="shared" si="9"/>
        <v>46327</v>
      </c>
      <c r="C271" s="27">
        <f>I271+J271+K271+L271+M271+N271+O271+P271+IF(Q271="",0,Q271*サマリー!$B$9)+IF(R271="",0,IF(R271=200,サマリー!$B$10,IF(R271=100,サマリー!$B$11,0)))+IF(S271="",0,S271*サマリー!$B$12)</f>
        <v>0</v>
      </c>
      <c r="D271" s="27">
        <f>T271+U271+V271+W271+X271+IF(Y271="",0,Y271*サマリー!$B$9)+IF(Z271="",0,IF(Z271=200,サマリー!$B$10,IF(Z271=100,サマリー!$B$11,0)))+IF(AA271="",0,AA271*サマリー!$B$12)</f>
        <v>0</v>
      </c>
      <c r="E271" s="27">
        <f t="shared" si="8"/>
        <v>0</v>
      </c>
      <c r="I271" s="30"/>
      <c r="J271" s="30"/>
      <c r="K271" s="30"/>
      <c r="L271" s="30"/>
      <c r="M271" s="30"/>
      <c r="N271" s="30"/>
      <c r="O271" s="30"/>
      <c r="P271" s="30"/>
      <c r="Q271" s="31"/>
      <c r="R271" s="31"/>
      <c r="S271" s="31"/>
      <c r="T271" s="32"/>
      <c r="U271" s="32"/>
      <c r="V271" s="32"/>
      <c r="W271" s="32"/>
      <c r="X271" s="32"/>
      <c r="Y271" s="33"/>
      <c r="Z271" s="33"/>
      <c r="AA271" s="33"/>
    </row>
    <row r="272" spans="1:27">
      <c r="A272" s="29"/>
      <c r="B272" s="19">
        <f t="shared" si="9"/>
        <v>46327</v>
      </c>
      <c r="C272" s="27">
        <f>I272+J272+K272+L272+M272+N272+O272+P272+IF(Q272="",0,Q272*サマリー!$B$9)+IF(R272="",0,IF(R272=200,サマリー!$B$10,IF(R272=100,サマリー!$B$11,0)))+IF(S272="",0,S272*サマリー!$B$12)</f>
        <v>0</v>
      </c>
      <c r="D272" s="27">
        <f>T272+U272+V272+W272+X272+IF(Y272="",0,Y272*サマリー!$B$9)+IF(Z272="",0,IF(Z272=200,サマリー!$B$10,IF(Z272=100,サマリー!$B$11,0)))+IF(AA272="",0,AA272*サマリー!$B$12)</f>
        <v>0</v>
      </c>
      <c r="E272" s="27">
        <f t="shared" si="8"/>
        <v>0</v>
      </c>
      <c r="I272" s="30"/>
      <c r="J272" s="30"/>
      <c r="K272" s="30"/>
      <c r="L272" s="30"/>
      <c r="M272" s="30"/>
      <c r="N272" s="30"/>
      <c r="O272" s="30"/>
      <c r="P272" s="30"/>
      <c r="Q272" s="31"/>
      <c r="R272" s="31"/>
      <c r="S272" s="31"/>
      <c r="T272" s="32"/>
      <c r="U272" s="32"/>
      <c r="V272" s="32"/>
      <c r="W272" s="32"/>
      <c r="X272" s="32"/>
      <c r="Y272" s="33"/>
      <c r="Z272" s="33"/>
      <c r="AA272" s="33"/>
    </row>
    <row r="273" spans="1:27">
      <c r="A273" s="29"/>
      <c r="B273" s="19">
        <f t="shared" si="9"/>
        <v>46327</v>
      </c>
      <c r="C273" s="27">
        <f>I273+J273+K273+L273+M273+N273+O273+P273+IF(Q273="",0,Q273*サマリー!$B$9)+IF(R273="",0,IF(R273=200,サマリー!$B$10,IF(R273=100,サマリー!$B$11,0)))+IF(S273="",0,S273*サマリー!$B$12)</f>
        <v>0</v>
      </c>
      <c r="D273" s="27">
        <f>T273+U273+V273+W273+X273+IF(Y273="",0,Y273*サマリー!$B$9)+IF(Z273="",0,IF(Z273=200,サマリー!$B$10,IF(Z273=100,サマリー!$B$11,0)))+IF(AA273="",0,AA273*サマリー!$B$12)</f>
        <v>0</v>
      </c>
      <c r="E273" s="27">
        <f t="shared" si="8"/>
        <v>0</v>
      </c>
      <c r="I273" s="30"/>
      <c r="J273" s="30"/>
      <c r="K273" s="30"/>
      <c r="L273" s="30"/>
      <c r="M273" s="30"/>
      <c r="N273" s="30"/>
      <c r="O273" s="30"/>
      <c r="P273" s="30"/>
      <c r="Q273" s="31"/>
      <c r="R273" s="31"/>
      <c r="S273" s="31"/>
      <c r="T273" s="32"/>
      <c r="U273" s="32"/>
      <c r="V273" s="32"/>
      <c r="W273" s="32"/>
      <c r="X273" s="32"/>
      <c r="Y273" s="33"/>
      <c r="Z273" s="33"/>
      <c r="AA273" s="33"/>
    </row>
    <row r="274" spans="1:27">
      <c r="A274" s="29"/>
      <c r="B274" s="19">
        <f t="shared" si="9"/>
        <v>46327</v>
      </c>
      <c r="C274" s="27">
        <f>I274+J274+K274+L274+M274+N274+O274+P274+IF(Q274="",0,Q274*サマリー!$B$9)+IF(R274="",0,IF(R274=200,サマリー!$B$10,IF(R274=100,サマリー!$B$11,0)))+IF(S274="",0,S274*サマリー!$B$12)</f>
        <v>0</v>
      </c>
      <c r="D274" s="27">
        <f>T274+U274+V274+W274+X274+IF(Y274="",0,Y274*サマリー!$B$9)+IF(Z274="",0,IF(Z274=200,サマリー!$B$10,IF(Z274=100,サマリー!$B$11,0)))+IF(AA274="",0,AA274*サマリー!$B$12)</f>
        <v>0</v>
      </c>
      <c r="E274" s="27">
        <f t="shared" si="8"/>
        <v>0</v>
      </c>
      <c r="I274" s="30"/>
      <c r="J274" s="30"/>
      <c r="K274" s="30"/>
      <c r="L274" s="30"/>
      <c r="M274" s="30"/>
      <c r="N274" s="30"/>
      <c r="O274" s="30"/>
      <c r="P274" s="30"/>
      <c r="Q274" s="31"/>
      <c r="R274" s="31"/>
      <c r="S274" s="31"/>
      <c r="T274" s="32"/>
      <c r="U274" s="32"/>
      <c r="V274" s="32"/>
      <c r="W274" s="32"/>
      <c r="X274" s="32"/>
      <c r="Y274" s="33"/>
      <c r="Z274" s="33"/>
      <c r="AA274" s="33"/>
    </row>
    <row r="275" spans="1:27">
      <c r="A275" s="29"/>
      <c r="B275" s="19">
        <f t="shared" si="9"/>
        <v>46327</v>
      </c>
      <c r="C275" s="27">
        <f>I275+J275+K275+L275+M275+N275+O275+P275+IF(Q275="",0,Q275*サマリー!$B$9)+IF(R275="",0,IF(R275=200,サマリー!$B$10,IF(R275=100,サマリー!$B$11,0)))+IF(S275="",0,S275*サマリー!$B$12)</f>
        <v>0</v>
      </c>
      <c r="D275" s="27">
        <f>T275+U275+V275+W275+X275+IF(Y275="",0,Y275*サマリー!$B$9)+IF(Z275="",0,IF(Z275=200,サマリー!$B$10,IF(Z275=100,サマリー!$B$11,0)))+IF(AA275="",0,AA275*サマリー!$B$12)</f>
        <v>0</v>
      </c>
      <c r="E275" s="27">
        <f t="shared" si="8"/>
        <v>0</v>
      </c>
      <c r="I275" s="30"/>
      <c r="J275" s="30"/>
      <c r="K275" s="30"/>
      <c r="L275" s="30"/>
      <c r="M275" s="30"/>
      <c r="N275" s="30"/>
      <c r="O275" s="30"/>
      <c r="P275" s="30"/>
      <c r="Q275" s="31"/>
      <c r="R275" s="31"/>
      <c r="S275" s="31"/>
      <c r="T275" s="32"/>
      <c r="U275" s="32"/>
      <c r="V275" s="32"/>
      <c r="W275" s="32"/>
      <c r="X275" s="32"/>
      <c r="Y275" s="33"/>
      <c r="Z275" s="33"/>
      <c r="AA275" s="33"/>
    </row>
    <row r="276" spans="1:27">
      <c r="A276" s="29"/>
      <c r="B276" s="19">
        <f t="shared" si="9"/>
        <v>46327</v>
      </c>
      <c r="C276" s="27">
        <f>I276+J276+K276+L276+M276+N276+O276+P276+IF(Q276="",0,Q276*サマリー!$B$9)+IF(R276="",0,IF(R276=200,サマリー!$B$10,IF(R276=100,サマリー!$B$11,0)))+IF(S276="",0,S276*サマリー!$B$12)</f>
        <v>0</v>
      </c>
      <c r="D276" s="27">
        <f>T276+U276+V276+W276+X276+IF(Y276="",0,Y276*サマリー!$B$9)+IF(Z276="",0,IF(Z276=200,サマリー!$B$10,IF(Z276=100,サマリー!$B$11,0)))+IF(AA276="",0,AA276*サマリー!$B$12)</f>
        <v>0</v>
      </c>
      <c r="E276" s="27">
        <f t="shared" si="8"/>
        <v>0</v>
      </c>
      <c r="I276" s="30"/>
      <c r="J276" s="30"/>
      <c r="K276" s="30"/>
      <c r="L276" s="30"/>
      <c r="M276" s="30"/>
      <c r="N276" s="30"/>
      <c r="O276" s="30"/>
      <c r="P276" s="30"/>
      <c r="Q276" s="31"/>
      <c r="R276" s="31"/>
      <c r="S276" s="31"/>
      <c r="T276" s="32"/>
      <c r="U276" s="32"/>
      <c r="V276" s="32"/>
      <c r="W276" s="32"/>
      <c r="X276" s="32"/>
      <c r="Y276" s="33"/>
      <c r="Z276" s="33"/>
      <c r="AA276" s="33"/>
    </row>
    <row r="277" spans="1:27">
      <c r="A277" s="29"/>
      <c r="B277" s="19">
        <f t="shared" si="9"/>
        <v>46327</v>
      </c>
      <c r="C277" s="27">
        <f>I277+J277+K277+L277+M277+N277+O277+P277+IF(Q277="",0,Q277*サマリー!$B$9)+IF(R277="",0,IF(R277=200,サマリー!$B$10,IF(R277=100,サマリー!$B$11,0)))+IF(S277="",0,S277*サマリー!$B$12)</f>
        <v>0</v>
      </c>
      <c r="D277" s="27">
        <f>T277+U277+V277+W277+X277+IF(Y277="",0,Y277*サマリー!$B$9)+IF(Z277="",0,IF(Z277=200,サマリー!$B$10,IF(Z277=100,サマリー!$B$11,0)))+IF(AA277="",0,AA277*サマリー!$B$12)</f>
        <v>0</v>
      </c>
      <c r="E277" s="27">
        <f t="shared" si="8"/>
        <v>0</v>
      </c>
      <c r="I277" s="30"/>
      <c r="J277" s="30"/>
      <c r="K277" s="30"/>
      <c r="L277" s="30"/>
      <c r="M277" s="30"/>
      <c r="N277" s="30"/>
      <c r="O277" s="30"/>
      <c r="P277" s="30"/>
      <c r="Q277" s="31"/>
      <c r="R277" s="31"/>
      <c r="S277" s="31"/>
      <c r="T277" s="32"/>
      <c r="U277" s="32"/>
      <c r="V277" s="32"/>
      <c r="W277" s="32"/>
      <c r="X277" s="32"/>
      <c r="Y277" s="33"/>
      <c r="Z277" s="33"/>
      <c r="AA277" s="33"/>
    </row>
    <row r="278" spans="1:27">
      <c r="A278" s="29"/>
      <c r="B278" s="19">
        <f t="shared" si="9"/>
        <v>46327</v>
      </c>
      <c r="C278" s="27">
        <f>I278+J278+K278+L278+M278+N278+O278+P278+IF(Q278="",0,Q278*サマリー!$B$9)+IF(R278="",0,IF(R278=200,サマリー!$B$10,IF(R278=100,サマリー!$B$11,0)))+IF(S278="",0,S278*サマリー!$B$12)</f>
        <v>0</v>
      </c>
      <c r="D278" s="27">
        <f>T278+U278+V278+W278+X278+IF(Y278="",0,Y278*サマリー!$B$9)+IF(Z278="",0,IF(Z278=200,サマリー!$B$10,IF(Z278=100,サマリー!$B$11,0)))+IF(AA278="",0,AA278*サマリー!$B$12)</f>
        <v>0</v>
      </c>
      <c r="E278" s="27">
        <f t="shared" si="8"/>
        <v>0</v>
      </c>
      <c r="I278" s="30"/>
      <c r="J278" s="30"/>
      <c r="K278" s="30"/>
      <c r="L278" s="30"/>
      <c r="M278" s="30"/>
      <c r="N278" s="30"/>
      <c r="O278" s="30"/>
      <c r="P278" s="30"/>
      <c r="Q278" s="31"/>
      <c r="R278" s="31"/>
      <c r="S278" s="31"/>
      <c r="T278" s="32"/>
      <c r="U278" s="32"/>
      <c r="V278" s="32"/>
      <c r="W278" s="32"/>
      <c r="X278" s="32"/>
      <c r="Y278" s="33"/>
      <c r="Z278" s="33"/>
      <c r="AA278" s="33"/>
    </row>
    <row r="279" spans="1:27">
      <c r="A279" s="29"/>
      <c r="B279" s="19">
        <f t="shared" si="9"/>
        <v>46327</v>
      </c>
      <c r="C279" s="27">
        <f>I279+J279+K279+L279+M279+N279+O279+P279+IF(Q279="",0,Q279*サマリー!$B$9)+IF(R279="",0,IF(R279=200,サマリー!$B$10,IF(R279=100,サマリー!$B$11,0)))+IF(S279="",0,S279*サマリー!$B$12)</f>
        <v>0</v>
      </c>
      <c r="D279" s="27">
        <f>T279+U279+V279+W279+X279+IF(Y279="",0,Y279*サマリー!$B$9)+IF(Z279="",0,IF(Z279=200,サマリー!$B$10,IF(Z279=100,サマリー!$B$11,0)))+IF(AA279="",0,AA279*サマリー!$B$12)</f>
        <v>0</v>
      </c>
      <c r="E279" s="27">
        <f t="shared" si="8"/>
        <v>0</v>
      </c>
      <c r="I279" s="30"/>
      <c r="J279" s="30"/>
      <c r="K279" s="30"/>
      <c r="L279" s="30"/>
      <c r="M279" s="30"/>
      <c r="N279" s="30"/>
      <c r="O279" s="30"/>
      <c r="P279" s="30"/>
      <c r="Q279" s="31"/>
      <c r="R279" s="31"/>
      <c r="S279" s="31"/>
      <c r="T279" s="32"/>
      <c r="U279" s="32"/>
      <c r="V279" s="32"/>
      <c r="W279" s="32"/>
      <c r="X279" s="32"/>
      <c r="Y279" s="33"/>
      <c r="Z279" s="33"/>
      <c r="AA279" s="33"/>
    </row>
    <row r="280" spans="1:27">
      <c r="A280" s="29"/>
      <c r="B280" s="19">
        <f t="shared" si="9"/>
        <v>46327</v>
      </c>
      <c r="C280" s="27">
        <f>I280+J280+K280+L280+M280+N280+O280+P280+IF(Q280="",0,Q280*サマリー!$B$9)+IF(R280="",0,IF(R280=200,サマリー!$B$10,IF(R280=100,サマリー!$B$11,0)))+IF(S280="",0,S280*サマリー!$B$12)</f>
        <v>0</v>
      </c>
      <c r="D280" s="27">
        <f>T280+U280+V280+W280+X280+IF(Y280="",0,Y280*サマリー!$B$9)+IF(Z280="",0,IF(Z280=200,サマリー!$B$10,IF(Z280=100,サマリー!$B$11,0)))+IF(AA280="",0,AA280*サマリー!$B$12)</f>
        <v>0</v>
      </c>
      <c r="E280" s="27">
        <f t="shared" si="8"/>
        <v>0</v>
      </c>
      <c r="I280" s="30"/>
      <c r="J280" s="30"/>
      <c r="K280" s="30"/>
      <c r="L280" s="30"/>
      <c r="M280" s="30"/>
      <c r="N280" s="30"/>
      <c r="O280" s="30"/>
      <c r="P280" s="30"/>
      <c r="Q280" s="31"/>
      <c r="R280" s="31"/>
      <c r="S280" s="31"/>
      <c r="T280" s="32"/>
      <c r="U280" s="32"/>
      <c r="V280" s="32"/>
      <c r="W280" s="32"/>
      <c r="X280" s="32"/>
      <c r="Y280" s="33"/>
      <c r="Z280" s="33"/>
      <c r="AA280" s="33"/>
    </row>
    <row r="281" spans="1:27">
      <c r="A281" s="29"/>
      <c r="B281" s="19">
        <f t="shared" si="9"/>
        <v>46327</v>
      </c>
      <c r="C281" s="27">
        <f>I281+J281+K281+L281+M281+N281+O281+P281+IF(Q281="",0,Q281*サマリー!$B$9)+IF(R281="",0,IF(R281=200,サマリー!$B$10,IF(R281=100,サマリー!$B$11,0)))+IF(S281="",0,S281*サマリー!$B$12)</f>
        <v>0</v>
      </c>
      <c r="D281" s="27">
        <f>T281+U281+V281+W281+X281+IF(Y281="",0,Y281*サマリー!$B$9)+IF(Z281="",0,IF(Z281=200,サマリー!$B$10,IF(Z281=100,サマリー!$B$11,0)))+IF(AA281="",0,AA281*サマリー!$B$12)</f>
        <v>0</v>
      </c>
      <c r="E281" s="27">
        <f t="shared" si="8"/>
        <v>0</v>
      </c>
      <c r="I281" s="30"/>
      <c r="J281" s="30"/>
      <c r="K281" s="30"/>
      <c r="L281" s="30"/>
      <c r="M281" s="30"/>
      <c r="N281" s="30"/>
      <c r="O281" s="30"/>
      <c r="P281" s="30"/>
      <c r="Q281" s="31"/>
      <c r="R281" s="31"/>
      <c r="S281" s="31"/>
      <c r="T281" s="32"/>
      <c r="U281" s="32"/>
      <c r="V281" s="32"/>
      <c r="W281" s="32"/>
      <c r="X281" s="32"/>
      <c r="Y281" s="33"/>
      <c r="Z281" s="33"/>
      <c r="AA281" s="33"/>
    </row>
    <row r="282" spans="1:27">
      <c r="A282" s="29"/>
      <c r="B282" s="19">
        <f t="shared" si="9"/>
        <v>46327</v>
      </c>
      <c r="C282" s="27">
        <f>I282+J282+K282+L282+M282+N282+O282+P282+IF(Q282="",0,Q282*サマリー!$B$9)+IF(R282="",0,IF(R282=200,サマリー!$B$10,IF(R282=100,サマリー!$B$11,0)))+IF(S282="",0,S282*サマリー!$B$12)</f>
        <v>0</v>
      </c>
      <c r="D282" s="27">
        <f>T282+U282+V282+W282+X282+IF(Y282="",0,Y282*サマリー!$B$9)+IF(Z282="",0,IF(Z282=200,サマリー!$B$10,IF(Z282=100,サマリー!$B$11,0)))+IF(AA282="",0,AA282*サマリー!$B$12)</f>
        <v>0</v>
      </c>
      <c r="E282" s="27">
        <f t="shared" si="8"/>
        <v>0</v>
      </c>
      <c r="I282" s="30"/>
      <c r="J282" s="30"/>
      <c r="K282" s="30"/>
      <c r="L282" s="30"/>
      <c r="M282" s="30"/>
      <c r="N282" s="30"/>
      <c r="O282" s="30"/>
      <c r="P282" s="30"/>
      <c r="Q282" s="31"/>
      <c r="R282" s="31"/>
      <c r="S282" s="31"/>
      <c r="T282" s="32"/>
      <c r="U282" s="32"/>
      <c r="V282" s="32"/>
      <c r="W282" s="32"/>
      <c r="X282" s="32"/>
      <c r="Y282" s="33"/>
      <c r="Z282" s="33"/>
      <c r="AA282" s="33"/>
    </row>
    <row r="283" spans="1:27">
      <c r="A283" s="29"/>
      <c r="B283" s="19">
        <f t="shared" si="9"/>
        <v>46327</v>
      </c>
      <c r="C283" s="27">
        <f>I283+J283+K283+L283+M283+N283+O283+P283+IF(Q283="",0,Q283*サマリー!$B$9)+IF(R283="",0,IF(R283=200,サマリー!$B$10,IF(R283=100,サマリー!$B$11,0)))+IF(S283="",0,S283*サマリー!$B$12)</f>
        <v>0</v>
      </c>
      <c r="D283" s="27">
        <f>T283+U283+V283+W283+X283+IF(Y283="",0,Y283*サマリー!$B$9)+IF(Z283="",0,IF(Z283=200,サマリー!$B$10,IF(Z283=100,サマリー!$B$11,0)))+IF(AA283="",0,AA283*サマリー!$B$12)</f>
        <v>0</v>
      </c>
      <c r="E283" s="27">
        <f t="shared" si="8"/>
        <v>0</v>
      </c>
      <c r="I283" s="30"/>
      <c r="J283" s="30"/>
      <c r="K283" s="30"/>
      <c r="L283" s="30"/>
      <c r="M283" s="30"/>
      <c r="N283" s="30"/>
      <c r="O283" s="30"/>
      <c r="P283" s="30"/>
      <c r="Q283" s="31"/>
      <c r="R283" s="31"/>
      <c r="S283" s="31"/>
      <c r="T283" s="32"/>
      <c r="U283" s="32"/>
      <c r="V283" s="32"/>
      <c r="W283" s="32"/>
      <c r="X283" s="32"/>
      <c r="Y283" s="33"/>
      <c r="Z283" s="33"/>
      <c r="AA283" s="33"/>
    </row>
    <row r="284" spans="1:27">
      <c r="A284" s="29"/>
      <c r="B284" s="19">
        <f t="shared" si="9"/>
        <v>46327</v>
      </c>
      <c r="C284" s="27">
        <f>I284+J284+K284+L284+M284+N284+O284+P284+IF(Q284="",0,Q284*サマリー!$B$9)+IF(R284="",0,IF(R284=200,サマリー!$B$10,IF(R284=100,サマリー!$B$11,0)))+IF(S284="",0,S284*サマリー!$B$12)</f>
        <v>0</v>
      </c>
      <c r="D284" s="27">
        <f>T284+U284+V284+W284+X284+IF(Y284="",0,Y284*サマリー!$B$9)+IF(Z284="",0,IF(Z284=200,サマリー!$B$10,IF(Z284=100,サマリー!$B$11,0)))+IF(AA284="",0,AA284*サマリー!$B$12)</f>
        <v>0</v>
      </c>
      <c r="E284" s="27">
        <f t="shared" si="8"/>
        <v>0</v>
      </c>
      <c r="I284" s="30"/>
      <c r="J284" s="30"/>
      <c r="K284" s="30"/>
      <c r="L284" s="30"/>
      <c r="M284" s="30"/>
      <c r="N284" s="30"/>
      <c r="O284" s="30"/>
      <c r="P284" s="30"/>
      <c r="Q284" s="31"/>
      <c r="R284" s="31"/>
      <c r="S284" s="31"/>
      <c r="T284" s="32"/>
      <c r="U284" s="32"/>
      <c r="V284" s="32"/>
      <c r="W284" s="32"/>
      <c r="X284" s="32"/>
      <c r="Y284" s="33"/>
      <c r="Z284" s="33"/>
      <c r="AA284" s="33"/>
    </row>
    <row r="285" spans="1:27">
      <c r="A285" s="29"/>
      <c r="B285" s="19">
        <f t="shared" si="9"/>
        <v>46327</v>
      </c>
      <c r="C285" s="27">
        <f>I285+J285+K285+L285+M285+N285+O285+P285+IF(Q285="",0,Q285*サマリー!$B$9)+IF(R285="",0,IF(R285=200,サマリー!$B$10,IF(R285=100,サマリー!$B$11,0)))+IF(S285="",0,S285*サマリー!$B$12)</f>
        <v>0</v>
      </c>
      <c r="D285" s="27">
        <f>T285+U285+V285+W285+X285+IF(Y285="",0,Y285*サマリー!$B$9)+IF(Z285="",0,IF(Z285=200,サマリー!$B$10,IF(Z285=100,サマリー!$B$11,0)))+IF(AA285="",0,AA285*サマリー!$B$12)</f>
        <v>0</v>
      </c>
      <c r="E285" s="27">
        <f t="shared" si="8"/>
        <v>0</v>
      </c>
      <c r="I285" s="30"/>
      <c r="J285" s="30"/>
      <c r="K285" s="30"/>
      <c r="L285" s="30"/>
      <c r="M285" s="30"/>
      <c r="N285" s="30"/>
      <c r="O285" s="30"/>
      <c r="P285" s="30"/>
      <c r="Q285" s="31"/>
      <c r="R285" s="31"/>
      <c r="S285" s="31"/>
      <c r="T285" s="32"/>
      <c r="U285" s="32"/>
      <c r="V285" s="32"/>
      <c r="W285" s="32"/>
      <c r="X285" s="32"/>
      <c r="Y285" s="33"/>
      <c r="Z285" s="33"/>
      <c r="AA285" s="33"/>
    </row>
    <row r="286" spans="1:27">
      <c r="A286" s="29"/>
      <c r="B286" s="19">
        <f t="shared" si="9"/>
        <v>46327</v>
      </c>
      <c r="C286" s="27">
        <f>I286+J286+K286+L286+M286+N286+O286+P286+IF(Q286="",0,Q286*サマリー!$B$9)+IF(R286="",0,IF(R286=200,サマリー!$B$10,IF(R286=100,サマリー!$B$11,0)))+IF(S286="",0,S286*サマリー!$B$12)</f>
        <v>0</v>
      </c>
      <c r="D286" s="27">
        <f>T286+U286+V286+W286+X286+IF(Y286="",0,Y286*サマリー!$B$9)+IF(Z286="",0,IF(Z286=200,サマリー!$B$10,IF(Z286=100,サマリー!$B$11,0)))+IF(AA286="",0,AA286*サマリー!$B$12)</f>
        <v>0</v>
      </c>
      <c r="E286" s="27">
        <f t="shared" si="8"/>
        <v>0</v>
      </c>
      <c r="I286" s="30"/>
      <c r="J286" s="30"/>
      <c r="K286" s="30"/>
      <c r="L286" s="30"/>
      <c r="M286" s="30"/>
      <c r="N286" s="30"/>
      <c r="O286" s="30"/>
      <c r="P286" s="30"/>
      <c r="Q286" s="31"/>
      <c r="R286" s="31"/>
      <c r="S286" s="31"/>
      <c r="T286" s="32"/>
      <c r="U286" s="32"/>
      <c r="V286" s="32"/>
      <c r="W286" s="32"/>
      <c r="X286" s="32"/>
      <c r="Y286" s="33"/>
      <c r="Z286" s="33"/>
      <c r="AA286" s="33"/>
    </row>
    <row r="287" spans="1:27">
      <c r="A287" s="29"/>
      <c r="B287" s="19">
        <f t="shared" si="9"/>
        <v>46327</v>
      </c>
      <c r="C287" s="27">
        <f>I287+J287+K287+L287+M287+N287+O287+P287+IF(Q287="",0,Q287*サマリー!$B$9)+IF(R287="",0,IF(R287=200,サマリー!$B$10,IF(R287=100,サマリー!$B$11,0)))+IF(S287="",0,S287*サマリー!$B$12)</f>
        <v>0</v>
      </c>
      <c r="D287" s="27">
        <f>T287+U287+V287+W287+X287+IF(Y287="",0,Y287*サマリー!$B$9)+IF(Z287="",0,IF(Z287=200,サマリー!$B$10,IF(Z287=100,サマリー!$B$11,0)))+IF(AA287="",0,AA287*サマリー!$B$12)</f>
        <v>0</v>
      </c>
      <c r="E287" s="27">
        <f t="shared" si="8"/>
        <v>0</v>
      </c>
      <c r="I287" s="30"/>
      <c r="J287" s="30"/>
      <c r="K287" s="30"/>
      <c r="L287" s="30"/>
      <c r="M287" s="30"/>
      <c r="N287" s="30"/>
      <c r="O287" s="30"/>
      <c r="P287" s="30"/>
      <c r="Q287" s="31"/>
      <c r="R287" s="31"/>
      <c r="S287" s="31"/>
      <c r="T287" s="32"/>
      <c r="U287" s="32"/>
      <c r="V287" s="32"/>
      <c r="W287" s="32"/>
      <c r="X287" s="32"/>
      <c r="Y287" s="33"/>
      <c r="Z287" s="33"/>
      <c r="AA287" s="33"/>
    </row>
    <row r="288" spans="1:27">
      <c r="A288" s="29"/>
      <c r="B288" s="19">
        <f t="shared" si="9"/>
        <v>46327</v>
      </c>
      <c r="C288" s="27">
        <f>I288+J288+K288+L288+M288+N288+O288+P288+IF(Q288="",0,Q288*サマリー!$B$9)+IF(R288="",0,IF(R288=200,サマリー!$B$10,IF(R288=100,サマリー!$B$11,0)))+IF(S288="",0,S288*サマリー!$B$12)</f>
        <v>0</v>
      </c>
      <c r="D288" s="27">
        <f>T288+U288+V288+W288+X288+IF(Y288="",0,Y288*サマリー!$B$9)+IF(Z288="",0,IF(Z288=200,サマリー!$B$10,IF(Z288=100,サマリー!$B$11,0)))+IF(AA288="",0,AA288*サマリー!$B$12)</f>
        <v>0</v>
      </c>
      <c r="E288" s="27">
        <f t="shared" si="8"/>
        <v>0</v>
      </c>
      <c r="I288" s="30"/>
      <c r="J288" s="30"/>
      <c r="K288" s="30"/>
      <c r="L288" s="30"/>
      <c r="M288" s="30"/>
      <c r="N288" s="30"/>
      <c r="O288" s="30"/>
      <c r="P288" s="30"/>
      <c r="Q288" s="31"/>
      <c r="R288" s="31"/>
      <c r="S288" s="31"/>
      <c r="T288" s="32"/>
      <c r="U288" s="32"/>
      <c r="V288" s="32"/>
      <c r="W288" s="32"/>
      <c r="X288" s="32"/>
      <c r="Y288" s="33"/>
      <c r="Z288" s="33"/>
      <c r="AA288" s="33"/>
    </row>
    <row r="289" spans="1:27">
      <c r="A289" s="29"/>
      <c r="B289" s="19">
        <f t="shared" si="9"/>
        <v>46327</v>
      </c>
      <c r="C289" s="27">
        <f>I289+J289+K289+L289+M289+N289+O289+P289+IF(Q289="",0,Q289*サマリー!$B$9)+IF(R289="",0,IF(R289=200,サマリー!$B$10,IF(R289=100,サマリー!$B$11,0)))+IF(S289="",0,S289*サマリー!$B$12)</f>
        <v>0</v>
      </c>
      <c r="D289" s="27">
        <f>T289+U289+V289+W289+X289+IF(Y289="",0,Y289*サマリー!$B$9)+IF(Z289="",0,IF(Z289=200,サマリー!$B$10,IF(Z289=100,サマリー!$B$11,0)))+IF(AA289="",0,AA289*サマリー!$B$12)</f>
        <v>0</v>
      </c>
      <c r="E289" s="27">
        <f t="shared" si="8"/>
        <v>0</v>
      </c>
      <c r="I289" s="30"/>
      <c r="J289" s="30"/>
      <c r="K289" s="30"/>
      <c r="L289" s="30"/>
      <c r="M289" s="30"/>
      <c r="N289" s="30"/>
      <c r="O289" s="30"/>
      <c r="P289" s="30"/>
      <c r="Q289" s="31"/>
      <c r="R289" s="31"/>
      <c r="S289" s="31"/>
      <c r="T289" s="32"/>
      <c r="U289" s="32"/>
      <c r="V289" s="32"/>
      <c r="W289" s="32"/>
      <c r="X289" s="32"/>
      <c r="Y289" s="33"/>
      <c r="Z289" s="33"/>
      <c r="AA289" s="33"/>
    </row>
    <row r="290" spans="1:27">
      <c r="A290" s="29"/>
      <c r="B290" s="19">
        <f t="shared" si="9"/>
        <v>46327</v>
      </c>
      <c r="C290" s="27">
        <f>I290+J290+K290+L290+M290+N290+O290+P290+IF(Q290="",0,Q290*サマリー!$B$9)+IF(R290="",0,IF(R290=200,サマリー!$B$10,IF(R290=100,サマリー!$B$11,0)))+IF(S290="",0,S290*サマリー!$B$12)</f>
        <v>0</v>
      </c>
      <c r="D290" s="27">
        <f>T290+U290+V290+W290+X290+IF(Y290="",0,Y290*サマリー!$B$9)+IF(Z290="",0,IF(Z290=200,サマリー!$B$10,IF(Z290=100,サマリー!$B$11,0)))+IF(AA290="",0,AA290*サマリー!$B$12)</f>
        <v>0</v>
      </c>
      <c r="E290" s="27">
        <f t="shared" si="8"/>
        <v>0</v>
      </c>
      <c r="I290" s="30"/>
      <c r="J290" s="30"/>
      <c r="K290" s="30"/>
      <c r="L290" s="30"/>
      <c r="M290" s="30"/>
      <c r="N290" s="30"/>
      <c r="O290" s="30"/>
      <c r="P290" s="30"/>
      <c r="Q290" s="31"/>
      <c r="R290" s="31"/>
      <c r="S290" s="31"/>
      <c r="T290" s="32"/>
      <c r="U290" s="32"/>
      <c r="V290" s="32"/>
      <c r="W290" s="32"/>
      <c r="X290" s="32"/>
      <c r="Y290" s="33"/>
      <c r="Z290" s="33"/>
      <c r="AA290" s="33"/>
    </row>
    <row r="291" spans="1:27">
      <c r="A291" s="29"/>
      <c r="B291" s="19">
        <f t="shared" si="9"/>
        <v>46327</v>
      </c>
      <c r="C291" s="27">
        <f>I291+J291+K291+L291+M291+N291+O291+P291+IF(Q291="",0,Q291*サマリー!$B$9)+IF(R291="",0,IF(R291=200,サマリー!$B$10,IF(R291=100,サマリー!$B$11,0)))+IF(S291="",0,S291*サマリー!$B$12)</f>
        <v>0</v>
      </c>
      <c r="D291" s="27">
        <f>T291+U291+V291+W291+X291+IF(Y291="",0,Y291*サマリー!$B$9)+IF(Z291="",0,IF(Z291=200,サマリー!$B$10,IF(Z291=100,サマリー!$B$11,0)))+IF(AA291="",0,AA291*サマリー!$B$12)</f>
        <v>0</v>
      </c>
      <c r="E291" s="27">
        <f t="shared" si="8"/>
        <v>0</v>
      </c>
      <c r="I291" s="30"/>
      <c r="J291" s="30"/>
      <c r="K291" s="30"/>
      <c r="L291" s="30"/>
      <c r="M291" s="30"/>
      <c r="N291" s="30"/>
      <c r="O291" s="30"/>
      <c r="P291" s="30"/>
      <c r="Q291" s="31"/>
      <c r="R291" s="31"/>
      <c r="S291" s="31"/>
      <c r="T291" s="32"/>
      <c r="U291" s="32"/>
      <c r="V291" s="32"/>
      <c r="W291" s="32"/>
      <c r="X291" s="32"/>
      <c r="Y291" s="33"/>
      <c r="Z291" s="33"/>
      <c r="AA291" s="33"/>
    </row>
    <row r="292" spans="1:27">
      <c r="A292" s="29"/>
      <c r="B292" s="19">
        <f t="shared" si="9"/>
        <v>46327</v>
      </c>
      <c r="C292" s="27">
        <f>I292+J292+K292+L292+M292+N292+O292+P292+IF(Q292="",0,Q292*サマリー!$B$9)+IF(R292="",0,IF(R292=200,サマリー!$B$10,IF(R292=100,サマリー!$B$11,0)))+IF(S292="",0,S292*サマリー!$B$12)</f>
        <v>0</v>
      </c>
      <c r="D292" s="27">
        <f>T292+U292+V292+W292+X292+IF(Y292="",0,Y292*サマリー!$B$9)+IF(Z292="",0,IF(Z292=200,サマリー!$B$10,IF(Z292=100,サマリー!$B$11,0)))+IF(AA292="",0,AA292*サマリー!$B$12)</f>
        <v>0</v>
      </c>
      <c r="E292" s="27">
        <f t="shared" si="8"/>
        <v>0</v>
      </c>
      <c r="I292" s="30"/>
      <c r="J292" s="30"/>
      <c r="K292" s="30"/>
      <c r="L292" s="30"/>
      <c r="M292" s="30"/>
      <c r="N292" s="30"/>
      <c r="O292" s="30"/>
      <c r="P292" s="30"/>
      <c r="Q292" s="31"/>
      <c r="R292" s="31"/>
      <c r="S292" s="31"/>
      <c r="T292" s="32"/>
      <c r="U292" s="32"/>
      <c r="V292" s="32"/>
      <c r="W292" s="32"/>
      <c r="X292" s="32"/>
      <c r="Y292" s="33"/>
      <c r="Z292" s="33"/>
      <c r="AA292" s="33"/>
    </row>
    <row r="293" spans="1:27">
      <c r="A293" s="29"/>
      <c r="B293" s="19">
        <f t="shared" si="9"/>
        <v>46327</v>
      </c>
      <c r="C293" s="27">
        <f>I293+J293+K293+L293+M293+N293+O293+P293+IF(Q293="",0,Q293*サマリー!$B$9)+IF(R293="",0,IF(R293=200,サマリー!$B$10,IF(R293=100,サマリー!$B$11,0)))+IF(S293="",0,S293*サマリー!$B$12)</f>
        <v>0</v>
      </c>
      <c r="D293" s="27">
        <f>T293+U293+V293+W293+X293+IF(Y293="",0,Y293*サマリー!$B$9)+IF(Z293="",0,IF(Z293=200,サマリー!$B$10,IF(Z293=100,サマリー!$B$11,0)))+IF(AA293="",0,AA293*サマリー!$B$12)</f>
        <v>0</v>
      </c>
      <c r="E293" s="27">
        <f t="shared" si="8"/>
        <v>0</v>
      </c>
      <c r="I293" s="30"/>
      <c r="J293" s="30"/>
      <c r="K293" s="30"/>
      <c r="L293" s="30"/>
      <c r="M293" s="30"/>
      <c r="N293" s="30"/>
      <c r="O293" s="30"/>
      <c r="P293" s="30"/>
      <c r="Q293" s="31"/>
      <c r="R293" s="31"/>
      <c r="S293" s="31"/>
      <c r="T293" s="32"/>
      <c r="U293" s="32"/>
      <c r="V293" s="32"/>
      <c r="W293" s="32"/>
      <c r="X293" s="32"/>
      <c r="Y293" s="33"/>
      <c r="Z293" s="33"/>
      <c r="AA293" s="33"/>
    </row>
    <row r="294" spans="1:27">
      <c r="A294" s="29"/>
      <c r="B294" s="19">
        <f t="shared" si="9"/>
        <v>46327</v>
      </c>
      <c r="C294" s="27">
        <f>I294+J294+K294+L294+M294+N294+O294+P294+IF(Q294="",0,Q294*サマリー!$B$9)+IF(R294="",0,IF(R294=200,サマリー!$B$10,IF(R294=100,サマリー!$B$11,0)))+IF(S294="",0,S294*サマリー!$B$12)</f>
        <v>0</v>
      </c>
      <c r="D294" s="27">
        <f>T294+U294+V294+W294+X294+IF(Y294="",0,Y294*サマリー!$B$9)+IF(Z294="",0,IF(Z294=200,サマリー!$B$10,IF(Z294=100,サマリー!$B$11,0)))+IF(AA294="",0,AA294*サマリー!$B$12)</f>
        <v>0</v>
      </c>
      <c r="E294" s="27">
        <f t="shared" si="8"/>
        <v>0</v>
      </c>
      <c r="I294" s="30"/>
      <c r="J294" s="30"/>
      <c r="K294" s="30"/>
      <c r="L294" s="30"/>
      <c r="M294" s="30"/>
      <c r="N294" s="30"/>
      <c r="O294" s="30"/>
      <c r="P294" s="30"/>
      <c r="Q294" s="31"/>
      <c r="R294" s="31"/>
      <c r="S294" s="31"/>
      <c r="T294" s="32"/>
      <c r="U294" s="32"/>
      <c r="V294" s="32"/>
      <c r="W294" s="32"/>
      <c r="X294" s="32"/>
      <c r="Y294" s="33"/>
      <c r="Z294" s="33"/>
      <c r="AA294" s="33"/>
    </row>
    <row r="295" spans="1:27">
      <c r="A295" s="29"/>
      <c r="B295" s="19">
        <f t="shared" si="9"/>
        <v>46327</v>
      </c>
      <c r="C295" s="27">
        <f>I295+J295+K295+L295+M295+N295+O295+P295+IF(Q295="",0,Q295*サマリー!$B$9)+IF(R295="",0,IF(R295=200,サマリー!$B$10,IF(R295=100,サマリー!$B$11,0)))+IF(S295="",0,S295*サマリー!$B$12)</f>
        <v>0</v>
      </c>
      <c r="D295" s="27">
        <f>T295+U295+V295+W295+X295+IF(Y295="",0,Y295*サマリー!$B$9)+IF(Z295="",0,IF(Z295=200,サマリー!$B$10,IF(Z295=100,サマリー!$B$11,0)))+IF(AA295="",0,AA295*サマリー!$B$12)</f>
        <v>0</v>
      </c>
      <c r="E295" s="27">
        <f t="shared" si="8"/>
        <v>0</v>
      </c>
      <c r="I295" s="30"/>
      <c r="J295" s="30"/>
      <c r="K295" s="30"/>
      <c r="L295" s="30"/>
      <c r="M295" s="30"/>
      <c r="N295" s="30"/>
      <c r="O295" s="30"/>
      <c r="P295" s="30"/>
      <c r="Q295" s="31"/>
      <c r="R295" s="31"/>
      <c r="S295" s="31"/>
      <c r="T295" s="32"/>
      <c r="U295" s="32"/>
      <c r="V295" s="32"/>
      <c r="W295" s="32"/>
      <c r="X295" s="32"/>
      <c r="Y295" s="33"/>
      <c r="Z295" s="33"/>
      <c r="AA295" s="33"/>
    </row>
    <row r="296" spans="1:27">
      <c r="A296" s="29"/>
      <c r="B296" s="19">
        <f t="shared" si="9"/>
        <v>46327</v>
      </c>
      <c r="C296" s="27">
        <f>I296+J296+K296+L296+M296+N296+O296+P296+IF(Q296="",0,Q296*サマリー!$B$9)+IF(R296="",0,IF(R296=200,サマリー!$B$10,IF(R296=100,サマリー!$B$11,0)))+IF(S296="",0,S296*サマリー!$B$12)</f>
        <v>0</v>
      </c>
      <c r="D296" s="27">
        <f>T296+U296+V296+W296+X296+IF(Y296="",0,Y296*サマリー!$B$9)+IF(Z296="",0,IF(Z296=200,サマリー!$B$10,IF(Z296=100,サマリー!$B$11,0)))+IF(AA296="",0,AA296*サマリー!$B$12)</f>
        <v>0</v>
      </c>
      <c r="E296" s="27">
        <f t="shared" si="8"/>
        <v>0</v>
      </c>
      <c r="I296" s="30"/>
      <c r="J296" s="30"/>
      <c r="K296" s="30"/>
      <c r="L296" s="30"/>
      <c r="M296" s="30"/>
      <c r="N296" s="30"/>
      <c r="O296" s="30"/>
      <c r="P296" s="30"/>
      <c r="Q296" s="31"/>
      <c r="R296" s="31"/>
      <c r="S296" s="31"/>
      <c r="T296" s="32"/>
      <c r="U296" s="32"/>
      <c r="V296" s="32"/>
      <c r="W296" s="32"/>
      <c r="X296" s="32"/>
      <c r="Y296" s="33"/>
      <c r="Z296" s="33"/>
      <c r="AA296" s="33"/>
    </row>
    <row r="297" spans="1:27">
      <c r="A297" s="29"/>
      <c r="B297" s="19">
        <f t="shared" si="9"/>
        <v>46327</v>
      </c>
      <c r="C297" s="27">
        <f>I297+J297+K297+L297+M297+N297+O297+P297+IF(Q297="",0,Q297*サマリー!$B$9)+IF(R297="",0,IF(R297=200,サマリー!$B$10,IF(R297=100,サマリー!$B$11,0)))+IF(S297="",0,S297*サマリー!$B$12)</f>
        <v>0</v>
      </c>
      <c r="D297" s="27">
        <f>T297+U297+V297+W297+X297+IF(Y297="",0,Y297*サマリー!$B$9)+IF(Z297="",0,IF(Z297=200,サマリー!$B$10,IF(Z297=100,サマリー!$B$11,0)))+IF(AA297="",0,AA297*サマリー!$B$12)</f>
        <v>0</v>
      </c>
      <c r="E297" s="27">
        <f t="shared" si="8"/>
        <v>0</v>
      </c>
      <c r="I297" s="30"/>
      <c r="J297" s="30"/>
      <c r="K297" s="30"/>
      <c r="L297" s="30"/>
      <c r="M297" s="30"/>
      <c r="N297" s="30"/>
      <c r="O297" s="30"/>
      <c r="P297" s="30"/>
      <c r="Q297" s="31"/>
      <c r="R297" s="31"/>
      <c r="S297" s="31"/>
      <c r="T297" s="32"/>
      <c r="U297" s="32"/>
      <c r="V297" s="32"/>
      <c r="W297" s="32"/>
      <c r="X297" s="32"/>
      <c r="Y297" s="33"/>
      <c r="Z297" s="33"/>
      <c r="AA297" s="33"/>
    </row>
    <row r="298" spans="1:27">
      <c r="A298" s="29"/>
      <c r="B298" s="19">
        <f t="shared" si="9"/>
        <v>46327</v>
      </c>
      <c r="C298" s="27">
        <f>I298+J298+K298+L298+M298+N298+O298+P298+IF(Q298="",0,Q298*サマリー!$B$9)+IF(R298="",0,IF(R298=200,サマリー!$B$10,IF(R298=100,サマリー!$B$11,0)))+IF(S298="",0,S298*サマリー!$B$12)</f>
        <v>0</v>
      </c>
      <c r="D298" s="27">
        <f>T298+U298+V298+W298+X298+IF(Y298="",0,Y298*サマリー!$B$9)+IF(Z298="",0,IF(Z298=200,サマリー!$B$10,IF(Z298=100,サマリー!$B$11,0)))+IF(AA298="",0,AA298*サマリー!$B$12)</f>
        <v>0</v>
      </c>
      <c r="E298" s="27">
        <f t="shared" si="8"/>
        <v>0</v>
      </c>
      <c r="I298" s="30"/>
      <c r="J298" s="30"/>
      <c r="K298" s="30"/>
      <c r="L298" s="30"/>
      <c r="M298" s="30"/>
      <c r="N298" s="30"/>
      <c r="O298" s="30"/>
      <c r="P298" s="30"/>
      <c r="Q298" s="31"/>
      <c r="R298" s="31"/>
      <c r="S298" s="31"/>
      <c r="T298" s="32"/>
      <c r="U298" s="32"/>
      <c r="V298" s="32"/>
      <c r="W298" s="32"/>
      <c r="X298" s="32"/>
      <c r="Y298" s="33"/>
      <c r="Z298" s="33"/>
      <c r="AA298" s="33"/>
    </row>
    <row r="299" spans="1:27">
      <c r="A299" s="29"/>
      <c r="B299" s="19">
        <f t="shared" si="9"/>
        <v>46327</v>
      </c>
      <c r="C299" s="27">
        <f>I299+J299+K299+L299+M299+N299+O299+P299+IF(Q299="",0,Q299*サマリー!$B$9)+IF(R299="",0,IF(R299=200,サマリー!$B$10,IF(R299=100,サマリー!$B$11,0)))+IF(S299="",0,S299*サマリー!$B$12)</f>
        <v>0</v>
      </c>
      <c r="D299" s="27">
        <f>T299+U299+V299+W299+X299+IF(Y299="",0,Y299*サマリー!$B$9)+IF(Z299="",0,IF(Z299=200,サマリー!$B$10,IF(Z299=100,サマリー!$B$11,0)))+IF(AA299="",0,AA299*サマリー!$B$12)</f>
        <v>0</v>
      </c>
      <c r="E299" s="27">
        <f t="shared" si="8"/>
        <v>0</v>
      </c>
      <c r="I299" s="30"/>
      <c r="J299" s="30"/>
      <c r="K299" s="30"/>
      <c r="L299" s="30"/>
      <c r="M299" s="30"/>
      <c r="N299" s="30"/>
      <c r="O299" s="30"/>
      <c r="P299" s="30"/>
      <c r="Q299" s="31"/>
      <c r="R299" s="31"/>
      <c r="S299" s="31"/>
      <c r="T299" s="32"/>
      <c r="U299" s="32"/>
      <c r="V299" s="32"/>
      <c r="W299" s="32"/>
      <c r="X299" s="32"/>
      <c r="Y299" s="33"/>
      <c r="Z299" s="33"/>
      <c r="AA299" s="33"/>
    </row>
    <row r="300" spans="1:27">
      <c r="A300" s="29"/>
      <c r="B300" s="19">
        <f t="shared" si="9"/>
        <v>46327</v>
      </c>
      <c r="C300" s="27">
        <f>I300+J300+K300+L300+M300+N300+O300+P300+IF(Q300="",0,Q300*サマリー!$B$9)+IF(R300="",0,IF(R300=200,サマリー!$B$10,IF(R300=100,サマリー!$B$11,0)))+IF(S300="",0,S300*サマリー!$B$12)</f>
        <v>0</v>
      </c>
      <c r="D300" s="27">
        <f>T300+U300+V300+W300+X300+IF(Y300="",0,Y300*サマリー!$B$9)+IF(Z300="",0,IF(Z300=200,サマリー!$B$10,IF(Z300=100,サマリー!$B$11,0)))+IF(AA300="",0,AA300*サマリー!$B$12)</f>
        <v>0</v>
      </c>
      <c r="E300" s="27">
        <f t="shared" si="8"/>
        <v>0</v>
      </c>
      <c r="I300" s="30"/>
      <c r="J300" s="30"/>
      <c r="K300" s="30"/>
      <c r="L300" s="30"/>
      <c r="M300" s="30"/>
      <c r="N300" s="30"/>
      <c r="O300" s="30"/>
      <c r="P300" s="30"/>
      <c r="Q300" s="31"/>
      <c r="R300" s="31"/>
      <c r="S300" s="31"/>
      <c r="T300" s="32"/>
      <c r="U300" s="32"/>
      <c r="V300" s="32"/>
      <c r="W300" s="32"/>
      <c r="X300" s="32"/>
      <c r="Y300" s="33"/>
      <c r="Z300" s="33"/>
      <c r="AA300" s="33"/>
    </row>
    <row r="301" spans="1:27">
      <c r="A301" s="29"/>
      <c r="B301" s="19">
        <f t="shared" si="9"/>
        <v>46327</v>
      </c>
      <c r="C301" s="27">
        <f>I301+J301+K301+L301+M301+N301+O301+P301+IF(Q301="",0,Q301*サマリー!$B$9)+IF(R301="",0,IF(R301=200,サマリー!$B$10,IF(R301=100,サマリー!$B$11,0)))+IF(S301="",0,S301*サマリー!$B$12)</f>
        <v>0</v>
      </c>
      <c r="D301" s="27">
        <f>T301+U301+V301+W301+X301+IF(Y301="",0,Y301*サマリー!$B$9)+IF(Z301="",0,IF(Z301=200,サマリー!$B$10,IF(Z301=100,サマリー!$B$11,0)))+IF(AA301="",0,AA301*サマリー!$B$12)</f>
        <v>0</v>
      </c>
      <c r="E301" s="27">
        <f t="shared" si="8"/>
        <v>0</v>
      </c>
      <c r="I301" s="30"/>
      <c r="J301" s="30"/>
      <c r="K301" s="30"/>
      <c r="L301" s="30"/>
      <c r="M301" s="30"/>
      <c r="N301" s="30"/>
      <c r="O301" s="30"/>
      <c r="P301" s="30"/>
      <c r="Q301" s="31"/>
      <c r="R301" s="31"/>
      <c r="S301" s="31"/>
      <c r="T301" s="32"/>
      <c r="U301" s="32"/>
      <c r="V301" s="32"/>
      <c r="W301" s="32"/>
      <c r="X301" s="32"/>
      <c r="Y301" s="33"/>
      <c r="Z301" s="33"/>
      <c r="AA301" s="33"/>
    </row>
    <row r="302" spans="1:27">
      <c r="A302" s="29"/>
      <c r="B302" s="19">
        <f t="shared" si="9"/>
        <v>46327</v>
      </c>
      <c r="C302" s="27">
        <f>I302+J302+K302+L302+M302+N302+O302+P302+IF(Q302="",0,Q302*サマリー!$B$9)+IF(R302="",0,IF(R302=200,サマリー!$B$10,IF(R302=100,サマリー!$B$11,0)))+IF(S302="",0,S302*サマリー!$B$12)</f>
        <v>0</v>
      </c>
      <c r="D302" s="27">
        <f>T302+U302+V302+W302+X302+IF(Y302="",0,Y302*サマリー!$B$9)+IF(Z302="",0,IF(Z302=200,サマリー!$B$10,IF(Z302=100,サマリー!$B$11,0)))+IF(AA302="",0,AA302*サマリー!$B$12)</f>
        <v>0</v>
      </c>
      <c r="E302" s="27">
        <f t="shared" si="8"/>
        <v>0</v>
      </c>
      <c r="I302" s="30"/>
      <c r="J302" s="30"/>
      <c r="K302" s="30"/>
      <c r="L302" s="30"/>
      <c r="M302" s="30"/>
      <c r="N302" s="30"/>
      <c r="O302" s="30"/>
      <c r="P302" s="30"/>
      <c r="Q302" s="31"/>
      <c r="R302" s="31"/>
      <c r="S302" s="31"/>
      <c r="T302" s="32"/>
      <c r="U302" s="32"/>
      <c r="V302" s="32"/>
      <c r="W302" s="32"/>
      <c r="X302" s="32"/>
      <c r="Y302" s="33"/>
      <c r="Z302" s="33"/>
      <c r="AA302" s="33"/>
    </row>
    <row r="303" spans="1:27">
      <c r="A303" s="29"/>
      <c r="B303" s="19">
        <f t="shared" si="9"/>
        <v>46327</v>
      </c>
      <c r="C303" s="27">
        <f>I303+J303+K303+L303+M303+N303+O303+P303+IF(Q303="",0,Q303*サマリー!$B$9)+IF(R303="",0,IF(R303=200,サマリー!$B$10,IF(R303=100,サマリー!$B$11,0)))+IF(S303="",0,S303*サマリー!$B$12)</f>
        <v>0</v>
      </c>
      <c r="D303" s="27">
        <f>T303+U303+V303+W303+X303+IF(Y303="",0,Y303*サマリー!$B$9)+IF(Z303="",0,IF(Z303=200,サマリー!$B$10,IF(Z303=100,サマリー!$B$11,0)))+IF(AA303="",0,AA303*サマリー!$B$12)</f>
        <v>0</v>
      </c>
      <c r="E303" s="27">
        <f t="shared" si="8"/>
        <v>0</v>
      </c>
      <c r="I303" s="30"/>
      <c r="J303" s="30"/>
      <c r="K303" s="30"/>
      <c r="L303" s="30"/>
      <c r="M303" s="30"/>
      <c r="N303" s="30"/>
      <c r="O303" s="30"/>
      <c r="P303" s="30"/>
      <c r="Q303" s="31"/>
      <c r="R303" s="31"/>
      <c r="S303" s="31"/>
      <c r="T303" s="32"/>
      <c r="U303" s="32"/>
      <c r="V303" s="32"/>
      <c r="W303" s="32"/>
      <c r="X303" s="32"/>
      <c r="Y303" s="33"/>
      <c r="Z303" s="33"/>
      <c r="AA303" s="33"/>
    </row>
    <row r="304" spans="1:27">
      <c r="A304" s="29"/>
      <c r="B304" s="19">
        <f t="shared" si="9"/>
        <v>46327</v>
      </c>
      <c r="C304" s="27">
        <f>I304+J304+K304+L304+M304+N304+O304+P304+IF(Q304="",0,Q304*サマリー!$B$9)+IF(R304="",0,IF(R304=200,サマリー!$B$10,IF(R304=100,サマリー!$B$11,0)))+IF(S304="",0,S304*サマリー!$B$12)</f>
        <v>0</v>
      </c>
      <c r="D304" s="27">
        <f>T304+U304+V304+W304+X304+IF(Y304="",0,Y304*サマリー!$B$9)+IF(Z304="",0,IF(Z304=200,サマリー!$B$10,IF(Z304=100,サマリー!$B$11,0)))+IF(AA304="",0,AA304*サマリー!$B$12)</f>
        <v>0</v>
      </c>
      <c r="E304" s="27">
        <f t="shared" si="8"/>
        <v>0</v>
      </c>
      <c r="I304" s="30"/>
      <c r="J304" s="30"/>
      <c r="K304" s="30"/>
      <c r="L304" s="30"/>
      <c r="M304" s="30"/>
      <c r="N304" s="30"/>
      <c r="O304" s="30"/>
      <c r="P304" s="30"/>
      <c r="Q304" s="31"/>
      <c r="R304" s="31"/>
      <c r="S304" s="31"/>
      <c r="T304" s="32"/>
      <c r="U304" s="32"/>
      <c r="V304" s="32"/>
      <c r="W304" s="32"/>
      <c r="X304" s="32"/>
      <c r="Y304" s="33"/>
      <c r="Z304" s="33"/>
      <c r="AA304" s="33"/>
    </row>
    <row r="305" spans="1:27">
      <c r="A305" s="29"/>
      <c r="B305" s="19">
        <f t="shared" si="9"/>
        <v>46327</v>
      </c>
      <c r="C305" s="27">
        <f>I305+J305+K305+L305+M305+N305+O305+P305+IF(Q305="",0,Q305*サマリー!$B$9)+IF(R305="",0,IF(R305=200,サマリー!$B$10,IF(R305=100,サマリー!$B$11,0)))+IF(S305="",0,S305*サマリー!$B$12)</f>
        <v>0</v>
      </c>
      <c r="D305" s="27">
        <f>T305+U305+V305+W305+X305+IF(Y305="",0,Y305*サマリー!$B$9)+IF(Z305="",0,IF(Z305=200,サマリー!$B$10,IF(Z305=100,サマリー!$B$11,0)))+IF(AA305="",0,AA305*サマリー!$B$12)</f>
        <v>0</v>
      </c>
      <c r="E305" s="27">
        <f t="shared" si="8"/>
        <v>0</v>
      </c>
      <c r="I305" s="30"/>
      <c r="J305" s="30"/>
      <c r="K305" s="30"/>
      <c r="L305" s="30"/>
      <c r="M305" s="30"/>
      <c r="N305" s="30"/>
      <c r="O305" s="30"/>
      <c r="P305" s="30"/>
      <c r="Q305" s="31"/>
      <c r="R305" s="31"/>
      <c r="S305" s="31"/>
      <c r="T305" s="32"/>
      <c r="U305" s="32"/>
      <c r="V305" s="32"/>
      <c r="W305" s="32"/>
      <c r="X305" s="32"/>
      <c r="Y305" s="33"/>
      <c r="Z305" s="33"/>
      <c r="AA305" s="33"/>
    </row>
    <row r="306" spans="1:27">
      <c r="A306" s="29"/>
      <c r="B306" s="19">
        <f t="shared" si="9"/>
        <v>46327</v>
      </c>
      <c r="C306" s="27">
        <f>I306+J306+K306+L306+M306+N306+O306+P306+IF(Q306="",0,Q306*サマリー!$B$9)+IF(R306="",0,IF(R306=200,サマリー!$B$10,IF(R306=100,サマリー!$B$11,0)))+IF(S306="",0,S306*サマリー!$B$12)</f>
        <v>0</v>
      </c>
      <c r="D306" s="27">
        <f>T306+U306+V306+W306+X306+IF(Y306="",0,Y306*サマリー!$B$9)+IF(Z306="",0,IF(Z306=200,サマリー!$B$10,IF(Z306=100,サマリー!$B$11,0)))+IF(AA306="",0,AA306*サマリー!$B$12)</f>
        <v>0</v>
      </c>
      <c r="E306" s="27">
        <f t="shared" si="8"/>
        <v>0</v>
      </c>
      <c r="I306" s="30"/>
      <c r="J306" s="30"/>
      <c r="K306" s="30"/>
      <c r="L306" s="30"/>
      <c r="M306" s="30"/>
      <c r="N306" s="30"/>
      <c r="O306" s="30"/>
      <c r="P306" s="30"/>
      <c r="Q306" s="31"/>
      <c r="R306" s="31"/>
      <c r="S306" s="31"/>
      <c r="T306" s="32"/>
      <c r="U306" s="32"/>
      <c r="V306" s="32"/>
      <c r="W306" s="32"/>
      <c r="X306" s="32"/>
      <c r="Y306" s="33"/>
      <c r="Z306" s="33"/>
      <c r="AA306" s="33"/>
    </row>
    <row r="307" spans="1:27">
      <c r="A307" s="29"/>
      <c r="B307" s="19">
        <f t="shared" si="9"/>
        <v>46327</v>
      </c>
      <c r="C307" s="27">
        <f>I307+J307+K307+L307+M307+N307+O307+P307+IF(Q307="",0,Q307*サマリー!$B$9)+IF(R307="",0,IF(R307=200,サマリー!$B$10,IF(R307=100,サマリー!$B$11,0)))+IF(S307="",0,S307*サマリー!$B$12)</f>
        <v>0</v>
      </c>
      <c r="D307" s="27">
        <f>T307+U307+V307+W307+X307+IF(Y307="",0,Y307*サマリー!$B$9)+IF(Z307="",0,IF(Z307=200,サマリー!$B$10,IF(Z307=100,サマリー!$B$11,0)))+IF(AA307="",0,AA307*サマリー!$B$12)</f>
        <v>0</v>
      </c>
      <c r="E307" s="27">
        <f t="shared" si="8"/>
        <v>0</v>
      </c>
      <c r="I307" s="30"/>
      <c r="J307" s="30"/>
      <c r="K307" s="30"/>
      <c r="L307" s="30"/>
      <c r="M307" s="30"/>
      <c r="N307" s="30"/>
      <c r="O307" s="30"/>
      <c r="P307" s="30"/>
      <c r="Q307" s="31"/>
      <c r="R307" s="31"/>
      <c r="S307" s="31"/>
      <c r="T307" s="32"/>
      <c r="U307" s="32"/>
      <c r="V307" s="32"/>
      <c r="W307" s="32"/>
      <c r="X307" s="32"/>
      <c r="Y307" s="33"/>
      <c r="Z307" s="33"/>
      <c r="AA307" s="33"/>
    </row>
    <row r="308" spans="1:27">
      <c r="A308" s="29"/>
      <c r="B308" s="19">
        <f t="shared" si="9"/>
        <v>46327</v>
      </c>
      <c r="C308" s="27">
        <f>I308+J308+K308+L308+M308+N308+O308+P308+IF(Q308="",0,Q308*サマリー!$B$9)+IF(R308="",0,IF(R308=200,サマリー!$B$10,IF(R308=100,サマリー!$B$11,0)))+IF(S308="",0,S308*サマリー!$B$12)</f>
        <v>0</v>
      </c>
      <c r="D308" s="27">
        <f>T308+U308+V308+W308+X308+IF(Y308="",0,Y308*サマリー!$B$9)+IF(Z308="",0,IF(Z308=200,サマリー!$B$10,IF(Z308=100,サマリー!$B$11,0)))+IF(AA308="",0,AA308*サマリー!$B$12)</f>
        <v>0</v>
      </c>
      <c r="E308" s="27">
        <f t="shared" si="8"/>
        <v>0</v>
      </c>
      <c r="I308" s="30"/>
      <c r="J308" s="30"/>
      <c r="K308" s="30"/>
      <c r="L308" s="30"/>
      <c r="M308" s="30"/>
      <c r="N308" s="30"/>
      <c r="O308" s="30"/>
      <c r="P308" s="30"/>
      <c r="Q308" s="31"/>
      <c r="R308" s="31"/>
      <c r="S308" s="31"/>
      <c r="T308" s="32"/>
      <c r="U308" s="32"/>
      <c r="V308" s="32"/>
      <c r="W308" s="32"/>
      <c r="X308" s="32"/>
      <c r="Y308" s="33"/>
      <c r="Z308" s="33"/>
      <c r="AA308" s="33"/>
    </row>
    <row r="309" spans="1:27">
      <c r="A309" s="29"/>
      <c r="B309" s="19">
        <f t="shared" si="9"/>
        <v>46327</v>
      </c>
      <c r="C309" s="27">
        <f>I309+J309+K309+L309+M309+N309+O309+P309+IF(Q309="",0,Q309*サマリー!$B$9)+IF(R309="",0,IF(R309=200,サマリー!$B$10,IF(R309=100,サマリー!$B$11,0)))+IF(S309="",0,S309*サマリー!$B$12)</f>
        <v>0</v>
      </c>
      <c r="D309" s="27">
        <f>T309+U309+V309+W309+X309+IF(Y309="",0,Y309*サマリー!$B$9)+IF(Z309="",0,IF(Z309=200,サマリー!$B$10,IF(Z309=100,サマリー!$B$11,0)))+IF(AA309="",0,AA309*サマリー!$B$12)</f>
        <v>0</v>
      </c>
      <c r="E309" s="27">
        <f t="shared" si="8"/>
        <v>0</v>
      </c>
      <c r="I309" s="30"/>
      <c r="J309" s="30"/>
      <c r="K309" s="30"/>
      <c r="L309" s="30"/>
      <c r="M309" s="30"/>
      <c r="N309" s="30"/>
      <c r="O309" s="30"/>
      <c r="P309" s="30"/>
      <c r="Q309" s="31"/>
      <c r="R309" s="31"/>
      <c r="S309" s="31"/>
      <c r="T309" s="32"/>
      <c r="U309" s="32"/>
      <c r="V309" s="32"/>
      <c r="W309" s="32"/>
      <c r="X309" s="32"/>
      <c r="Y309" s="33"/>
      <c r="Z309" s="33"/>
      <c r="AA309" s="33"/>
    </row>
    <row r="310" spans="1:27">
      <c r="A310" s="29"/>
      <c r="B310" s="19">
        <f t="shared" si="9"/>
        <v>46327</v>
      </c>
      <c r="C310" s="27">
        <f>I310+J310+K310+L310+M310+N310+O310+P310+IF(Q310="",0,Q310*サマリー!$B$9)+IF(R310="",0,IF(R310=200,サマリー!$B$10,IF(R310=100,サマリー!$B$11,0)))+IF(S310="",0,S310*サマリー!$B$12)</f>
        <v>0</v>
      </c>
      <c r="D310" s="27">
        <f>T310+U310+V310+W310+X310+IF(Y310="",0,Y310*サマリー!$B$9)+IF(Z310="",0,IF(Z310=200,サマリー!$B$10,IF(Z310=100,サマリー!$B$11,0)))+IF(AA310="",0,AA310*サマリー!$B$12)</f>
        <v>0</v>
      </c>
      <c r="E310" s="27">
        <f t="shared" si="8"/>
        <v>0</v>
      </c>
      <c r="I310" s="30"/>
      <c r="J310" s="30"/>
      <c r="K310" s="30"/>
      <c r="L310" s="30"/>
      <c r="M310" s="30"/>
      <c r="N310" s="30"/>
      <c r="O310" s="30"/>
      <c r="P310" s="30"/>
      <c r="Q310" s="31"/>
      <c r="R310" s="31"/>
      <c r="S310" s="31"/>
      <c r="T310" s="32"/>
      <c r="U310" s="32"/>
      <c r="V310" s="32"/>
      <c r="W310" s="32"/>
      <c r="X310" s="32"/>
      <c r="Y310" s="33"/>
      <c r="Z310" s="33"/>
      <c r="AA310" s="33"/>
    </row>
    <row r="311" spans="1:27">
      <c r="A311" s="29"/>
      <c r="B311" s="19">
        <f t="shared" si="9"/>
        <v>46327</v>
      </c>
      <c r="C311" s="27">
        <f>I311+J311+K311+L311+M311+N311+O311+P311+IF(Q311="",0,Q311*サマリー!$B$9)+IF(R311="",0,IF(R311=200,サマリー!$B$10,IF(R311=100,サマリー!$B$11,0)))+IF(S311="",0,S311*サマリー!$B$12)</f>
        <v>0</v>
      </c>
      <c r="D311" s="27">
        <f>T311+U311+V311+W311+X311+IF(Y311="",0,Y311*サマリー!$B$9)+IF(Z311="",0,IF(Z311=200,サマリー!$B$10,IF(Z311=100,サマリー!$B$11,0)))+IF(AA311="",0,AA311*サマリー!$B$12)</f>
        <v>0</v>
      </c>
      <c r="E311" s="27">
        <f t="shared" si="8"/>
        <v>0</v>
      </c>
      <c r="I311" s="30"/>
      <c r="J311" s="30"/>
      <c r="K311" s="30"/>
      <c r="L311" s="30"/>
      <c r="M311" s="30"/>
      <c r="N311" s="30"/>
      <c r="O311" s="30"/>
      <c r="P311" s="30"/>
      <c r="Q311" s="31"/>
      <c r="R311" s="31"/>
      <c r="S311" s="31"/>
      <c r="T311" s="32"/>
      <c r="U311" s="32"/>
      <c r="V311" s="32"/>
      <c r="W311" s="32"/>
      <c r="X311" s="32"/>
      <c r="Y311" s="33"/>
      <c r="Z311" s="33"/>
      <c r="AA311" s="33"/>
    </row>
    <row r="312" spans="1:27">
      <c r="A312" s="29"/>
      <c r="B312" s="19">
        <f t="shared" si="9"/>
        <v>46327</v>
      </c>
      <c r="C312" s="27">
        <f>I312+J312+K312+L312+M312+N312+O312+P312+IF(Q312="",0,Q312*サマリー!$B$9)+IF(R312="",0,IF(R312=200,サマリー!$B$10,IF(R312=100,サマリー!$B$11,0)))+IF(S312="",0,S312*サマリー!$B$12)</f>
        <v>0</v>
      </c>
      <c r="D312" s="27">
        <f>T312+U312+V312+W312+X312+IF(Y312="",0,Y312*サマリー!$B$9)+IF(Z312="",0,IF(Z312=200,サマリー!$B$10,IF(Z312=100,サマリー!$B$11,0)))+IF(AA312="",0,AA312*サマリー!$B$12)</f>
        <v>0</v>
      </c>
      <c r="E312" s="27">
        <f t="shared" si="8"/>
        <v>0</v>
      </c>
      <c r="I312" s="30"/>
      <c r="J312" s="30"/>
      <c r="K312" s="30"/>
      <c r="L312" s="30"/>
      <c r="M312" s="30"/>
      <c r="N312" s="30"/>
      <c r="O312" s="30"/>
      <c r="P312" s="30"/>
      <c r="Q312" s="31"/>
      <c r="R312" s="31"/>
      <c r="S312" s="31"/>
      <c r="T312" s="32"/>
      <c r="U312" s="32"/>
      <c r="V312" s="32"/>
      <c r="W312" s="32"/>
      <c r="X312" s="32"/>
      <c r="Y312" s="33"/>
      <c r="Z312" s="33"/>
      <c r="AA312" s="33"/>
    </row>
    <row r="313" spans="1:27">
      <c r="A313" s="29"/>
      <c r="B313" s="19">
        <f t="shared" si="9"/>
        <v>46327</v>
      </c>
      <c r="C313" s="27">
        <f>I313+J313+K313+L313+M313+N313+O313+P313+IF(Q313="",0,Q313*サマリー!$B$9)+IF(R313="",0,IF(R313=200,サマリー!$B$10,IF(R313=100,サマリー!$B$11,0)))+IF(S313="",0,S313*サマリー!$B$12)</f>
        <v>0</v>
      </c>
      <c r="D313" s="27">
        <f>T313+U313+V313+W313+X313+IF(Y313="",0,Y313*サマリー!$B$9)+IF(Z313="",0,IF(Z313=200,サマリー!$B$10,IF(Z313=100,サマリー!$B$11,0)))+IF(AA313="",0,AA313*サマリー!$B$12)</f>
        <v>0</v>
      </c>
      <c r="E313" s="27">
        <f t="shared" si="8"/>
        <v>0</v>
      </c>
      <c r="I313" s="30"/>
      <c r="J313" s="30"/>
      <c r="K313" s="30"/>
      <c r="L313" s="30"/>
      <c r="M313" s="30"/>
      <c r="N313" s="30"/>
      <c r="O313" s="30"/>
      <c r="P313" s="30"/>
      <c r="Q313" s="31"/>
      <c r="R313" s="31"/>
      <c r="S313" s="31"/>
      <c r="T313" s="32"/>
      <c r="U313" s="32"/>
      <c r="V313" s="32"/>
      <c r="W313" s="32"/>
      <c r="X313" s="32"/>
      <c r="Y313" s="33"/>
      <c r="Z313" s="33"/>
      <c r="AA313" s="33"/>
    </row>
    <row r="314" spans="1:27">
      <c r="A314" s="29"/>
      <c r="B314" s="19">
        <f t="shared" si="9"/>
        <v>46327</v>
      </c>
      <c r="C314" s="27">
        <f>I314+J314+K314+L314+M314+N314+O314+P314+IF(Q314="",0,Q314*サマリー!$B$9)+IF(R314="",0,IF(R314=200,サマリー!$B$10,IF(R314=100,サマリー!$B$11,0)))+IF(S314="",0,S314*サマリー!$B$12)</f>
        <v>0</v>
      </c>
      <c r="D314" s="27">
        <f>T314+U314+V314+W314+X314+IF(Y314="",0,Y314*サマリー!$B$9)+IF(Z314="",0,IF(Z314=200,サマリー!$B$10,IF(Z314=100,サマリー!$B$11,0)))+IF(AA314="",0,AA314*サマリー!$B$12)</f>
        <v>0</v>
      </c>
      <c r="E314" s="27">
        <f t="shared" si="8"/>
        <v>0</v>
      </c>
      <c r="I314" s="30"/>
      <c r="J314" s="30"/>
      <c r="K314" s="30"/>
      <c r="L314" s="30"/>
      <c r="M314" s="30"/>
      <c r="N314" s="30"/>
      <c r="O314" s="30"/>
      <c r="P314" s="30"/>
      <c r="Q314" s="31"/>
      <c r="R314" s="31"/>
      <c r="S314" s="31"/>
      <c r="T314" s="32"/>
      <c r="U314" s="32"/>
      <c r="V314" s="32"/>
      <c r="W314" s="32"/>
      <c r="X314" s="32"/>
      <c r="Y314" s="33"/>
      <c r="Z314" s="33"/>
      <c r="AA314" s="33"/>
    </row>
    <row r="315" spans="1:27">
      <c r="A315" s="29"/>
      <c r="B315" s="19">
        <f t="shared" si="9"/>
        <v>46327</v>
      </c>
      <c r="C315" s="27">
        <f>I315+J315+K315+L315+M315+N315+O315+P315+IF(Q315="",0,Q315*サマリー!$B$9)+IF(R315="",0,IF(R315=200,サマリー!$B$10,IF(R315=100,サマリー!$B$11,0)))+IF(S315="",0,S315*サマリー!$B$12)</f>
        <v>0</v>
      </c>
      <c r="D315" s="27">
        <f>T315+U315+V315+W315+X315+IF(Y315="",0,Y315*サマリー!$B$9)+IF(Z315="",0,IF(Z315=200,サマリー!$B$10,IF(Z315=100,サマリー!$B$11,0)))+IF(AA315="",0,AA315*サマリー!$B$12)</f>
        <v>0</v>
      </c>
      <c r="E315" s="27">
        <f t="shared" si="8"/>
        <v>0</v>
      </c>
      <c r="I315" s="30"/>
      <c r="J315" s="30"/>
      <c r="K315" s="30"/>
      <c r="L315" s="30"/>
      <c r="M315" s="30"/>
      <c r="N315" s="30"/>
      <c r="O315" s="30"/>
      <c r="P315" s="30"/>
      <c r="Q315" s="31"/>
      <c r="R315" s="31"/>
      <c r="S315" s="31"/>
      <c r="T315" s="32"/>
      <c r="U315" s="32"/>
      <c r="V315" s="32"/>
      <c r="W315" s="32"/>
      <c r="X315" s="32"/>
      <c r="Y315" s="33"/>
      <c r="Z315" s="33"/>
      <c r="AA315" s="33"/>
    </row>
    <row r="316" spans="1:27">
      <c r="A316" s="29"/>
      <c r="B316" s="19">
        <f t="shared" si="9"/>
        <v>46327</v>
      </c>
      <c r="C316" s="27">
        <f>I316+J316+K316+L316+M316+N316+O316+P316+IF(Q316="",0,Q316*サマリー!$B$9)+IF(R316="",0,IF(R316=200,サマリー!$B$10,IF(R316=100,サマリー!$B$11,0)))+IF(S316="",0,S316*サマリー!$B$12)</f>
        <v>0</v>
      </c>
      <c r="D316" s="27">
        <f>T316+U316+V316+W316+X316+IF(Y316="",0,Y316*サマリー!$B$9)+IF(Z316="",0,IF(Z316=200,サマリー!$B$10,IF(Z316=100,サマリー!$B$11,0)))+IF(AA316="",0,AA316*サマリー!$B$12)</f>
        <v>0</v>
      </c>
      <c r="E316" s="27">
        <f t="shared" si="8"/>
        <v>0</v>
      </c>
      <c r="I316" s="30"/>
      <c r="J316" s="30"/>
      <c r="K316" s="30"/>
      <c r="L316" s="30"/>
      <c r="M316" s="30"/>
      <c r="N316" s="30"/>
      <c r="O316" s="30"/>
      <c r="P316" s="30"/>
      <c r="Q316" s="31"/>
      <c r="R316" s="31"/>
      <c r="S316" s="31"/>
      <c r="T316" s="32"/>
      <c r="U316" s="32"/>
      <c r="V316" s="32"/>
      <c r="W316" s="32"/>
      <c r="X316" s="32"/>
      <c r="Y316" s="33"/>
      <c r="Z316" s="33"/>
      <c r="AA316" s="33"/>
    </row>
    <row r="317" spans="1:27">
      <c r="A317" s="29"/>
      <c r="B317" s="19">
        <f t="shared" si="9"/>
        <v>46327</v>
      </c>
      <c r="C317" s="27">
        <f>I317+J317+K317+L317+M317+N317+O317+P317+IF(Q317="",0,Q317*サマリー!$B$9)+IF(R317="",0,IF(R317=200,サマリー!$B$10,IF(R317=100,サマリー!$B$11,0)))+IF(S317="",0,S317*サマリー!$B$12)</f>
        <v>0</v>
      </c>
      <c r="D317" s="27">
        <f>T317+U317+V317+W317+X317+IF(Y317="",0,Y317*サマリー!$B$9)+IF(Z317="",0,IF(Z317=200,サマリー!$B$10,IF(Z317=100,サマリー!$B$11,0)))+IF(AA317="",0,AA317*サマリー!$B$12)</f>
        <v>0</v>
      </c>
      <c r="E317" s="27">
        <f t="shared" si="8"/>
        <v>0</v>
      </c>
      <c r="I317" s="30"/>
      <c r="J317" s="30"/>
      <c r="K317" s="30"/>
      <c r="L317" s="30"/>
      <c r="M317" s="30"/>
      <c r="N317" s="30"/>
      <c r="O317" s="30"/>
      <c r="P317" s="30"/>
      <c r="Q317" s="31"/>
      <c r="R317" s="31"/>
      <c r="S317" s="31"/>
      <c r="T317" s="32"/>
      <c r="U317" s="32"/>
      <c r="V317" s="32"/>
      <c r="W317" s="32"/>
      <c r="X317" s="32"/>
      <c r="Y317" s="33"/>
      <c r="Z317" s="33"/>
      <c r="AA317" s="33"/>
    </row>
    <row r="318" spans="1:27">
      <c r="A318" s="29"/>
      <c r="B318" s="19">
        <f t="shared" si="9"/>
        <v>46327</v>
      </c>
      <c r="C318" s="27">
        <f>I318+J318+K318+L318+M318+N318+O318+P318+IF(Q318="",0,Q318*サマリー!$B$9)+IF(R318="",0,IF(R318=200,サマリー!$B$10,IF(R318=100,サマリー!$B$11,0)))+IF(S318="",0,S318*サマリー!$B$12)</f>
        <v>0</v>
      </c>
      <c r="D318" s="27">
        <f>T318+U318+V318+W318+X318+IF(Y318="",0,Y318*サマリー!$B$9)+IF(Z318="",0,IF(Z318=200,サマリー!$B$10,IF(Z318=100,サマリー!$B$11,0)))+IF(AA318="",0,AA318*サマリー!$B$12)</f>
        <v>0</v>
      </c>
      <c r="E318" s="27">
        <f t="shared" si="8"/>
        <v>0</v>
      </c>
      <c r="I318" s="30"/>
      <c r="J318" s="30"/>
      <c r="K318" s="30"/>
      <c r="L318" s="30"/>
      <c r="M318" s="30"/>
      <c r="N318" s="30"/>
      <c r="O318" s="30"/>
      <c r="P318" s="30"/>
      <c r="Q318" s="31"/>
      <c r="R318" s="31"/>
      <c r="S318" s="31"/>
      <c r="T318" s="32"/>
      <c r="U318" s="32"/>
      <c r="V318" s="32"/>
      <c r="W318" s="32"/>
      <c r="X318" s="32"/>
      <c r="Y318" s="33"/>
      <c r="Z318" s="33"/>
      <c r="AA318" s="33"/>
    </row>
    <row r="319" spans="1:27">
      <c r="A319" s="29"/>
      <c r="B319" s="19">
        <f t="shared" si="9"/>
        <v>46327</v>
      </c>
      <c r="C319" s="27">
        <f>I319+J319+K319+L319+M319+N319+O319+P319+IF(Q319="",0,Q319*サマリー!$B$9)+IF(R319="",0,IF(R319=200,サマリー!$B$10,IF(R319=100,サマリー!$B$11,0)))+IF(S319="",0,S319*サマリー!$B$12)</f>
        <v>0</v>
      </c>
      <c r="D319" s="27">
        <f>T319+U319+V319+W319+X319+IF(Y319="",0,Y319*サマリー!$B$9)+IF(Z319="",0,IF(Z319=200,サマリー!$B$10,IF(Z319=100,サマリー!$B$11,0)))+IF(AA319="",0,AA319*サマリー!$B$12)</f>
        <v>0</v>
      </c>
      <c r="E319" s="27">
        <f t="shared" si="8"/>
        <v>0</v>
      </c>
      <c r="I319" s="30"/>
      <c r="J319" s="30"/>
      <c r="K319" s="30"/>
      <c r="L319" s="30"/>
      <c r="M319" s="30"/>
      <c r="N319" s="30"/>
      <c r="O319" s="30"/>
      <c r="P319" s="30"/>
      <c r="Q319" s="31"/>
      <c r="R319" s="31"/>
      <c r="S319" s="31"/>
      <c r="T319" s="32"/>
      <c r="U319" s="32"/>
      <c r="V319" s="32"/>
      <c r="W319" s="32"/>
      <c r="X319" s="32"/>
      <c r="Y319" s="33"/>
      <c r="Z319" s="33"/>
      <c r="AA319" s="33"/>
    </row>
    <row r="320" spans="1:27">
      <c r="A320" s="29"/>
      <c r="B320" s="19">
        <f t="shared" si="9"/>
        <v>46327</v>
      </c>
      <c r="C320" s="27">
        <f>I320+J320+K320+L320+M320+N320+O320+P320+IF(Q320="",0,Q320*サマリー!$B$9)+IF(R320="",0,IF(R320=200,サマリー!$B$10,IF(R320=100,サマリー!$B$11,0)))+IF(S320="",0,S320*サマリー!$B$12)</f>
        <v>0</v>
      </c>
      <c r="D320" s="27">
        <f>T320+U320+V320+W320+X320+IF(Y320="",0,Y320*サマリー!$B$9)+IF(Z320="",0,IF(Z320=200,サマリー!$B$10,IF(Z320=100,サマリー!$B$11,0)))+IF(AA320="",0,AA320*サマリー!$B$12)</f>
        <v>0</v>
      </c>
      <c r="E320" s="27">
        <f t="shared" si="8"/>
        <v>0</v>
      </c>
      <c r="I320" s="30"/>
      <c r="J320" s="30"/>
      <c r="K320" s="30"/>
      <c r="L320" s="30"/>
      <c r="M320" s="30"/>
      <c r="N320" s="30"/>
      <c r="O320" s="30"/>
      <c r="P320" s="30"/>
      <c r="Q320" s="31"/>
      <c r="R320" s="31"/>
      <c r="S320" s="31"/>
      <c r="T320" s="32"/>
      <c r="U320" s="32"/>
      <c r="V320" s="32"/>
      <c r="W320" s="32"/>
      <c r="X320" s="32"/>
      <c r="Y320" s="33"/>
      <c r="Z320" s="33"/>
      <c r="AA320" s="33"/>
    </row>
    <row r="321" spans="1:27">
      <c r="A321" s="29"/>
      <c r="B321" s="19">
        <f t="shared" si="9"/>
        <v>46327</v>
      </c>
      <c r="C321" s="27">
        <f>I321+J321+K321+L321+M321+N321+O321+P321+IF(Q321="",0,Q321*サマリー!$B$9)+IF(R321="",0,IF(R321=200,サマリー!$B$10,IF(R321=100,サマリー!$B$11,0)))+IF(S321="",0,S321*サマリー!$B$12)</f>
        <v>0</v>
      </c>
      <c r="D321" s="27">
        <f>T321+U321+V321+W321+X321+IF(Y321="",0,Y321*サマリー!$B$9)+IF(Z321="",0,IF(Z321=200,サマリー!$B$10,IF(Z321=100,サマリー!$B$11,0)))+IF(AA321="",0,AA321*サマリー!$B$12)</f>
        <v>0</v>
      </c>
      <c r="E321" s="27">
        <f t="shared" si="8"/>
        <v>0</v>
      </c>
      <c r="I321" s="30"/>
      <c r="J321" s="30"/>
      <c r="K321" s="30"/>
      <c r="L321" s="30"/>
      <c r="M321" s="30"/>
      <c r="N321" s="30"/>
      <c r="O321" s="30"/>
      <c r="P321" s="30"/>
      <c r="Q321" s="31"/>
      <c r="R321" s="31"/>
      <c r="S321" s="31"/>
      <c r="T321" s="32"/>
      <c r="U321" s="32"/>
      <c r="V321" s="32"/>
      <c r="W321" s="32"/>
      <c r="X321" s="32"/>
      <c r="Y321" s="33"/>
      <c r="Z321" s="33"/>
      <c r="AA321" s="33"/>
    </row>
    <row r="322" spans="1:27">
      <c r="A322" s="29"/>
      <c r="B322" s="19">
        <f t="shared" si="9"/>
        <v>46327</v>
      </c>
      <c r="C322" s="27">
        <f>I322+J322+K322+L322+M322+N322+O322+P322+IF(Q322="",0,Q322*サマリー!$B$9)+IF(R322="",0,IF(R322=200,サマリー!$B$10,IF(R322=100,サマリー!$B$11,0)))+IF(S322="",0,S322*サマリー!$B$12)</f>
        <v>0</v>
      </c>
      <c r="D322" s="27">
        <f>T322+U322+V322+W322+X322+IF(Y322="",0,Y322*サマリー!$B$9)+IF(Z322="",0,IF(Z322=200,サマリー!$B$10,IF(Z322=100,サマリー!$B$11,0)))+IF(AA322="",0,AA322*サマリー!$B$12)</f>
        <v>0</v>
      </c>
      <c r="E322" s="27">
        <f t="shared" si="8"/>
        <v>0</v>
      </c>
      <c r="I322" s="30"/>
      <c r="J322" s="30"/>
      <c r="K322" s="30"/>
      <c r="L322" s="30"/>
      <c r="M322" s="30"/>
      <c r="N322" s="30"/>
      <c r="O322" s="30"/>
      <c r="P322" s="30"/>
      <c r="Q322" s="31"/>
      <c r="R322" s="31"/>
      <c r="S322" s="31"/>
      <c r="T322" s="32"/>
      <c r="U322" s="32"/>
      <c r="V322" s="32"/>
      <c r="W322" s="32"/>
      <c r="X322" s="32"/>
      <c r="Y322" s="33"/>
      <c r="Z322" s="33"/>
      <c r="AA322" s="33"/>
    </row>
    <row r="323" spans="1:27">
      <c r="A323" s="29"/>
      <c r="B323" s="19">
        <f t="shared" si="9"/>
        <v>46327</v>
      </c>
      <c r="C323" s="27">
        <f>I323+J323+K323+L323+M323+N323+O323+P323+IF(Q323="",0,Q323*サマリー!$B$9)+IF(R323="",0,IF(R323=200,サマリー!$B$10,IF(R323=100,サマリー!$B$11,0)))+IF(S323="",0,S323*サマリー!$B$12)</f>
        <v>0</v>
      </c>
      <c r="D323" s="27">
        <f>T323+U323+V323+W323+X323+IF(Y323="",0,Y323*サマリー!$B$9)+IF(Z323="",0,IF(Z323=200,サマリー!$B$10,IF(Z323=100,サマリー!$B$11,0)))+IF(AA323="",0,AA323*サマリー!$B$12)</f>
        <v>0</v>
      </c>
      <c r="E323" s="27">
        <f t="shared" si="8"/>
        <v>0</v>
      </c>
      <c r="I323" s="30"/>
      <c r="J323" s="30"/>
      <c r="K323" s="30"/>
      <c r="L323" s="30"/>
      <c r="M323" s="30"/>
      <c r="N323" s="30"/>
      <c r="O323" s="30"/>
      <c r="P323" s="30"/>
      <c r="Q323" s="31"/>
      <c r="R323" s="31"/>
      <c r="S323" s="31"/>
      <c r="T323" s="32"/>
      <c r="U323" s="32"/>
      <c r="V323" s="32"/>
      <c r="W323" s="32"/>
      <c r="X323" s="32"/>
      <c r="Y323" s="33"/>
      <c r="Z323" s="33"/>
      <c r="AA323" s="33"/>
    </row>
    <row r="324" spans="1:27">
      <c r="A324" s="29"/>
      <c r="B324" s="19">
        <f t="shared" si="9"/>
        <v>46327</v>
      </c>
      <c r="C324" s="27">
        <f>I324+J324+K324+L324+M324+N324+O324+P324+IF(Q324="",0,Q324*サマリー!$B$9)+IF(R324="",0,IF(R324=200,サマリー!$B$10,IF(R324=100,サマリー!$B$11,0)))+IF(S324="",0,S324*サマリー!$B$12)</f>
        <v>0</v>
      </c>
      <c r="D324" s="27">
        <f>T324+U324+V324+W324+X324+IF(Y324="",0,Y324*サマリー!$B$9)+IF(Z324="",0,IF(Z324=200,サマリー!$B$10,IF(Z324=100,サマリー!$B$11,0)))+IF(AA324="",0,AA324*サマリー!$B$12)</f>
        <v>0</v>
      </c>
      <c r="E324" s="27">
        <f t="shared" si="8"/>
        <v>0</v>
      </c>
      <c r="I324" s="30"/>
      <c r="J324" s="30"/>
      <c r="K324" s="30"/>
      <c r="L324" s="30"/>
      <c r="M324" s="30"/>
      <c r="N324" s="30"/>
      <c r="O324" s="30"/>
      <c r="P324" s="30"/>
      <c r="Q324" s="31"/>
      <c r="R324" s="31"/>
      <c r="S324" s="31"/>
      <c r="T324" s="32"/>
      <c r="U324" s="32"/>
      <c r="V324" s="32"/>
      <c r="W324" s="32"/>
      <c r="X324" s="32"/>
      <c r="Y324" s="33"/>
      <c r="Z324" s="33"/>
      <c r="AA324" s="33"/>
    </row>
    <row r="325" spans="1:27">
      <c r="A325" s="29"/>
      <c r="B325" s="19">
        <f t="shared" si="9"/>
        <v>46327</v>
      </c>
      <c r="C325" s="27">
        <f>I325+J325+K325+L325+M325+N325+O325+P325+IF(Q325="",0,Q325*サマリー!$B$9)+IF(R325="",0,IF(R325=200,サマリー!$B$10,IF(R325=100,サマリー!$B$11,0)))+IF(S325="",0,S325*サマリー!$B$12)</f>
        <v>0</v>
      </c>
      <c r="D325" s="27">
        <f>T325+U325+V325+W325+X325+IF(Y325="",0,Y325*サマリー!$B$9)+IF(Z325="",0,IF(Z325=200,サマリー!$B$10,IF(Z325=100,サマリー!$B$11,0)))+IF(AA325="",0,AA325*サマリー!$B$12)</f>
        <v>0</v>
      </c>
      <c r="E325" s="27">
        <f t="shared" si="8"/>
        <v>0</v>
      </c>
      <c r="I325" s="30"/>
      <c r="J325" s="30"/>
      <c r="K325" s="30"/>
      <c r="L325" s="30"/>
      <c r="M325" s="30"/>
      <c r="N325" s="30"/>
      <c r="O325" s="30"/>
      <c r="P325" s="30"/>
      <c r="Q325" s="31"/>
      <c r="R325" s="31"/>
      <c r="S325" s="31"/>
      <c r="T325" s="32"/>
      <c r="U325" s="32"/>
      <c r="V325" s="32"/>
      <c r="W325" s="32"/>
      <c r="X325" s="32"/>
      <c r="Y325" s="33"/>
      <c r="Z325" s="33"/>
      <c r="AA325" s="33"/>
    </row>
    <row r="326" spans="1:27">
      <c r="A326" s="29"/>
      <c r="B326" s="19">
        <f t="shared" si="9"/>
        <v>46327</v>
      </c>
      <c r="C326" s="27">
        <f>I326+J326+K326+L326+M326+N326+O326+P326+IF(Q326="",0,Q326*サマリー!$B$9)+IF(R326="",0,IF(R326=200,サマリー!$B$10,IF(R326=100,サマリー!$B$11,0)))+IF(S326="",0,S326*サマリー!$B$12)</f>
        <v>0</v>
      </c>
      <c r="D326" s="27">
        <f>T326+U326+V326+W326+X326+IF(Y326="",0,Y326*サマリー!$B$9)+IF(Z326="",0,IF(Z326=200,サマリー!$B$10,IF(Z326=100,サマリー!$B$11,0)))+IF(AA326="",0,AA326*サマリー!$B$12)</f>
        <v>0</v>
      </c>
      <c r="E326" s="27">
        <f t="shared" ref="E326:E389" si="10">C326+D326</f>
        <v>0</v>
      </c>
      <c r="I326" s="30"/>
      <c r="J326" s="30"/>
      <c r="K326" s="30"/>
      <c r="L326" s="30"/>
      <c r="M326" s="30"/>
      <c r="N326" s="30"/>
      <c r="O326" s="30"/>
      <c r="P326" s="30"/>
      <c r="Q326" s="31"/>
      <c r="R326" s="31"/>
      <c r="S326" s="31"/>
      <c r="T326" s="32"/>
      <c r="U326" s="32"/>
      <c r="V326" s="32"/>
      <c r="W326" s="32"/>
      <c r="X326" s="32"/>
      <c r="Y326" s="33"/>
      <c r="Z326" s="33"/>
      <c r="AA326" s="33"/>
    </row>
    <row r="327" spans="1:27">
      <c r="A327" s="29"/>
      <c r="B327" s="19">
        <f t="shared" ref="B327:B390" si="11">IF(A327="",B326,IF(A327&lt;DAY(B326),DATE(YEAR(B326),MONTH(B326)+1,A327),DATE(YEAR(B326),MONTH(B326),A327)))</f>
        <v>46327</v>
      </c>
      <c r="C327" s="27">
        <f>I327+J327+K327+L327+M327+N327+O327+P327+IF(Q327="",0,Q327*サマリー!$B$9)+IF(R327="",0,IF(R327=200,サマリー!$B$10,IF(R327=100,サマリー!$B$11,0)))+IF(S327="",0,S327*サマリー!$B$12)</f>
        <v>0</v>
      </c>
      <c r="D327" s="27">
        <f>T327+U327+V327+W327+X327+IF(Y327="",0,Y327*サマリー!$B$9)+IF(Z327="",0,IF(Z327=200,サマリー!$B$10,IF(Z327=100,サマリー!$B$11,0)))+IF(AA327="",0,AA327*サマリー!$B$12)</f>
        <v>0</v>
      </c>
      <c r="E327" s="27">
        <f t="shared" si="10"/>
        <v>0</v>
      </c>
      <c r="I327" s="30"/>
      <c r="J327" s="30"/>
      <c r="K327" s="30"/>
      <c r="L327" s="30"/>
      <c r="M327" s="30"/>
      <c r="N327" s="30"/>
      <c r="O327" s="30"/>
      <c r="P327" s="30"/>
      <c r="Q327" s="31"/>
      <c r="R327" s="31"/>
      <c r="S327" s="31"/>
      <c r="T327" s="32"/>
      <c r="U327" s="32"/>
      <c r="V327" s="32"/>
      <c r="W327" s="32"/>
      <c r="X327" s="32"/>
      <c r="Y327" s="33"/>
      <c r="Z327" s="33"/>
      <c r="AA327" s="33"/>
    </row>
    <row r="328" spans="1:27">
      <c r="A328" s="29"/>
      <c r="B328" s="19">
        <f t="shared" si="11"/>
        <v>46327</v>
      </c>
      <c r="C328" s="27">
        <f>I328+J328+K328+L328+M328+N328+O328+P328+IF(Q328="",0,Q328*サマリー!$B$9)+IF(R328="",0,IF(R328=200,サマリー!$B$10,IF(R328=100,サマリー!$B$11,0)))+IF(S328="",0,S328*サマリー!$B$12)</f>
        <v>0</v>
      </c>
      <c r="D328" s="27">
        <f>T328+U328+V328+W328+X328+IF(Y328="",0,Y328*サマリー!$B$9)+IF(Z328="",0,IF(Z328=200,サマリー!$B$10,IF(Z328=100,サマリー!$B$11,0)))+IF(AA328="",0,AA328*サマリー!$B$12)</f>
        <v>0</v>
      </c>
      <c r="E328" s="27">
        <f t="shared" si="10"/>
        <v>0</v>
      </c>
      <c r="I328" s="30"/>
      <c r="J328" s="30"/>
      <c r="K328" s="30"/>
      <c r="L328" s="30"/>
      <c r="M328" s="30"/>
      <c r="N328" s="30"/>
      <c r="O328" s="30"/>
      <c r="P328" s="30"/>
      <c r="Q328" s="31"/>
      <c r="R328" s="31"/>
      <c r="S328" s="31"/>
      <c r="T328" s="32"/>
      <c r="U328" s="32"/>
      <c r="V328" s="32"/>
      <c r="W328" s="32"/>
      <c r="X328" s="32"/>
      <c r="Y328" s="33"/>
      <c r="Z328" s="33"/>
      <c r="AA328" s="33"/>
    </row>
    <row r="329" spans="1:27">
      <c r="A329" s="29"/>
      <c r="B329" s="19">
        <f t="shared" si="11"/>
        <v>46327</v>
      </c>
      <c r="C329" s="27">
        <f>I329+J329+K329+L329+M329+N329+O329+P329+IF(Q329="",0,Q329*サマリー!$B$9)+IF(R329="",0,IF(R329=200,サマリー!$B$10,IF(R329=100,サマリー!$B$11,0)))+IF(S329="",0,S329*サマリー!$B$12)</f>
        <v>0</v>
      </c>
      <c r="D329" s="27">
        <f>T329+U329+V329+W329+X329+IF(Y329="",0,Y329*サマリー!$B$9)+IF(Z329="",0,IF(Z329=200,サマリー!$B$10,IF(Z329=100,サマリー!$B$11,0)))+IF(AA329="",0,AA329*サマリー!$B$12)</f>
        <v>0</v>
      </c>
      <c r="E329" s="27">
        <f t="shared" si="10"/>
        <v>0</v>
      </c>
      <c r="I329" s="30"/>
      <c r="J329" s="30"/>
      <c r="K329" s="30"/>
      <c r="L329" s="30"/>
      <c r="M329" s="30"/>
      <c r="N329" s="30"/>
      <c r="O329" s="30"/>
      <c r="P329" s="30"/>
      <c r="Q329" s="31"/>
      <c r="R329" s="31"/>
      <c r="S329" s="31"/>
      <c r="T329" s="32"/>
      <c r="U329" s="32"/>
      <c r="V329" s="32"/>
      <c r="W329" s="32"/>
      <c r="X329" s="32"/>
      <c r="Y329" s="33"/>
      <c r="Z329" s="33"/>
      <c r="AA329" s="33"/>
    </row>
    <row r="330" spans="1:27">
      <c r="A330" s="29"/>
      <c r="B330" s="19">
        <f t="shared" si="11"/>
        <v>46327</v>
      </c>
      <c r="C330" s="27">
        <f>I330+J330+K330+L330+M330+N330+O330+P330+IF(Q330="",0,Q330*サマリー!$B$9)+IF(R330="",0,IF(R330=200,サマリー!$B$10,IF(R330=100,サマリー!$B$11,0)))+IF(S330="",0,S330*サマリー!$B$12)</f>
        <v>0</v>
      </c>
      <c r="D330" s="27">
        <f>T330+U330+V330+W330+X330+IF(Y330="",0,Y330*サマリー!$B$9)+IF(Z330="",0,IF(Z330=200,サマリー!$B$10,IF(Z330=100,サマリー!$B$11,0)))+IF(AA330="",0,AA330*サマリー!$B$12)</f>
        <v>0</v>
      </c>
      <c r="E330" s="27">
        <f t="shared" si="10"/>
        <v>0</v>
      </c>
      <c r="I330" s="30"/>
      <c r="J330" s="30"/>
      <c r="K330" s="30"/>
      <c r="L330" s="30"/>
      <c r="M330" s="30"/>
      <c r="N330" s="30"/>
      <c r="O330" s="30"/>
      <c r="P330" s="30"/>
      <c r="Q330" s="31"/>
      <c r="R330" s="31"/>
      <c r="S330" s="31"/>
      <c r="T330" s="32"/>
      <c r="U330" s="32"/>
      <c r="V330" s="32"/>
      <c r="W330" s="32"/>
      <c r="X330" s="32"/>
      <c r="Y330" s="33"/>
      <c r="Z330" s="33"/>
      <c r="AA330" s="33"/>
    </row>
    <row r="331" spans="1:27">
      <c r="A331" s="29"/>
      <c r="B331" s="19">
        <f t="shared" si="11"/>
        <v>46327</v>
      </c>
      <c r="C331" s="27">
        <f>I331+J331+K331+L331+M331+N331+O331+P331+IF(Q331="",0,Q331*サマリー!$B$9)+IF(R331="",0,IF(R331=200,サマリー!$B$10,IF(R331=100,サマリー!$B$11,0)))+IF(S331="",0,S331*サマリー!$B$12)</f>
        <v>0</v>
      </c>
      <c r="D331" s="27">
        <f>T331+U331+V331+W331+X331+IF(Y331="",0,Y331*サマリー!$B$9)+IF(Z331="",0,IF(Z331=200,サマリー!$B$10,IF(Z331=100,サマリー!$B$11,0)))+IF(AA331="",0,AA331*サマリー!$B$12)</f>
        <v>0</v>
      </c>
      <c r="E331" s="27">
        <f t="shared" si="10"/>
        <v>0</v>
      </c>
      <c r="I331" s="30"/>
      <c r="J331" s="30"/>
      <c r="K331" s="30"/>
      <c r="L331" s="30"/>
      <c r="M331" s="30"/>
      <c r="N331" s="30"/>
      <c r="O331" s="30"/>
      <c r="P331" s="30"/>
      <c r="Q331" s="31"/>
      <c r="R331" s="31"/>
      <c r="S331" s="31"/>
      <c r="T331" s="32"/>
      <c r="U331" s="32"/>
      <c r="V331" s="32"/>
      <c r="W331" s="32"/>
      <c r="X331" s="32"/>
      <c r="Y331" s="33"/>
      <c r="Z331" s="33"/>
      <c r="AA331" s="33"/>
    </row>
    <row r="332" spans="1:27">
      <c r="A332" s="29"/>
      <c r="B332" s="19">
        <f t="shared" si="11"/>
        <v>46327</v>
      </c>
      <c r="C332" s="27">
        <f>I332+J332+K332+L332+M332+N332+O332+P332+IF(Q332="",0,Q332*サマリー!$B$9)+IF(R332="",0,IF(R332=200,サマリー!$B$10,IF(R332=100,サマリー!$B$11,0)))+IF(S332="",0,S332*サマリー!$B$12)</f>
        <v>0</v>
      </c>
      <c r="D332" s="27">
        <f>T332+U332+V332+W332+X332+IF(Y332="",0,Y332*サマリー!$B$9)+IF(Z332="",0,IF(Z332=200,サマリー!$B$10,IF(Z332=100,サマリー!$B$11,0)))+IF(AA332="",0,AA332*サマリー!$B$12)</f>
        <v>0</v>
      </c>
      <c r="E332" s="27">
        <f t="shared" si="10"/>
        <v>0</v>
      </c>
      <c r="I332" s="30"/>
      <c r="J332" s="30"/>
      <c r="K332" s="30"/>
      <c r="L332" s="30"/>
      <c r="M332" s="30"/>
      <c r="N332" s="30"/>
      <c r="O332" s="30"/>
      <c r="P332" s="30"/>
      <c r="Q332" s="31"/>
      <c r="R332" s="31"/>
      <c r="S332" s="31"/>
      <c r="T332" s="32"/>
      <c r="U332" s="32"/>
      <c r="V332" s="32"/>
      <c r="W332" s="32"/>
      <c r="X332" s="32"/>
      <c r="Y332" s="33"/>
      <c r="Z332" s="33"/>
      <c r="AA332" s="33"/>
    </row>
    <row r="333" spans="1:27">
      <c r="A333" s="29"/>
      <c r="B333" s="19">
        <f t="shared" si="11"/>
        <v>46327</v>
      </c>
      <c r="C333" s="27">
        <f>I333+J333+K333+L333+M333+N333+O333+P333+IF(Q333="",0,Q333*サマリー!$B$9)+IF(R333="",0,IF(R333=200,サマリー!$B$10,IF(R333=100,サマリー!$B$11,0)))+IF(S333="",0,S333*サマリー!$B$12)</f>
        <v>0</v>
      </c>
      <c r="D333" s="27">
        <f>T333+U333+V333+W333+X333+IF(Y333="",0,Y333*サマリー!$B$9)+IF(Z333="",0,IF(Z333=200,サマリー!$B$10,IF(Z333=100,サマリー!$B$11,0)))+IF(AA333="",0,AA333*サマリー!$B$12)</f>
        <v>0</v>
      </c>
      <c r="E333" s="27">
        <f t="shared" si="10"/>
        <v>0</v>
      </c>
      <c r="I333" s="30"/>
      <c r="J333" s="30"/>
      <c r="K333" s="30"/>
      <c r="L333" s="30"/>
      <c r="M333" s="30"/>
      <c r="N333" s="30"/>
      <c r="O333" s="30"/>
      <c r="P333" s="30"/>
      <c r="Q333" s="31"/>
      <c r="R333" s="31"/>
      <c r="S333" s="31"/>
      <c r="T333" s="32"/>
      <c r="U333" s="32"/>
      <c r="V333" s="32"/>
      <c r="W333" s="32"/>
      <c r="X333" s="32"/>
      <c r="Y333" s="33"/>
      <c r="Z333" s="33"/>
      <c r="AA333" s="33"/>
    </row>
    <row r="334" spans="1:27">
      <c r="A334" s="29"/>
      <c r="B334" s="19">
        <f t="shared" si="11"/>
        <v>46327</v>
      </c>
      <c r="C334" s="27">
        <f>I334+J334+K334+L334+M334+N334+O334+P334+IF(Q334="",0,Q334*サマリー!$B$9)+IF(R334="",0,IF(R334=200,サマリー!$B$10,IF(R334=100,サマリー!$B$11,0)))+IF(S334="",0,S334*サマリー!$B$12)</f>
        <v>0</v>
      </c>
      <c r="D334" s="27">
        <f>T334+U334+V334+W334+X334+IF(Y334="",0,Y334*サマリー!$B$9)+IF(Z334="",0,IF(Z334=200,サマリー!$B$10,IF(Z334=100,サマリー!$B$11,0)))+IF(AA334="",0,AA334*サマリー!$B$12)</f>
        <v>0</v>
      </c>
      <c r="E334" s="27">
        <f t="shared" si="10"/>
        <v>0</v>
      </c>
      <c r="I334" s="30"/>
      <c r="J334" s="30"/>
      <c r="K334" s="30"/>
      <c r="L334" s="30"/>
      <c r="M334" s="30"/>
      <c r="N334" s="30"/>
      <c r="O334" s="30"/>
      <c r="P334" s="30"/>
      <c r="Q334" s="31"/>
      <c r="R334" s="31"/>
      <c r="S334" s="31"/>
      <c r="T334" s="32"/>
      <c r="U334" s="32"/>
      <c r="V334" s="32"/>
      <c r="W334" s="32"/>
      <c r="X334" s="32"/>
      <c r="Y334" s="33"/>
      <c r="Z334" s="33"/>
      <c r="AA334" s="33"/>
    </row>
    <row r="335" spans="1:27">
      <c r="A335" s="29"/>
      <c r="B335" s="19">
        <f t="shared" si="11"/>
        <v>46327</v>
      </c>
      <c r="C335" s="27">
        <f>I335+J335+K335+L335+M335+N335+O335+P335+IF(Q335="",0,Q335*サマリー!$B$9)+IF(R335="",0,IF(R335=200,サマリー!$B$10,IF(R335=100,サマリー!$B$11,0)))+IF(S335="",0,S335*サマリー!$B$12)</f>
        <v>0</v>
      </c>
      <c r="D335" s="27">
        <f>T335+U335+V335+W335+X335+IF(Y335="",0,Y335*サマリー!$B$9)+IF(Z335="",0,IF(Z335=200,サマリー!$B$10,IF(Z335=100,サマリー!$B$11,0)))+IF(AA335="",0,AA335*サマリー!$B$12)</f>
        <v>0</v>
      </c>
      <c r="E335" s="27">
        <f t="shared" si="10"/>
        <v>0</v>
      </c>
      <c r="I335" s="30"/>
      <c r="J335" s="30"/>
      <c r="K335" s="30"/>
      <c r="L335" s="30"/>
      <c r="M335" s="30"/>
      <c r="N335" s="30"/>
      <c r="O335" s="30"/>
      <c r="P335" s="30"/>
      <c r="Q335" s="31"/>
      <c r="R335" s="31"/>
      <c r="S335" s="31"/>
      <c r="T335" s="32"/>
      <c r="U335" s="32"/>
      <c r="V335" s="32"/>
      <c r="W335" s="32"/>
      <c r="X335" s="32"/>
      <c r="Y335" s="33"/>
      <c r="Z335" s="33"/>
      <c r="AA335" s="33"/>
    </row>
    <row r="336" spans="1:27">
      <c r="A336" s="29"/>
      <c r="B336" s="19">
        <f t="shared" si="11"/>
        <v>46327</v>
      </c>
      <c r="C336" s="27">
        <f>I336+J336+K336+L336+M336+N336+O336+P336+IF(Q336="",0,Q336*サマリー!$B$9)+IF(R336="",0,IF(R336=200,サマリー!$B$10,IF(R336=100,サマリー!$B$11,0)))+IF(S336="",0,S336*サマリー!$B$12)</f>
        <v>0</v>
      </c>
      <c r="D336" s="27">
        <f>T336+U336+V336+W336+X336+IF(Y336="",0,Y336*サマリー!$B$9)+IF(Z336="",0,IF(Z336=200,サマリー!$B$10,IF(Z336=100,サマリー!$B$11,0)))+IF(AA336="",0,AA336*サマリー!$B$12)</f>
        <v>0</v>
      </c>
      <c r="E336" s="27">
        <f t="shared" si="10"/>
        <v>0</v>
      </c>
      <c r="I336" s="30"/>
      <c r="J336" s="30"/>
      <c r="K336" s="30"/>
      <c r="L336" s="30"/>
      <c r="M336" s="30"/>
      <c r="N336" s="30"/>
      <c r="O336" s="30"/>
      <c r="P336" s="30"/>
      <c r="Q336" s="31"/>
      <c r="R336" s="31"/>
      <c r="S336" s="31"/>
      <c r="T336" s="32"/>
      <c r="U336" s="32"/>
      <c r="V336" s="32"/>
      <c r="W336" s="32"/>
      <c r="X336" s="32"/>
      <c r="Y336" s="33"/>
      <c r="Z336" s="33"/>
      <c r="AA336" s="33"/>
    </row>
    <row r="337" spans="1:27">
      <c r="A337" s="29"/>
      <c r="B337" s="19">
        <f t="shared" si="11"/>
        <v>46327</v>
      </c>
      <c r="C337" s="27">
        <f>I337+J337+K337+L337+M337+N337+O337+P337+IF(Q337="",0,Q337*サマリー!$B$9)+IF(R337="",0,IF(R337=200,サマリー!$B$10,IF(R337=100,サマリー!$B$11,0)))+IF(S337="",0,S337*サマリー!$B$12)</f>
        <v>0</v>
      </c>
      <c r="D337" s="27">
        <f>T337+U337+V337+W337+X337+IF(Y337="",0,Y337*サマリー!$B$9)+IF(Z337="",0,IF(Z337=200,サマリー!$B$10,IF(Z337=100,サマリー!$B$11,0)))+IF(AA337="",0,AA337*サマリー!$B$12)</f>
        <v>0</v>
      </c>
      <c r="E337" s="27">
        <f t="shared" si="10"/>
        <v>0</v>
      </c>
      <c r="I337" s="30"/>
      <c r="J337" s="30"/>
      <c r="K337" s="30"/>
      <c r="L337" s="30"/>
      <c r="M337" s="30"/>
      <c r="N337" s="30"/>
      <c r="O337" s="30"/>
      <c r="P337" s="30"/>
      <c r="Q337" s="31"/>
      <c r="R337" s="31"/>
      <c r="S337" s="31"/>
      <c r="T337" s="32"/>
      <c r="U337" s="32"/>
      <c r="V337" s="32"/>
      <c r="W337" s="32"/>
      <c r="X337" s="32"/>
      <c r="Y337" s="33"/>
      <c r="Z337" s="33"/>
      <c r="AA337" s="33"/>
    </row>
    <row r="338" spans="1:27">
      <c r="A338" s="29"/>
      <c r="B338" s="19">
        <f t="shared" si="11"/>
        <v>46327</v>
      </c>
      <c r="C338" s="27">
        <f>I338+J338+K338+L338+M338+N338+O338+P338+IF(Q338="",0,Q338*サマリー!$B$9)+IF(R338="",0,IF(R338=200,サマリー!$B$10,IF(R338=100,サマリー!$B$11,0)))+IF(S338="",0,S338*サマリー!$B$12)</f>
        <v>0</v>
      </c>
      <c r="D338" s="27">
        <f>T338+U338+V338+W338+X338+IF(Y338="",0,Y338*サマリー!$B$9)+IF(Z338="",0,IF(Z338=200,サマリー!$B$10,IF(Z338=100,サマリー!$B$11,0)))+IF(AA338="",0,AA338*サマリー!$B$12)</f>
        <v>0</v>
      </c>
      <c r="E338" s="27">
        <f t="shared" si="10"/>
        <v>0</v>
      </c>
      <c r="I338" s="30"/>
      <c r="J338" s="30"/>
      <c r="K338" s="30"/>
      <c r="L338" s="30"/>
      <c r="M338" s="30"/>
      <c r="N338" s="30"/>
      <c r="O338" s="30"/>
      <c r="P338" s="30"/>
      <c r="Q338" s="31"/>
      <c r="R338" s="31"/>
      <c r="S338" s="31"/>
      <c r="T338" s="32"/>
      <c r="U338" s="32"/>
      <c r="V338" s="32"/>
      <c r="W338" s="32"/>
      <c r="X338" s="32"/>
      <c r="Y338" s="33"/>
      <c r="Z338" s="33"/>
      <c r="AA338" s="33"/>
    </row>
    <row r="339" spans="1:27">
      <c r="A339" s="29"/>
      <c r="B339" s="19">
        <f t="shared" si="11"/>
        <v>46327</v>
      </c>
      <c r="C339" s="27">
        <f>I339+J339+K339+L339+M339+N339+O339+P339+IF(Q339="",0,Q339*サマリー!$B$9)+IF(R339="",0,IF(R339=200,サマリー!$B$10,IF(R339=100,サマリー!$B$11,0)))+IF(S339="",0,S339*サマリー!$B$12)</f>
        <v>0</v>
      </c>
      <c r="D339" s="27">
        <f>T339+U339+V339+W339+X339+IF(Y339="",0,Y339*サマリー!$B$9)+IF(Z339="",0,IF(Z339=200,サマリー!$B$10,IF(Z339=100,サマリー!$B$11,0)))+IF(AA339="",0,AA339*サマリー!$B$12)</f>
        <v>0</v>
      </c>
      <c r="E339" s="27">
        <f t="shared" si="10"/>
        <v>0</v>
      </c>
      <c r="I339" s="30"/>
      <c r="J339" s="30"/>
      <c r="K339" s="30"/>
      <c r="L339" s="30"/>
      <c r="M339" s="30"/>
      <c r="N339" s="30"/>
      <c r="O339" s="30"/>
      <c r="P339" s="30"/>
      <c r="Q339" s="31"/>
      <c r="R339" s="31"/>
      <c r="S339" s="31"/>
      <c r="T339" s="32"/>
      <c r="U339" s="32"/>
      <c r="V339" s="32"/>
      <c r="W339" s="32"/>
      <c r="X339" s="32"/>
      <c r="Y339" s="33"/>
      <c r="Z339" s="33"/>
      <c r="AA339" s="33"/>
    </row>
    <row r="340" spans="1:27">
      <c r="A340" s="29"/>
      <c r="B340" s="19">
        <f t="shared" si="11"/>
        <v>46327</v>
      </c>
      <c r="C340" s="27">
        <f>I340+J340+K340+L340+M340+N340+O340+P340+IF(Q340="",0,Q340*サマリー!$B$9)+IF(R340="",0,IF(R340=200,サマリー!$B$10,IF(R340=100,サマリー!$B$11,0)))+IF(S340="",0,S340*サマリー!$B$12)</f>
        <v>0</v>
      </c>
      <c r="D340" s="27">
        <f>T340+U340+V340+W340+X340+IF(Y340="",0,Y340*サマリー!$B$9)+IF(Z340="",0,IF(Z340=200,サマリー!$B$10,IF(Z340=100,サマリー!$B$11,0)))+IF(AA340="",0,AA340*サマリー!$B$12)</f>
        <v>0</v>
      </c>
      <c r="E340" s="27">
        <f t="shared" si="10"/>
        <v>0</v>
      </c>
      <c r="I340" s="30"/>
      <c r="J340" s="30"/>
      <c r="K340" s="30"/>
      <c r="L340" s="30"/>
      <c r="M340" s="30"/>
      <c r="N340" s="30"/>
      <c r="O340" s="30"/>
      <c r="P340" s="30"/>
      <c r="Q340" s="31"/>
      <c r="R340" s="31"/>
      <c r="S340" s="31"/>
      <c r="T340" s="32"/>
      <c r="U340" s="32"/>
      <c r="V340" s="32"/>
      <c r="W340" s="32"/>
      <c r="X340" s="32"/>
      <c r="Y340" s="33"/>
      <c r="Z340" s="33"/>
      <c r="AA340" s="33"/>
    </row>
    <row r="341" spans="1:27">
      <c r="A341" s="29"/>
      <c r="B341" s="19">
        <f t="shared" si="11"/>
        <v>46327</v>
      </c>
      <c r="C341" s="27">
        <f>I341+J341+K341+L341+M341+N341+O341+P341+IF(Q341="",0,Q341*サマリー!$B$9)+IF(R341="",0,IF(R341=200,サマリー!$B$10,IF(R341=100,サマリー!$B$11,0)))+IF(S341="",0,S341*サマリー!$B$12)</f>
        <v>0</v>
      </c>
      <c r="D341" s="27">
        <f>T341+U341+V341+W341+X341+IF(Y341="",0,Y341*サマリー!$B$9)+IF(Z341="",0,IF(Z341=200,サマリー!$B$10,IF(Z341=100,サマリー!$B$11,0)))+IF(AA341="",0,AA341*サマリー!$B$12)</f>
        <v>0</v>
      </c>
      <c r="E341" s="27">
        <f t="shared" si="10"/>
        <v>0</v>
      </c>
      <c r="I341" s="30"/>
      <c r="J341" s="30"/>
      <c r="K341" s="30"/>
      <c r="L341" s="30"/>
      <c r="M341" s="30"/>
      <c r="N341" s="30"/>
      <c r="O341" s="30"/>
      <c r="P341" s="30"/>
      <c r="Q341" s="31"/>
      <c r="R341" s="31"/>
      <c r="S341" s="31"/>
      <c r="T341" s="32"/>
      <c r="U341" s="32"/>
      <c r="V341" s="32"/>
      <c r="W341" s="32"/>
      <c r="X341" s="32"/>
      <c r="Y341" s="33"/>
      <c r="Z341" s="33"/>
      <c r="AA341" s="33"/>
    </row>
    <row r="342" spans="1:27">
      <c r="A342" s="29"/>
      <c r="B342" s="19">
        <f t="shared" si="11"/>
        <v>46327</v>
      </c>
      <c r="C342" s="27">
        <f>I342+J342+K342+L342+M342+N342+O342+P342+IF(Q342="",0,Q342*サマリー!$B$9)+IF(R342="",0,IF(R342=200,サマリー!$B$10,IF(R342=100,サマリー!$B$11,0)))+IF(S342="",0,S342*サマリー!$B$12)</f>
        <v>0</v>
      </c>
      <c r="D342" s="27">
        <f>T342+U342+V342+W342+X342+IF(Y342="",0,Y342*サマリー!$B$9)+IF(Z342="",0,IF(Z342=200,サマリー!$B$10,IF(Z342=100,サマリー!$B$11,0)))+IF(AA342="",0,AA342*サマリー!$B$12)</f>
        <v>0</v>
      </c>
      <c r="E342" s="27">
        <f t="shared" si="10"/>
        <v>0</v>
      </c>
      <c r="I342" s="30"/>
      <c r="J342" s="30"/>
      <c r="K342" s="30"/>
      <c r="L342" s="30"/>
      <c r="M342" s="30"/>
      <c r="N342" s="30"/>
      <c r="O342" s="30"/>
      <c r="P342" s="30"/>
      <c r="Q342" s="31"/>
      <c r="R342" s="31"/>
      <c r="S342" s="31"/>
      <c r="T342" s="32"/>
      <c r="U342" s="32"/>
      <c r="V342" s="32"/>
      <c r="W342" s="32"/>
      <c r="X342" s="32"/>
      <c r="Y342" s="33"/>
      <c r="Z342" s="33"/>
      <c r="AA342" s="33"/>
    </row>
    <row r="343" spans="1:27">
      <c r="A343" s="29"/>
      <c r="B343" s="19">
        <f t="shared" si="11"/>
        <v>46327</v>
      </c>
      <c r="C343" s="27">
        <f>I343+J343+K343+L343+M343+N343+O343+P343+IF(Q343="",0,Q343*サマリー!$B$9)+IF(R343="",0,IF(R343=200,サマリー!$B$10,IF(R343=100,サマリー!$B$11,0)))+IF(S343="",0,S343*サマリー!$B$12)</f>
        <v>0</v>
      </c>
      <c r="D343" s="27">
        <f>T343+U343+V343+W343+X343+IF(Y343="",0,Y343*サマリー!$B$9)+IF(Z343="",0,IF(Z343=200,サマリー!$B$10,IF(Z343=100,サマリー!$B$11,0)))+IF(AA343="",0,AA343*サマリー!$B$12)</f>
        <v>0</v>
      </c>
      <c r="E343" s="27">
        <f t="shared" si="10"/>
        <v>0</v>
      </c>
      <c r="I343" s="30"/>
      <c r="J343" s="30"/>
      <c r="K343" s="30"/>
      <c r="L343" s="30"/>
      <c r="M343" s="30"/>
      <c r="N343" s="30"/>
      <c r="O343" s="30"/>
      <c r="P343" s="30"/>
      <c r="Q343" s="31"/>
      <c r="R343" s="31"/>
      <c r="S343" s="31"/>
      <c r="T343" s="32"/>
      <c r="U343" s="32"/>
      <c r="V343" s="32"/>
      <c r="W343" s="32"/>
      <c r="X343" s="32"/>
      <c r="Y343" s="33"/>
      <c r="Z343" s="33"/>
      <c r="AA343" s="33"/>
    </row>
    <row r="344" spans="1:27">
      <c r="A344" s="29"/>
      <c r="B344" s="19">
        <f t="shared" si="11"/>
        <v>46327</v>
      </c>
      <c r="C344" s="27">
        <f>I344+J344+K344+L344+M344+N344+O344+P344+IF(Q344="",0,Q344*サマリー!$B$9)+IF(R344="",0,IF(R344=200,サマリー!$B$10,IF(R344=100,サマリー!$B$11,0)))+IF(S344="",0,S344*サマリー!$B$12)</f>
        <v>0</v>
      </c>
      <c r="D344" s="27">
        <f>T344+U344+V344+W344+X344+IF(Y344="",0,Y344*サマリー!$B$9)+IF(Z344="",0,IF(Z344=200,サマリー!$B$10,IF(Z344=100,サマリー!$B$11,0)))+IF(AA344="",0,AA344*サマリー!$B$12)</f>
        <v>0</v>
      </c>
      <c r="E344" s="27">
        <f t="shared" si="10"/>
        <v>0</v>
      </c>
      <c r="I344" s="30"/>
      <c r="J344" s="30"/>
      <c r="K344" s="30"/>
      <c r="L344" s="30"/>
      <c r="M344" s="30"/>
      <c r="N344" s="30"/>
      <c r="O344" s="30"/>
      <c r="P344" s="30"/>
      <c r="Q344" s="31"/>
      <c r="R344" s="31"/>
      <c r="S344" s="31"/>
      <c r="T344" s="32"/>
      <c r="U344" s="32"/>
      <c r="V344" s="32"/>
      <c r="W344" s="32"/>
      <c r="X344" s="32"/>
      <c r="Y344" s="33"/>
      <c r="Z344" s="33"/>
      <c r="AA344" s="33"/>
    </row>
    <row r="345" spans="1:27">
      <c r="A345" s="29"/>
      <c r="B345" s="19">
        <f t="shared" si="11"/>
        <v>46327</v>
      </c>
      <c r="C345" s="27">
        <f>I345+J345+K345+L345+M345+N345+O345+P345+IF(Q345="",0,Q345*サマリー!$B$9)+IF(R345="",0,IF(R345=200,サマリー!$B$10,IF(R345=100,サマリー!$B$11,0)))+IF(S345="",0,S345*サマリー!$B$12)</f>
        <v>0</v>
      </c>
      <c r="D345" s="27">
        <f>T345+U345+V345+W345+X345+IF(Y345="",0,Y345*サマリー!$B$9)+IF(Z345="",0,IF(Z345=200,サマリー!$B$10,IF(Z345=100,サマリー!$B$11,0)))+IF(AA345="",0,AA345*サマリー!$B$12)</f>
        <v>0</v>
      </c>
      <c r="E345" s="27">
        <f t="shared" si="10"/>
        <v>0</v>
      </c>
      <c r="I345" s="30"/>
      <c r="J345" s="30"/>
      <c r="K345" s="30"/>
      <c r="L345" s="30"/>
      <c r="M345" s="30"/>
      <c r="N345" s="30"/>
      <c r="O345" s="30"/>
      <c r="P345" s="30"/>
      <c r="Q345" s="31"/>
      <c r="R345" s="31"/>
      <c r="S345" s="31"/>
      <c r="T345" s="32"/>
      <c r="U345" s="32"/>
      <c r="V345" s="32"/>
      <c r="W345" s="32"/>
      <c r="X345" s="32"/>
      <c r="Y345" s="33"/>
      <c r="Z345" s="33"/>
      <c r="AA345" s="33"/>
    </row>
    <row r="346" spans="1:27">
      <c r="A346" s="29"/>
      <c r="B346" s="19">
        <f t="shared" si="11"/>
        <v>46327</v>
      </c>
      <c r="C346" s="27">
        <f>I346+J346+K346+L346+M346+N346+O346+P346+IF(Q346="",0,Q346*サマリー!$B$9)+IF(R346="",0,IF(R346=200,サマリー!$B$10,IF(R346=100,サマリー!$B$11,0)))+IF(S346="",0,S346*サマリー!$B$12)</f>
        <v>0</v>
      </c>
      <c r="D346" s="27">
        <f>T346+U346+V346+W346+X346+IF(Y346="",0,Y346*サマリー!$B$9)+IF(Z346="",0,IF(Z346=200,サマリー!$B$10,IF(Z346=100,サマリー!$B$11,0)))+IF(AA346="",0,AA346*サマリー!$B$12)</f>
        <v>0</v>
      </c>
      <c r="E346" s="27">
        <f t="shared" si="10"/>
        <v>0</v>
      </c>
      <c r="I346" s="30"/>
      <c r="J346" s="30"/>
      <c r="K346" s="30"/>
      <c r="L346" s="30"/>
      <c r="M346" s="30"/>
      <c r="N346" s="30"/>
      <c r="O346" s="30"/>
      <c r="P346" s="30"/>
      <c r="Q346" s="31"/>
      <c r="R346" s="31"/>
      <c r="S346" s="31"/>
      <c r="T346" s="32"/>
      <c r="U346" s="32"/>
      <c r="V346" s="32"/>
      <c r="W346" s="32"/>
      <c r="X346" s="32"/>
      <c r="Y346" s="33"/>
      <c r="Z346" s="33"/>
      <c r="AA346" s="33"/>
    </row>
    <row r="347" spans="1:27">
      <c r="A347" s="29"/>
      <c r="B347" s="19">
        <f t="shared" si="11"/>
        <v>46327</v>
      </c>
      <c r="C347" s="27">
        <f>I347+J347+K347+L347+M347+N347+O347+P347+IF(Q347="",0,Q347*サマリー!$B$9)+IF(R347="",0,IF(R347=200,サマリー!$B$10,IF(R347=100,サマリー!$B$11,0)))+IF(S347="",0,S347*サマリー!$B$12)</f>
        <v>0</v>
      </c>
      <c r="D347" s="27">
        <f>T347+U347+V347+W347+X347+IF(Y347="",0,Y347*サマリー!$B$9)+IF(Z347="",0,IF(Z347=200,サマリー!$B$10,IF(Z347=100,サマリー!$B$11,0)))+IF(AA347="",0,AA347*サマリー!$B$12)</f>
        <v>0</v>
      </c>
      <c r="E347" s="27">
        <f t="shared" si="10"/>
        <v>0</v>
      </c>
      <c r="I347" s="30"/>
      <c r="J347" s="30"/>
      <c r="K347" s="30"/>
      <c r="L347" s="30"/>
      <c r="M347" s="30"/>
      <c r="N347" s="30"/>
      <c r="O347" s="30"/>
      <c r="P347" s="30"/>
      <c r="Q347" s="31"/>
      <c r="R347" s="31"/>
      <c r="S347" s="31"/>
      <c r="T347" s="32"/>
      <c r="U347" s="32"/>
      <c r="V347" s="32"/>
      <c r="W347" s="32"/>
      <c r="X347" s="32"/>
      <c r="Y347" s="33"/>
      <c r="Z347" s="33"/>
      <c r="AA347" s="33"/>
    </row>
    <row r="348" spans="1:27">
      <c r="A348" s="29"/>
      <c r="B348" s="19">
        <f t="shared" si="11"/>
        <v>46327</v>
      </c>
      <c r="C348" s="27">
        <f>I348+J348+K348+L348+M348+N348+O348+P348+IF(Q348="",0,Q348*サマリー!$B$9)+IF(R348="",0,IF(R348=200,サマリー!$B$10,IF(R348=100,サマリー!$B$11,0)))+IF(S348="",0,S348*サマリー!$B$12)</f>
        <v>0</v>
      </c>
      <c r="D348" s="27">
        <f>T348+U348+V348+W348+X348+IF(Y348="",0,Y348*サマリー!$B$9)+IF(Z348="",0,IF(Z348=200,サマリー!$B$10,IF(Z348=100,サマリー!$B$11,0)))+IF(AA348="",0,AA348*サマリー!$B$12)</f>
        <v>0</v>
      </c>
      <c r="E348" s="27">
        <f t="shared" si="10"/>
        <v>0</v>
      </c>
      <c r="I348" s="30"/>
      <c r="J348" s="30"/>
      <c r="K348" s="30"/>
      <c r="L348" s="30"/>
      <c r="M348" s="30"/>
      <c r="N348" s="30"/>
      <c r="O348" s="30"/>
      <c r="P348" s="30"/>
      <c r="Q348" s="31"/>
      <c r="R348" s="31"/>
      <c r="S348" s="31"/>
      <c r="T348" s="32"/>
      <c r="U348" s="32"/>
      <c r="V348" s="32"/>
      <c r="W348" s="32"/>
      <c r="X348" s="32"/>
      <c r="Y348" s="33"/>
      <c r="Z348" s="33"/>
      <c r="AA348" s="33"/>
    </row>
    <row r="349" spans="1:27">
      <c r="A349" s="29"/>
      <c r="B349" s="19">
        <f t="shared" si="11"/>
        <v>46327</v>
      </c>
      <c r="C349" s="27">
        <f>I349+J349+K349+L349+M349+N349+O349+P349+IF(Q349="",0,Q349*サマリー!$B$9)+IF(R349="",0,IF(R349=200,サマリー!$B$10,IF(R349=100,サマリー!$B$11,0)))+IF(S349="",0,S349*サマリー!$B$12)</f>
        <v>0</v>
      </c>
      <c r="D349" s="27">
        <f>T349+U349+V349+W349+X349+IF(Y349="",0,Y349*サマリー!$B$9)+IF(Z349="",0,IF(Z349=200,サマリー!$B$10,IF(Z349=100,サマリー!$B$11,0)))+IF(AA349="",0,AA349*サマリー!$B$12)</f>
        <v>0</v>
      </c>
      <c r="E349" s="27">
        <f t="shared" si="10"/>
        <v>0</v>
      </c>
      <c r="I349" s="30"/>
      <c r="J349" s="30"/>
      <c r="K349" s="30"/>
      <c r="L349" s="30"/>
      <c r="M349" s="30"/>
      <c r="N349" s="30"/>
      <c r="O349" s="30"/>
      <c r="P349" s="30"/>
      <c r="Q349" s="31"/>
      <c r="R349" s="31"/>
      <c r="S349" s="31"/>
      <c r="T349" s="32"/>
      <c r="U349" s="32"/>
      <c r="V349" s="32"/>
      <c r="W349" s="32"/>
      <c r="X349" s="32"/>
      <c r="Y349" s="33"/>
      <c r="Z349" s="33"/>
      <c r="AA349" s="33"/>
    </row>
    <row r="350" spans="1:27">
      <c r="A350" s="29"/>
      <c r="B350" s="19">
        <f t="shared" si="11"/>
        <v>46327</v>
      </c>
      <c r="C350" s="27">
        <f>I350+J350+K350+L350+M350+N350+O350+P350+IF(Q350="",0,Q350*サマリー!$B$9)+IF(R350="",0,IF(R350=200,サマリー!$B$10,IF(R350=100,サマリー!$B$11,0)))+IF(S350="",0,S350*サマリー!$B$12)</f>
        <v>0</v>
      </c>
      <c r="D350" s="27">
        <f>T350+U350+V350+W350+X350+IF(Y350="",0,Y350*サマリー!$B$9)+IF(Z350="",0,IF(Z350=200,サマリー!$B$10,IF(Z350=100,サマリー!$B$11,0)))+IF(AA350="",0,AA350*サマリー!$B$12)</f>
        <v>0</v>
      </c>
      <c r="E350" s="27">
        <f t="shared" si="10"/>
        <v>0</v>
      </c>
      <c r="I350" s="30"/>
      <c r="J350" s="30"/>
      <c r="K350" s="30"/>
      <c r="L350" s="30"/>
      <c r="M350" s="30"/>
      <c r="N350" s="30"/>
      <c r="O350" s="30"/>
      <c r="P350" s="30"/>
      <c r="Q350" s="31"/>
      <c r="R350" s="31"/>
      <c r="S350" s="31"/>
      <c r="T350" s="32"/>
      <c r="U350" s="32"/>
      <c r="V350" s="32"/>
      <c r="W350" s="32"/>
      <c r="X350" s="32"/>
      <c r="Y350" s="33"/>
      <c r="Z350" s="33"/>
      <c r="AA350" s="33"/>
    </row>
    <row r="351" spans="1:27">
      <c r="A351" s="29"/>
      <c r="B351" s="19">
        <f t="shared" si="11"/>
        <v>46327</v>
      </c>
      <c r="C351" s="27">
        <f>I351+J351+K351+L351+M351+N351+O351+P351+IF(Q351="",0,Q351*サマリー!$B$9)+IF(R351="",0,IF(R351=200,サマリー!$B$10,IF(R351=100,サマリー!$B$11,0)))+IF(S351="",0,S351*サマリー!$B$12)</f>
        <v>0</v>
      </c>
      <c r="D351" s="27">
        <f>T351+U351+V351+W351+X351+IF(Y351="",0,Y351*サマリー!$B$9)+IF(Z351="",0,IF(Z351=200,サマリー!$B$10,IF(Z351=100,サマリー!$B$11,0)))+IF(AA351="",0,AA351*サマリー!$B$12)</f>
        <v>0</v>
      </c>
      <c r="E351" s="27">
        <f t="shared" si="10"/>
        <v>0</v>
      </c>
      <c r="I351" s="30"/>
      <c r="J351" s="30"/>
      <c r="K351" s="30"/>
      <c r="L351" s="30"/>
      <c r="M351" s="30"/>
      <c r="N351" s="30"/>
      <c r="O351" s="30"/>
      <c r="P351" s="30"/>
      <c r="Q351" s="31"/>
      <c r="R351" s="31"/>
      <c r="S351" s="31"/>
      <c r="T351" s="32"/>
      <c r="U351" s="32"/>
      <c r="V351" s="32"/>
      <c r="W351" s="32"/>
      <c r="X351" s="32"/>
      <c r="Y351" s="33"/>
      <c r="Z351" s="33"/>
      <c r="AA351" s="33"/>
    </row>
    <row r="352" spans="1:27">
      <c r="A352" s="29"/>
      <c r="B352" s="19">
        <f t="shared" si="11"/>
        <v>46327</v>
      </c>
      <c r="C352" s="27">
        <f>I352+J352+K352+L352+M352+N352+O352+P352+IF(Q352="",0,Q352*サマリー!$B$9)+IF(R352="",0,IF(R352=200,サマリー!$B$10,IF(R352=100,サマリー!$B$11,0)))+IF(S352="",0,S352*サマリー!$B$12)</f>
        <v>0</v>
      </c>
      <c r="D352" s="27">
        <f>T352+U352+V352+W352+X352+IF(Y352="",0,Y352*サマリー!$B$9)+IF(Z352="",0,IF(Z352=200,サマリー!$B$10,IF(Z352=100,サマリー!$B$11,0)))+IF(AA352="",0,AA352*サマリー!$B$12)</f>
        <v>0</v>
      </c>
      <c r="E352" s="27">
        <f t="shared" si="10"/>
        <v>0</v>
      </c>
      <c r="I352" s="30"/>
      <c r="J352" s="30"/>
      <c r="K352" s="30"/>
      <c r="L352" s="30"/>
      <c r="M352" s="30"/>
      <c r="N352" s="30"/>
      <c r="O352" s="30"/>
      <c r="P352" s="30"/>
      <c r="Q352" s="31"/>
      <c r="R352" s="31"/>
      <c r="S352" s="31"/>
      <c r="T352" s="32"/>
      <c r="U352" s="32"/>
      <c r="V352" s="32"/>
      <c r="W352" s="32"/>
      <c r="X352" s="32"/>
      <c r="Y352" s="33"/>
      <c r="Z352" s="33"/>
      <c r="AA352" s="33"/>
    </row>
    <row r="353" spans="1:27">
      <c r="A353" s="29"/>
      <c r="B353" s="19">
        <f t="shared" si="11"/>
        <v>46327</v>
      </c>
      <c r="C353" s="27">
        <f>I353+J353+K353+L353+M353+N353+O353+P353+IF(Q353="",0,Q353*サマリー!$B$9)+IF(R353="",0,IF(R353=200,サマリー!$B$10,IF(R353=100,サマリー!$B$11,0)))+IF(S353="",0,S353*サマリー!$B$12)</f>
        <v>0</v>
      </c>
      <c r="D353" s="27">
        <f>T353+U353+V353+W353+X353+IF(Y353="",0,Y353*サマリー!$B$9)+IF(Z353="",0,IF(Z353=200,サマリー!$B$10,IF(Z353=100,サマリー!$B$11,0)))+IF(AA353="",0,AA353*サマリー!$B$12)</f>
        <v>0</v>
      </c>
      <c r="E353" s="27">
        <f t="shared" si="10"/>
        <v>0</v>
      </c>
      <c r="I353" s="30"/>
      <c r="J353" s="30"/>
      <c r="K353" s="30"/>
      <c r="L353" s="30"/>
      <c r="M353" s="30"/>
      <c r="N353" s="30"/>
      <c r="O353" s="30"/>
      <c r="P353" s="30"/>
      <c r="Q353" s="31"/>
      <c r="R353" s="31"/>
      <c r="S353" s="31"/>
      <c r="T353" s="32"/>
      <c r="U353" s="32"/>
      <c r="V353" s="32"/>
      <c r="W353" s="32"/>
      <c r="X353" s="32"/>
      <c r="Y353" s="33"/>
      <c r="Z353" s="33"/>
      <c r="AA353" s="33"/>
    </row>
    <row r="354" spans="1:27">
      <c r="A354" s="29"/>
      <c r="B354" s="19">
        <f t="shared" si="11"/>
        <v>46327</v>
      </c>
      <c r="C354" s="27">
        <f>I354+J354+K354+L354+M354+N354+O354+P354+IF(Q354="",0,Q354*サマリー!$B$9)+IF(R354="",0,IF(R354=200,サマリー!$B$10,IF(R354=100,サマリー!$B$11,0)))+IF(S354="",0,S354*サマリー!$B$12)</f>
        <v>0</v>
      </c>
      <c r="D354" s="27">
        <f>T354+U354+V354+W354+X354+IF(Y354="",0,Y354*サマリー!$B$9)+IF(Z354="",0,IF(Z354=200,サマリー!$B$10,IF(Z354=100,サマリー!$B$11,0)))+IF(AA354="",0,AA354*サマリー!$B$12)</f>
        <v>0</v>
      </c>
      <c r="E354" s="27">
        <f t="shared" si="10"/>
        <v>0</v>
      </c>
      <c r="I354" s="30"/>
      <c r="J354" s="30"/>
      <c r="K354" s="30"/>
      <c r="L354" s="30"/>
      <c r="M354" s="30"/>
      <c r="N354" s="30"/>
      <c r="O354" s="30"/>
      <c r="P354" s="30"/>
      <c r="Q354" s="31"/>
      <c r="R354" s="31"/>
      <c r="S354" s="31"/>
      <c r="T354" s="32"/>
      <c r="U354" s="32"/>
      <c r="V354" s="32"/>
      <c r="W354" s="32"/>
      <c r="X354" s="32"/>
      <c r="Y354" s="33"/>
      <c r="Z354" s="33"/>
      <c r="AA354" s="33"/>
    </row>
    <row r="355" spans="1:27">
      <c r="A355" s="29"/>
      <c r="B355" s="19">
        <f t="shared" si="11"/>
        <v>46327</v>
      </c>
      <c r="C355" s="27">
        <f>I355+J355+K355+L355+M355+N355+O355+P355+IF(Q355="",0,Q355*サマリー!$B$9)+IF(R355="",0,IF(R355=200,サマリー!$B$10,IF(R355=100,サマリー!$B$11,0)))+IF(S355="",0,S355*サマリー!$B$12)</f>
        <v>0</v>
      </c>
      <c r="D355" s="27">
        <f>T355+U355+V355+W355+X355+IF(Y355="",0,Y355*サマリー!$B$9)+IF(Z355="",0,IF(Z355=200,サマリー!$B$10,IF(Z355=100,サマリー!$B$11,0)))+IF(AA355="",0,AA355*サマリー!$B$12)</f>
        <v>0</v>
      </c>
      <c r="E355" s="27">
        <f t="shared" si="10"/>
        <v>0</v>
      </c>
      <c r="I355" s="30"/>
      <c r="J355" s="30"/>
      <c r="K355" s="30"/>
      <c r="L355" s="30"/>
      <c r="M355" s="30"/>
      <c r="N355" s="30"/>
      <c r="O355" s="30"/>
      <c r="P355" s="30"/>
      <c r="Q355" s="31"/>
      <c r="R355" s="31"/>
      <c r="S355" s="31"/>
      <c r="T355" s="32"/>
      <c r="U355" s="32"/>
      <c r="V355" s="32"/>
      <c r="W355" s="32"/>
      <c r="X355" s="32"/>
      <c r="Y355" s="33"/>
      <c r="Z355" s="33"/>
      <c r="AA355" s="33"/>
    </row>
    <row r="356" spans="1:27">
      <c r="A356" s="29"/>
      <c r="B356" s="19">
        <f t="shared" si="11"/>
        <v>46327</v>
      </c>
      <c r="C356" s="27">
        <f>I356+J356+K356+L356+M356+N356+O356+P356+IF(Q356="",0,Q356*サマリー!$B$9)+IF(R356="",0,IF(R356=200,サマリー!$B$10,IF(R356=100,サマリー!$B$11,0)))+IF(S356="",0,S356*サマリー!$B$12)</f>
        <v>0</v>
      </c>
      <c r="D356" s="27">
        <f>T356+U356+V356+W356+X356+IF(Y356="",0,Y356*サマリー!$B$9)+IF(Z356="",0,IF(Z356=200,サマリー!$B$10,IF(Z356=100,サマリー!$B$11,0)))+IF(AA356="",0,AA356*サマリー!$B$12)</f>
        <v>0</v>
      </c>
      <c r="E356" s="27">
        <f t="shared" si="10"/>
        <v>0</v>
      </c>
      <c r="I356" s="30"/>
      <c r="J356" s="30"/>
      <c r="K356" s="30"/>
      <c r="L356" s="30"/>
      <c r="M356" s="30"/>
      <c r="N356" s="30"/>
      <c r="O356" s="30"/>
      <c r="P356" s="30"/>
      <c r="Q356" s="31"/>
      <c r="R356" s="31"/>
      <c r="S356" s="31"/>
      <c r="T356" s="32"/>
      <c r="U356" s="32"/>
      <c r="V356" s="32"/>
      <c r="W356" s="32"/>
      <c r="X356" s="32"/>
      <c r="Y356" s="33"/>
      <c r="Z356" s="33"/>
      <c r="AA356" s="33"/>
    </row>
    <row r="357" spans="1:27">
      <c r="A357" s="29"/>
      <c r="B357" s="19">
        <f t="shared" si="11"/>
        <v>46327</v>
      </c>
      <c r="C357" s="27">
        <f>I357+J357+K357+L357+M357+N357+O357+P357+IF(Q357="",0,Q357*サマリー!$B$9)+IF(R357="",0,IF(R357=200,サマリー!$B$10,IF(R357=100,サマリー!$B$11,0)))+IF(S357="",0,S357*サマリー!$B$12)</f>
        <v>0</v>
      </c>
      <c r="D357" s="27">
        <f>T357+U357+V357+W357+X357+IF(Y357="",0,Y357*サマリー!$B$9)+IF(Z357="",0,IF(Z357=200,サマリー!$B$10,IF(Z357=100,サマリー!$B$11,0)))+IF(AA357="",0,AA357*サマリー!$B$12)</f>
        <v>0</v>
      </c>
      <c r="E357" s="27">
        <f t="shared" si="10"/>
        <v>0</v>
      </c>
      <c r="I357" s="30"/>
      <c r="J357" s="30"/>
      <c r="K357" s="30"/>
      <c r="L357" s="30"/>
      <c r="M357" s="30"/>
      <c r="N357" s="30"/>
      <c r="O357" s="30"/>
      <c r="P357" s="30"/>
      <c r="Q357" s="31"/>
      <c r="R357" s="31"/>
      <c r="S357" s="31"/>
      <c r="T357" s="32"/>
      <c r="U357" s="32"/>
      <c r="V357" s="32"/>
      <c r="W357" s="32"/>
      <c r="X357" s="32"/>
      <c r="Y357" s="33"/>
      <c r="Z357" s="33"/>
      <c r="AA357" s="33"/>
    </row>
    <row r="358" spans="1:27">
      <c r="A358" s="29"/>
      <c r="B358" s="19">
        <f t="shared" si="11"/>
        <v>46327</v>
      </c>
      <c r="C358" s="27">
        <f>I358+J358+K358+L358+M358+N358+O358+P358+IF(Q358="",0,Q358*サマリー!$B$9)+IF(R358="",0,IF(R358=200,サマリー!$B$10,IF(R358=100,サマリー!$B$11,0)))+IF(S358="",0,S358*サマリー!$B$12)</f>
        <v>0</v>
      </c>
      <c r="D358" s="27">
        <f>T358+U358+V358+W358+X358+IF(Y358="",0,Y358*サマリー!$B$9)+IF(Z358="",0,IF(Z358=200,サマリー!$B$10,IF(Z358=100,サマリー!$B$11,0)))+IF(AA358="",0,AA358*サマリー!$B$12)</f>
        <v>0</v>
      </c>
      <c r="E358" s="27">
        <f t="shared" si="10"/>
        <v>0</v>
      </c>
      <c r="I358" s="30"/>
      <c r="J358" s="30"/>
      <c r="K358" s="30"/>
      <c r="L358" s="30"/>
      <c r="M358" s="30"/>
      <c r="N358" s="30"/>
      <c r="O358" s="30"/>
      <c r="P358" s="30"/>
      <c r="Q358" s="31"/>
      <c r="R358" s="31"/>
      <c r="S358" s="31"/>
      <c r="T358" s="32"/>
      <c r="U358" s="32"/>
      <c r="V358" s="32"/>
      <c r="W358" s="32"/>
      <c r="X358" s="32"/>
      <c r="Y358" s="33"/>
      <c r="Z358" s="33"/>
      <c r="AA358" s="33"/>
    </row>
    <row r="359" spans="1:27">
      <c r="A359" s="29"/>
      <c r="B359" s="19">
        <f t="shared" si="11"/>
        <v>46327</v>
      </c>
      <c r="C359" s="27">
        <f>I359+J359+K359+L359+M359+N359+O359+P359+IF(Q359="",0,Q359*サマリー!$B$9)+IF(R359="",0,IF(R359=200,サマリー!$B$10,IF(R359=100,サマリー!$B$11,0)))+IF(S359="",0,S359*サマリー!$B$12)</f>
        <v>0</v>
      </c>
      <c r="D359" s="27">
        <f>T359+U359+V359+W359+X359+IF(Y359="",0,Y359*サマリー!$B$9)+IF(Z359="",0,IF(Z359=200,サマリー!$B$10,IF(Z359=100,サマリー!$B$11,0)))+IF(AA359="",0,AA359*サマリー!$B$12)</f>
        <v>0</v>
      </c>
      <c r="E359" s="27">
        <f t="shared" si="10"/>
        <v>0</v>
      </c>
      <c r="I359" s="30"/>
      <c r="J359" s="30"/>
      <c r="K359" s="30"/>
      <c r="L359" s="30"/>
      <c r="M359" s="30"/>
      <c r="N359" s="30"/>
      <c r="O359" s="30"/>
      <c r="P359" s="30"/>
      <c r="Q359" s="31"/>
      <c r="R359" s="31"/>
      <c r="S359" s="31"/>
      <c r="T359" s="32"/>
      <c r="U359" s="32"/>
      <c r="V359" s="32"/>
      <c r="W359" s="32"/>
      <c r="X359" s="32"/>
      <c r="Y359" s="33"/>
      <c r="Z359" s="33"/>
      <c r="AA359" s="33"/>
    </row>
    <row r="360" spans="1:27">
      <c r="A360" s="29"/>
      <c r="B360" s="19">
        <f t="shared" si="11"/>
        <v>46327</v>
      </c>
      <c r="C360" s="27">
        <f>I360+J360+K360+L360+M360+N360+O360+P360+IF(Q360="",0,Q360*サマリー!$B$9)+IF(R360="",0,IF(R360=200,サマリー!$B$10,IF(R360=100,サマリー!$B$11,0)))+IF(S360="",0,S360*サマリー!$B$12)</f>
        <v>0</v>
      </c>
      <c r="D360" s="27">
        <f>T360+U360+V360+W360+X360+IF(Y360="",0,Y360*サマリー!$B$9)+IF(Z360="",0,IF(Z360=200,サマリー!$B$10,IF(Z360=100,サマリー!$B$11,0)))+IF(AA360="",0,AA360*サマリー!$B$12)</f>
        <v>0</v>
      </c>
      <c r="E360" s="27">
        <f t="shared" si="10"/>
        <v>0</v>
      </c>
      <c r="I360" s="30"/>
      <c r="J360" s="30"/>
      <c r="K360" s="30"/>
      <c r="L360" s="30"/>
      <c r="M360" s="30"/>
      <c r="N360" s="30"/>
      <c r="O360" s="30"/>
      <c r="P360" s="30"/>
      <c r="Q360" s="31"/>
      <c r="R360" s="31"/>
      <c r="S360" s="31"/>
      <c r="T360" s="32"/>
      <c r="U360" s="32"/>
      <c r="V360" s="32"/>
      <c r="W360" s="32"/>
      <c r="X360" s="32"/>
      <c r="Y360" s="33"/>
      <c r="Z360" s="33"/>
      <c r="AA360" s="33"/>
    </row>
    <row r="361" spans="1:27">
      <c r="A361" s="29"/>
      <c r="B361" s="19">
        <f t="shared" si="11"/>
        <v>46327</v>
      </c>
      <c r="C361" s="27">
        <f>I361+J361+K361+L361+M361+N361+O361+P361+IF(Q361="",0,Q361*サマリー!$B$9)+IF(R361="",0,IF(R361=200,サマリー!$B$10,IF(R361=100,サマリー!$B$11,0)))+IF(S361="",0,S361*サマリー!$B$12)</f>
        <v>0</v>
      </c>
      <c r="D361" s="27">
        <f>T361+U361+V361+W361+X361+IF(Y361="",0,Y361*サマリー!$B$9)+IF(Z361="",0,IF(Z361=200,サマリー!$B$10,IF(Z361=100,サマリー!$B$11,0)))+IF(AA361="",0,AA361*サマリー!$B$12)</f>
        <v>0</v>
      </c>
      <c r="E361" s="27">
        <f t="shared" si="10"/>
        <v>0</v>
      </c>
      <c r="I361" s="30"/>
      <c r="J361" s="30"/>
      <c r="K361" s="30"/>
      <c r="L361" s="30"/>
      <c r="M361" s="30"/>
      <c r="N361" s="30"/>
      <c r="O361" s="30"/>
      <c r="P361" s="30"/>
      <c r="Q361" s="31"/>
      <c r="R361" s="31"/>
      <c r="S361" s="31"/>
      <c r="T361" s="32"/>
      <c r="U361" s="32"/>
      <c r="V361" s="32"/>
      <c r="W361" s="32"/>
      <c r="X361" s="32"/>
      <c r="Y361" s="33"/>
      <c r="Z361" s="33"/>
      <c r="AA361" s="33"/>
    </row>
    <row r="362" spans="1:27">
      <c r="A362" s="29"/>
      <c r="B362" s="19">
        <f t="shared" si="11"/>
        <v>46327</v>
      </c>
      <c r="C362" s="27">
        <f>I362+J362+K362+L362+M362+N362+O362+P362+IF(Q362="",0,Q362*サマリー!$B$9)+IF(R362="",0,IF(R362=200,サマリー!$B$10,IF(R362=100,サマリー!$B$11,0)))+IF(S362="",0,S362*サマリー!$B$12)</f>
        <v>0</v>
      </c>
      <c r="D362" s="27">
        <f>T362+U362+V362+W362+X362+IF(Y362="",0,Y362*サマリー!$B$9)+IF(Z362="",0,IF(Z362=200,サマリー!$B$10,IF(Z362=100,サマリー!$B$11,0)))+IF(AA362="",0,AA362*サマリー!$B$12)</f>
        <v>0</v>
      </c>
      <c r="E362" s="27">
        <f t="shared" si="10"/>
        <v>0</v>
      </c>
      <c r="I362" s="30"/>
      <c r="J362" s="30"/>
      <c r="K362" s="30"/>
      <c r="L362" s="30"/>
      <c r="M362" s="30"/>
      <c r="N362" s="30"/>
      <c r="O362" s="30"/>
      <c r="P362" s="30"/>
      <c r="Q362" s="31"/>
      <c r="R362" s="31"/>
      <c r="S362" s="31"/>
      <c r="T362" s="32"/>
      <c r="U362" s="32"/>
      <c r="V362" s="32"/>
      <c r="W362" s="32"/>
      <c r="X362" s="32"/>
      <c r="Y362" s="33"/>
      <c r="Z362" s="33"/>
      <c r="AA362" s="33"/>
    </row>
    <row r="363" spans="1:27">
      <c r="A363" s="29"/>
      <c r="B363" s="19">
        <f t="shared" si="11"/>
        <v>46327</v>
      </c>
      <c r="C363" s="27">
        <f>I363+J363+K363+L363+M363+N363+O363+P363+IF(Q363="",0,Q363*サマリー!$B$9)+IF(R363="",0,IF(R363=200,サマリー!$B$10,IF(R363=100,サマリー!$B$11,0)))+IF(S363="",0,S363*サマリー!$B$12)</f>
        <v>0</v>
      </c>
      <c r="D363" s="27">
        <f>T363+U363+V363+W363+X363+IF(Y363="",0,Y363*サマリー!$B$9)+IF(Z363="",0,IF(Z363=200,サマリー!$B$10,IF(Z363=100,サマリー!$B$11,0)))+IF(AA363="",0,AA363*サマリー!$B$12)</f>
        <v>0</v>
      </c>
      <c r="E363" s="27">
        <f t="shared" si="10"/>
        <v>0</v>
      </c>
      <c r="I363" s="30"/>
      <c r="J363" s="30"/>
      <c r="K363" s="30"/>
      <c r="L363" s="30"/>
      <c r="M363" s="30"/>
      <c r="N363" s="30"/>
      <c r="O363" s="30"/>
      <c r="P363" s="30"/>
      <c r="Q363" s="31"/>
      <c r="R363" s="31"/>
      <c r="S363" s="31"/>
      <c r="T363" s="32"/>
      <c r="U363" s="32"/>
      <c r="V363" s="32"/>
      <c r="W363" s="32"/>
      <c r="X363" s="32"/>
      <c r="Y363" s="33"/>
      <c r="Z363" s="33"/>
      <c r="AA363" s="33"/>
    </row>
    <row r="364" spans="1:27">
      <c r="A364" s="29"/>
      <c r="B364" s="19">
        <f t="shared" si="11"/>
        <v>46327</v>
      </c>
      <c r="C364" s="27">
        <f>I364+J364+K364+L364+M364+N364+O364+P364+IF(Q364="",0,Q364*サマリー!$B$9)+IF(R364="",0,IF(R364=200,サマリー!$B$10,IF(R364=100,サマリー!$B$11,0)))+IF(S364="",0,S364*サマリー!$B$12)</f>
        <v>0</v>
      </c>
      <c r="D364" s="27">
        <f>T364+U364+V364+W364+X364+IF(Y364="",0,Y364*サマリー!$B$9)+IF(Z364="",0,IF(Z364=200,サマリー!$B$10,IF(Z364=100,サマリー!$B$11,0)))+IF(AA364="",0,AA364*サマリー!$B$12)</f>
        <v>0</v>
      </c>
      <c r="E364" s="27">
        <f t="shared" si="10"/>
        <v>0</v>
      </c>
      <c r="I364" s="30"/>
      <c r="J364" s="30"/>
      <c r="K364" s="30"/>
      <c r="L364" s="30"/>
      <c r="M364" s="30"/>
      <c r="N364" s="30"/>
      <c r="O364" s="30"/>
      <c r="P364" s="30"/>
      <c r="Q364" s="31"/>
      <c r="R364" s="31"/>
      <c r="S364" s="31"/>
      <c r="T364" s="32"/>
      <c r="U364" s="32"/>
      <c r="V364" s="32"/>
      <c r="W364" s="32"/>
      <c r="X364" s="32"/>
      <c r="Y364" s="33"/>
      <c r="Z364" s="33"/>
      <c r="AA364" s="33"/>
    </row>
    <row r="365" spans="1:27">
      <c r="A365" s="29"/>
      <c r="B365" s="19">
        <f t="shared" si="11"/>
        <v>46327</v>
      </c>
      <c r="C365" s="27">
        <f>I365+J365+K365+L365+M365+N365+O365+P365+IF(Q365="",0,Q365*サマリー!$B$9)+IF(R365="",0,IF(R365=200,サマリー!$B$10,IF(R365=100,サマリー!$B$11,0)))+IF(S365="",0,S365*サマリー!$B$12)</f>
        <v>0</v>
      </c>
      <c r="D365" s="27">
        <f>T365+U365+V365+W365+X365+IF(Y365="",0,Y365*サマリー!$B$9)+IF(Z365="",0,IF(Z365=200,サマリー!$B$10,IF(Z365=100,サマリー!$B$11,0)))+IF(AA365="",0,AA365*サマリー!$B$12)</f>
        <v>0</v>
      </c>
      <c r="E365" s="27">
        <f t="shared" si="10"/>
        <v>0</v>
      </c>
      <c r="I365" s="30"/>
      <c r="J365" s="30"/>
      <c r="K365" s="30"/>
      <c r="L365" s="30"/>
      <c r="M365" s="30"/>
      <c r="N365" s="30"/>
      <c r="O365" s="30"/>
      <c r="P365" s="30"/>
      <c r="Q365" s="31"/>
      <c r="R365" s="31"/>
      <c r="S365" s="31"/>
      <c r="T365" s="32"/>
      <c r="U365" s="32"/>
      <c r="V365" s="32"/>
      <c r="W365" s="32"/>
      <c r="X365" s="32"/>
      <c r="Y365" s="33"/>
      <c r="Z365" s="33"/>
      <c r="AA365" s="33"/>
    </row>
    <row r="366" spans="1:27">
      <c r="A366" s="29"/>
      <c r="B366" s="19">
        <f t="shared" si="11"/>
        <v>46327</v>
      </c>
      <c r="C366" s="27">
        <f>I366+J366+K366+L366+M366+N366+O366+P366+IF(Q366="",0,Q366*サマリー!$B$9)+IF(R366="",0,IF(R366=200,サマリー!$B$10,IF(R366=100,サマリー!$B$11,0)))+IF(S366="",0,S366*サマリー!$B$12)</f>
        <v>0</v>
      </c>
      <c r="D366" s="27">
        <f>T366+U366+V366+W366+X366+IF(Y366="",0,Y366*サマリー!$B$9)+IF(Z366="",0,IF(Z366=200,サマリー!$B$10,IF(Z366=100,サマリー!$B$11,0)))+IF(AA366="",0,AA366*サマリー!$B$12)</f>
        <v>0</v>
      </c>
      <c r="E366" s="27">
        <f t="shared" si="10"/>
        <v>0</v>
      </c>
      <c r="I366" s="30"/>
      <c r="J366" s="30"/>
      <c r="K366" s="30"/>
      <c r="L366" s="30"/>
      <c r="M366" s="30"/>
      <c r="N366" s="30"/>
      <c r="O366" s="30"/>
      <c r="P366" s="30"/>
      <c r="Q366" s="31"/>
      <c r="R366" s="31"/>
      <c r="S366" s="31"/>
      <c r="T366" s="32"/>
      <c r="U366" s="32"/>
      <c r="V366" s="32"/>
      <c r="W366" s="32"/>
      <c r="X366" s="32"/>
      <c r="Y366" s="33"/>
      <c r="Z366" s="33"/>
      <c r="AA366" s="33"/>
    </row>
    <row r="367" spans="1:27">
      <c r="A367" s="29"/>
      <c r="B367" s="19">
        <f t="shared" si="11"/>
        <v>46327</v>
      </c>
      <c r="C367" s="27">
        <f>I367+J367+K367+L367+M367+N367+O367+P367+IF(Q367="",0,Q367*サマリー!$B$9)+IF(R367="",0,IF(R367=200,サマリー!$B$10,IF(R367=100,サマリー!$B$11,0)))+IF(S367="",0,S367*サマリー!$B$12)</f>
        <v>0</v>
      </c>
      <c r="D367" s="27">
        <f>T367+U367+V367+W367+X367+IF(Y367="",0,Y367*サマリー!$B$9)+IF(Z367="",0,IF(Z367=200,サマリー!$B$10,IF(Z367=100,サマリー!$B$11,0)))+IF(AA367="",0,AA367*サマリー!$B$12)</f>
        <v>0</v>
      </c>
      <c r="E367" s="27">
        <f t="shared" si="10"/>
        <v>0</v>
      </c>
      <c r="I367" s="30"/>
      <c r="J367" s="30"/>
      <c r="K367" s="30"/>
      <c r="L367" s="30"/>
      <c r="M367" s="30"/>
      <c r="N367" s="30"/>
      <c r="O367" s="30"/>
      <c r="P367" s="30"/>
      <c r="Q367" s="31"/>
      <c r="R367" s="31"/>
      <c r="S367" s="31"/>
      <c r="T367" s="32"/>
      <c r="U367" s="32"/>
      <c r="V367" s="32"/>
      <c r="W367" s="32"/>
      <c r="X367" s="32"/>
      <c r="Y367" s="33"/>
      <c r="Z367" s="33"/>
      <c r="AA367" s="33"/>
    </row>
    <row r="368" spans="1:27">
      <c r="A368" s="29"/>
      <c r="B368" s="19">
        <f t="shared" si="11"/>
        <v>46327</v>
      </c>
      <c r="C368" s="27">
        <f>I368+J368+K368+L368+M368+N368+O368+P368+IF(Q368="",0,Q368*サマリー!$B$9)+IF(R368="",0,IF(R368=200,サマリー!$B$10,IF(R368=100,サマリー!$B$11,0)))+IF(S368="",0,S368*サマリー!$B$12)</f>
        <v>0</v>
      </c>
      <c r="D368" s="27">
        <f>T368+U368+V368+W368+X368+IF(Y368="",0,Y368*サマリー!$B$9)+IF(Z368="",0,IF(Z368=200,サマリー!$B$10,IF(Z368=100,サマリー!$B$11,0)))+IF(AA368="",0,AA368*サマリー!$B$12)</f>
        <v>0</v>
      </c>
      <c r="E368" s="27">
        <f t="shared" si="10"/>
        <v>0</v>
      </c>
      <c r="I368" s="30"/>
      <c r="J368" s="30"/>
      <c r="K368" s="30"/>
      <c r="L368" s="30"/>
      <c r="M368" s="30"/>
      <c r="N368" s="30"/>
      <c r="O368" s="30"/>
      <c r="P368" s="30"/>
      <c r="Q368" s="31"/>
      <c r="R368" s="31"/>
      <c r="S368" s="31"/>
      <c r="T368" s="32"/>
      <c r="U368" s="32"/>
      <c r="V368" s="32"/>
      <c r="W368" s="32"/>
      <c r="X368" s="32"/>
      <c r="Y368" s="33"/>
      <c r="Z368" s="33"/>
      <c r="AA368" s="33"/>
    </row>
    <row r="369" spans="1:27">
      <c r="A369" s="29"/>
      <c r="B369" s="19">
        <f t="shared" si="11"/>
        <v>46327</v>
      </c>
      <c r="C369" s="27">
        <f>I369+J369+K369+L369+M369+N369+O369+P369+IF(Q369="",0,Q369*サマリー!$B$9)+IF(R369="",0,IF(R369=200,サマリー!$B$10,IF(R369=100,サマリー!$B$11,0)))+IF(S369="",0,S369*サマリー!$B$12)</f>
        <v>0</v>
      </c>
      <c r="D369" s="27">
        <f>T369+U369+V369+W369+X369+IF(Y369="",0,Y369*サマリー!$B$9)+IF(Z369="",0,IF(Z369=200,サマリー!$B$10,IF(Z369=100,サマリー!$B$11,0)))+IF(AA369="",0,AA369*サマリー!$B$12)</f>
        <v>0</v>
      </c>
      <c r="E369" s="27">
        <f t="shared" si="10"/>
        <v>0</v>
      </c>
      <c r="I369" s="30"/>
      <c r="J369" s="30"/>
      <c r="K369" s="30"/>
      <c r="L369" s="30"/>
      <c r="M369" s="30"/>
      <c r="N369" s="30"/>
      <c r="O369" s="30"/>
      <c r="P369" s="30"/>
      <c r="Q369" s="31"/>
      <c r="R369" s="31"/>
      <c r="S369" s="31"/>
      <c r="T369" s="32"/>
      <c r="U369" s="32"/>
      <c r="V369" s="32"/>
      <c r="W369" s="32"/>
      <c r="X369" s="32"/>
      <c r="Y369" s="33"/>
      <c r="Z369" s="33"/>
      <c r="AA369" s="33"/>
    </row>
    <row r="370" spans="1:27">
      <c r="A370" s="29"/>
      <c r="B370" s="19">
        <f t="shared" si="11"/>
        <v>46327</v>
      </c>
      <c r="C370" s="27">
        <f>I370+J370+K370+L370+M370+N370+O370+P370+IF(Q370="",0,Q370*サマリー!$B$9)+IF(R370="",0,IF(R370=200,サマリー!$B$10,IF(R370=100,サマリー!$B$11,0)))+IF(S370="",0,S370*サマリー!$B$12)</f>
        <v>0</v>
      </c>
      <c r="D370" s="27">
        <f>T370+U370+V370+W370+X370+IF(Y370="",0,Y370*サマリー!$B$9)+IF(Z370="",0,IF(Z370=200,サマリー!$B$10,IF(Z370=100,サマリー!$B$11,0)))+IF(AA370="",0,AA370*サマリー!$B$12)</f>
        <v>0</v>
      </c>
      <c r="E370" s="27">
        <f t="shared" si="10"/>
        <v>0</v>
      </c>
      <c r="I370" s="30"/>
      <c r="J370" s="30"/>
      <c r="K370" s="30"/>
      <c r="L370" s="30"/>
      <c r="M370" s="30"/>
      <c r="N370" s="30"/>
      <c r="O370" s="30"/>
      <c r="P370" s="30"/>
      <c r="Q370" s="31"/>
      <c r="R370" s="31"/>
      <c r="S370" s="31"/>
      <c r="T370" s="32"/>
      <c r="U370" s="32"/>
      <c r="V370" s="32"/>
      <c r="W370" s="32"/>
      <c r="X370" s="32"/>
      <c r="Y370" s="33"/>
      <c r="Z370" s="33"/>
      <c r="AA370" s="33"/>
    </row>
    <row r="371" spans="1:27">
      <c r="A371" s="29"/>
      <c r="B371" s="19">
        <f t="shared" si="11"/>
        <v>46327</v>
      </c>
      <c r="C371" s="27">
        <f>I371+J371+K371+L371+M371+N371+O371+P371+IF(Q371="",0,Q371*サマリー!$B$9)+IF(R371="",0,IF(R371=200,サマリー!$B$10,IF(R371=100,サマリー!$B$11,0)))+IF(S371="",0,S371*サマリー!$B$12)</f>
        <v>0</v>
      </c>
      <c r="D371" s="27">
        <f>T371+U371+V371+W371+X371+IF(Y371="",0,Y371*サマリー!$B$9)+IF(Z371="",0,IF(Z371=200,サマリー!$B$10,IF(Z371=100,サマリー!$B$11,0)))+IF(AA371="",0,AA371*サマリー!$B$12)</f>
        <v>0</v>
      </c>
      <c r="E371" s="27">
        <f t="shared" si="10"/>
        <v>0</v>
      </c>
      <c r="I371" s="30"/>
      <c r="J371" s="30"/>
      <c r="K371" s="30"/>
      <c r="L371" s="30"/>
      <c r="M371" s="30"/>
      <c r="N371" s="30"/>
      <c r="O371" s="30"/>
      <c r="P371" s="30"/>
      <c r="Q371" s="31"/>
      <c r="R371" s="31"/>
      <c r="S371" s="31"/>
      <c r="T371" s="32"/>
      <c r="U371" s="32"/>
      <c r="V371" s="32"/>
      <c r="W371" s="32"/>
      <c r="X371" s="32"/>
      <c r="Y371" s="33"/>
      <c r="Z371" s="33"/>
      <c r="AA371" s="33"/>
    </row>
    <row r="372" spans="1:27">
      <c r="A372" s="29"/>
      <c r="B372" s="19">
        <f t="shared" si="11"/>
        <v>46327</v>
      </c>
      <c r="C372" s="27">
        <f>I372+J372+K372+L372+M372+N372+O372+P372+IF(Q372="",0,Q372*サマリー!$B$9)+IF(R372="",0,IF(R372=200,サマリー!$B$10,IF(R372=100,サマリー!$B$11,0)))+IF(S372="",0,S372*サマリー!$B$12)</f>
        <v>0</v>
      </c>
      <c r="D372" s="27">
        <f>T372+U372+V372+W372+X372+IF(Y372="",0,Y372*サマリー!$B$9)+IF(Z372="",0,IF(Z372=200,サマリー!$B$10,IF(Z372=100,サマリー!$B$11,0)))+IF(AA372="",0,AA372*サマリー!$B$12)</f>
        <v>0</v>
      </c>
      <c r="E372" s="27">
        <f t="shared" si="10"/>
        <v>0</v>
      </c>
      <c r="I372" s="30"/>
      <c r="J372" s="30"/>
      <c r="K372" s="30"/>
      <c r="L372" s="30"/>
      <c r="M372" s="30"/>
      <c r="N372" s="30"/>
      <c r="O372" s="30"/>
      <c r="P372" s="30"/>
      <c r="Q372" s="31"/>
      <c r="R372" s="31"/>
      <c r="S372" s="31"/>
      <c r="T372" s="32"/>
      <c r="U372" s="32"/>
      <c r="V372" s="32"/>
      <c r="W372" s="32"/>
      <c r="X372" s="32"/>
      <c r="Y372" s="33"/>
      <c r="Z372" s="33"/>
      <c r="AA372" s="33"/>
    </row>
    <row r="373" spans="1:27">
      <c r="A373" s="29"/>
      <c r="B373" s="19">
        <f t="shared" si="11"/>
        <v>46327</v>
      </c>
      <c r="C373" s="27">
        <f>I373+J373+K373+L373+M373+N373+O373+P373+IF(Q373="",0,Q373*サマリー!$B$9)+IF(R373="",0,IF(R373=200,サマリー!$B$10,IF(R373=100,サマリー!$B$11,0)))+IF(S373="",0,S373*サマリー!$B$12)</f>
        <v>0</v>
      </c>
      <c r="D373" s="27">
        <f>T373+U373+V373+W373+X373+IF(Y373="",0,Y373*サマリー!$B$9)+IF(Z373="",0,IF(Z373=200,サマリー!$B$10,IF(Z373=100,サマリー!$B$11,0)))+IF(AA373="",0,AA373*サマリー!$B$12)</f>
        <v>0</v>
      </c>
      <c r="E373" s="27">
        <f t="shared" si="10"/>
        <v>0</v>
      </c>
      <c r="I373" s="30"/>
      <c r="J373" s="30"/>
      <c r="K373" s="30"/>
      <c r="L373" s="30"/>
      <c r="M373" s="30"/>
      <c r="N373" s="30"/>
      <c r="O373" s="30"/>
      <c r="P373" s="30"/>
      <c r="Q373" s="31"/>
      <c r="R373" s="31"/>
      <c r="S373" s="31"/>
      <c r="T373" s="32"/>
      <c r="U373" s="32"/>
      <c r="V373" s="32"/>
      <c r="W373" s="32"/>
      <c r="X373" s="32"/>
      <c r="Y373" s="33"/>
      <c r="Z373" s="33"/>
      <c r="AA373" s="33"/>
    </row>
    <row r="374" spans="1:27">
      <c r="A374" s="29"/>
      <c r="B374" s="19">
        <f t="shared" si="11"/>
        <v>46327</v>
      </c>
      <c r="C374" s="27">
        <f>I374+J374+K374+L374+M374+N374+O374+P374+IF(Q374="",0,Q374*サマリー!$B$9)+IF(R374="",0,IF(R374=200,サマリー!$B$10,IF(R374=100,サマリー!$B$11,0)))+IF(S374="",0,S374*サマリー!$B$12)</f>
        <v>0</v>
      </c>
      <c r="D374" s="27">
        <f>T374+U374+V374+W374+X374+IF(Y374="",0,Y374*サマリー!$B$9)+IF(Z374="",0,IF(Z374=200,サマリー!$B$10,IF(Z374=100,サマリー!$B$11,0)))+IF(AA374="",0,AA374*サマリー!$B$12)</f>
        <v>0</v>
      </c>
      <c r="E374" s="27">
        <f t="shared" si="10"/>
        <v>0</v>
      </c>
      <c r="I374" s="30"/>
      <c r="J374" s="30"/>
      <c r="K374" s="30"/>
      <c r="L374" s="30"/>
      <c r="M374" s="30"/>
      <c r="N374" s="30"/>
      <c r="O374" s="30"/>
      <c r="P374" s="30"/>
      <c r="Q374" s="31"/>
      <c r="R374" s="31"/>
      <c r="S374" s="31"/>
      <c r="T374" s="32"/>
      <c r="U374" s="32"/>
      <c r="V374" s="32"/>
      <c r="W374" s="32"/>
      <c r="X374" s="32"/>
      <c r="Y374" s="33"/>
      <c r="Z374" s="33"/>
      <c r="AA374" s="33"/>
    </row>
    <row r="375" spans="1:27">
      <c r="A375" s="29"/>
      <c r="B375" s="19">
        <f t="shared" si="11"/>
        <v>46327</v>
      </c>
      <c r="C375" s="27">
        <f>I375+J375+K375+L375+M375+N375+O375+P375+IF(Q375="",0,Q375*サマリー!$B$9)+IF(R375="",0,IF(R375=200,サマリー!$B$10,IF(R375=100,サマリー!$B$11,0)))+IF(S375="",0,S375*サマリー!$B$12)</f>
        <v>0</v>
      </c>
      <c r="D375" s="27">
        <f>T375+U375+V375+W375+X375+IF(Y375="",0,Y375*サマリー!$B$9)+IF(Z375="",0,IF(Z375=200,サマリー!$B$10,IF(Z375=100,サマリー!$B$11,0)))+IF(AA375="",0,AA375*サマリー!$B$12)</f>
        <v>0</v>
      </c>
      <c r="E375" s="27">
        <f t="shared" si="10"/>
        <v>0</v>
      </c>
      <c r="I375" s="30"/>
      <c r="J375" s="30"/>
      <c r="K375" s="30"/>
      <c r="L375" s="30"/>
      <c r="M375" s="30"/>
      <c r="N375" s="30"/>
      <c r="O375" s="30"/>
      <c r="P375" s="30"/>
      <c r="Q375" s="31"/>
      <c r="R375" s="31"/>
      <c r="S375" s="31"/>
      <c r="T375" s="32"/>
      <c r="U375" s="32"/>
      <c r="V375" s="32"/>
      <c r="W375" s="32"/>
      <c r="X375" s="32"/>
      <c r="Y375" s="33"/>
      <c r="Z375" s="33"/>
      <c r="AA375" s="33"/>
    </row>
    <row r="376" spans="1:27">
      <c r="A376" s="29"/>
      <c r="B376" s="19">
        <f t="shared" si="11"/>
        <v>46327</v>
      </c>
      <c r="C376" s="27">
        <f>I376+J376+K376+L376+M376+N376+O376+P376+IF(Q376="",0,Q376*サマリー!$B$9)+IF(R376="",0,IF(R376=200,サマリー!$B$10,IF(R376=100,サマリー!$B$11,0)))+IF(S376="",0,S376*サマリー!$B$12)</f>
        <v>0</v>
      </c>
      <c r="D376" s="27">
        <f>T376+U376+V376+W376+X376+IF(Y376="",0,Y376*サマリー!$B$9)+IF(Z376="",0,IF(Z376=200,サマリー!$B$10,IF(Z376=100,サマリー!$B$11,0)))+IF(AA376="",0,AA376*サマリー!$B$12)</f>
        <v>0</v>
      </c>
      <c r="E376" s="27">
        <f t="shared" si="10"/>
        <v>0</v>
      </c>
      <c r="I376" s="30"/>
      <c r="J376" s="30"/>
      <c r="K376" s="30"/>
      <c r="L376" s="30"/>
      <c r="M376" s="30"/>
      <c r="N376" s="30"/>
      <c r="O376" s="30"/>
      <c r="P376" s="30"/>
      <c r="Q376" s="31"/>
      <c r="R376" s="31"/>
      <c r="S376" s="31"/>
      <c r="T376" s="32"/>
      <c r="U376" s="32"/>
      <c r="V376" s="32"/>
      <c r="W376" s="32"/>
      <c r="X376" s="32"/>
      <c r="Y376" s="33"/>
      <c r="Z376" s="33"/>
      <c r="AA376" s="33"/>
    </row>
    <row r="377" spans="1:27">
      <c r="A377" s="29"/>
      <c r="B377" s="19">
        <f t="shared" si="11"/>
        <v>46327</v>
      </c>
      <c r="C377" s="27">
        <f>I377+J377+K377+L377+M377+N377+O377+P377+IF(Q377="",0,Q377*サマリー!$B$9)+IF(R377="",0,IF(R377=200,サマリー!$B$10,IF(R377=100,サマリー!$B$11,0)))+IF(S377="",0,S377*サマリー!$B$12)</f>
        <v>0</v>
      </c>
      <c r="D377" s="27">
        <f>T377+U377+V377+W377+X377+IF(Y377="",0,Y377*サマリー!$B$9)+IF(Z377="",0,IF(Z377=200,サマリー!$B$10,IF(Z377=100,サマリー!$B$11,0)))+IF(AA377="",0,AA377*サマリー!$B$12)</f>
        <v>0</v>
      </c>
      <c r="E377" s="27">
        <f t="shared" si="10"/>
        <v>0</v>
      </c>
      <c r="I377" s="30"/>
      <c r="J377" s="30"/>
      <c r="K377" s="30"/>
      <c r="L377" s="30"/>
      <c r="M377" s="30"/>
      <c r="N377" s="30"/>
      <c r="O377" s="30"/>
      <c r="P377" s="30"/>
      <c r="Q377" s="31"/>
      <c r="R377" s="31"/>
      <c r="S377" s="31"/>
      <c r="T377" s="32"/>
      <c r="U377" s="32"/>
      <c r="V377" s="32"/>
      <c r="W377" s="32"/>
      <c r="X377" s="32"/>
      <c r="Y377" s="33"/>
      <c r="Z377" s="33"/>
      <c r="AA377" s="33"/>
    </row>
    <row r="378" spans="1:27">
      <c r="A378" s="29"/>
      <c r="B378" s="19">
        <f t="shared" si="11"/>
        <v>46327</v>
      </c>
      <c r="C378" s="27">
        <f>I378+J378+K378+L378+M378+N378+O378+P378+IF(Q378="",0,Q378*サマリー!$B$9)+IF(R378="",0,IF(R378=200,サマリー!$B$10,IF(R378=100,サマリー!$B$11,0)))+IF(S378="",0,S378*サマリー!$B$12)</f>
        <v>0</v>
      </c>
      <c r="D378" s="27">
        <f>T378+U378+V378+W378+X378+IF(Y378="",0,Y378*サマリー!$B$9)+IF(Z378="",0,IF(Z378=200,サマリー!$B$10,IF(Z378=100,サマリー!$B$11,0)))+IF(AA378="",0,AA378*サマリー!$B$12)</f>
        <v>0</v>
      </c>
      <c r="E378" s="27">
        <f t="shared" si="10"/>
        <v>0</v>
      </c>
      <c r="I378" s="30"/>
      <c r="J378" s="30"/>
      <c r="K378" s="30"/>
      <c r="L378" s="30"/>
      <c r="M378" s="30"/>
      <c r="N378" s="30"/>
      <c r="O378" s="30"/>
      <c r="P378" s="30"/>
      <c r="Q378" s="31"/>
      <c r="R378" s="31"/>
      <c r="S378" s="31"/>
      <c r="T378" s="32"/>
      <c r="U378" s="32"/>
      <c r="V378" s="32"/>
      <c r="W378" s="32"/>
      <c r="X378" s="32"/>
      <c r="Y378" s="33"/>
      <c r="Z378" s="33"/>
      <c r="AA378" s="33"/>
    </row>
    <row r="379" spans="1:27">
      <c r="A379" s="29"/>
      <c r="B379" s="19">
        <f t="shared" si="11"/>
        <v>46327</v>
      </c>
      <c r="C379" s="27">
        <f>I379+J379+K379+L379+M379+N379+O379+P379+IF(Q379="",0,Q379*サマリー!$B$9)+IF(R379="",0,IF(R379=200,サマリー!$B$10,IF(R379=100,サマリー!$B$11,0)))+IF(S379="",0,S379*サマリー!$B$12)</f>
        <v>0</v>
      </c>
      <c r="D379" s="27">
        <f>T379+U379+V379+W379+X379+IF(Y379="",0,Y379*サマリー!$B$9)+IF(Z379="",0,IF(Z379=200,サマリー!$B$10,IF(Z379=100,サマリー!$B$11,0)))+IF(AA379="",0,AA379*サマリー!$B$12)</f>
        <v>0</v>
      </c>
      <c r="E379" s="27">
        <f t="shared" si="10"/>
        <v>0</v>
      </c>
      <c r="I379" s="30"/>
      <c r="J379" s="30"/>
      <c r="K379" s="30"/>
      <c r="L379" s="30"/>
      <c r="M379" s="30"/>
      <c r="N379" s="30"/>
      <c r="O379" s="30"/>
      <c r="P379" s="30"/>
      <c r="Q379" s="31"/>
      <c r="R379" s="31"/>
      <c r="S379" s="31"/>
      <c r="T379" s="32"/>
      <c r="U379" s="32"/>
      <c r="V379" s="32"/>
      <c r="W379" s="32"/>
      <c r="X379" s="32"/>
      <c r="Y379" s="33"/>
      <c r="Z379" s="33"/>
      <c r="AA379" s="33"/>
    </row>
    <row r="380" spans="1:27">
      <c r="A380" s="29"/>
      <c r="B380" s="19">
        <f t="shared" si="11"/>
        <v>46327</v>
      </c>
      <c r="C380" s="27">
        <f>I380+J380+K380+L380+M380+N380+O380+P380+IF(Q380="",0,Q380*サマリー!$B$9)+IF(R380="",0,IF(R380=200,サマリー!$B$10,IF(R380=100,サマリー!$B$11,0)))+IF(S380="",0,S380*サマリー!$B$12)</f>
        <v>0</v>
      </c>
      <c r="D380" s="27">
        <f>T380+U380+V380+W380+X380+IF(Y380="",0,Y380*サマリー!$B$9)+IF(Z380="",0,IF(Z380=200,サマリー!$B$10,IF(Z380=100,サマリー!$B$11,0)))+IF(AA380="",0,AA380*サマリー!$B$12)</f>
        <v>0</v>
      </c>
      <c r="E380" s="27">
        <f t="shared" si="10"/>
        <v>0</v>
      </c>
      <c r="I380" s="30"/>
      <c r="J380" s="30"/>
      <c r="K380" s="30"/>
      <c r="L380" s="30"/>
      <c r="M380" s="30"/>
      <c r="N380" s="30"/>
      <c r="O380" s="30"/>
      <c r="P380" s="30"/>
      <c r="Q380" s="31"/>
      <c r="R380" s="31"/>
      <c r="S380" s="31"/>
      <c r="T380" s="32"/>
      <c r="U380" s="32"/>
      <c r="V380" s="32"/>
      <c r="W380" s="32"/>
      <c r="X380" s="32"/>
      <c r="Y380" s="33"/>
      <c r="Z380" s="33"/>
      <c r="AA380" s="33"/>
    </row>
    <row r="381" spans="1:27">
      <c r="A381" s="29"/>
      <c r="B381" s="19">
        <f t="shared" si="11"/>
        <v>46327</v>
      </c>
      <c r="C381" s="27">
        <f>I381+J381+K381+L381+M381+N381+O381+P381+IF(Q381="",0,Q381*サマリー!$B$9)+IF(R381="",0,IF(R381=200,サマリー!$B$10,IF(R381=100,サマリー!$B$11,0)))+IF(S381="",0,S381*サマリー!$B$12)</f>
        <v>0</v>
      </c>
      <c r="D381" s="27">
        <f>T381+U381+V381+W381+X381+IF(Y381="",0,Y381*サマリー!$B$9)+IF(Z381="",0,IF(Z381=200,サマリー!$B$10,IF(Z381=100,サマリー!$B$11,0)))+IF(AA381="",0,AA381*サマリー!$B$12)</f>
        <v>0</v>
      </c>
      <c r="E381" s="27">
        <f t="shared" si="10"/>
        <v>0</v>
      </c>
      <c r="I381" s="30"/>
      <c r="J381" s="30"/>
      <c r="K381" s="30"/>
      <c r="L381" s="30"/>
      <c r="M381" s="30"/>
      <c r="N381" s="30"/>
      <c r="O381" s="30"/>
      <c r="P381" s="30"/>
      <c r="Q381" s="31"/>
      <c r="R381" s="31"/>
      <c r="S381" s="31"/>
      <c r="T381" s="32"/>
      <c r="U381" s="32"/>
      <c r="V381" s="32"/>
      <c r="W381" s="32"/>
      <c r="X381" s="32"/>
      <c r="Y381" s="33"/>
      <c r="Z381" s="33"/>
      <c r="AA381" s="33"/>
    </row>
    <row r="382" spans="1:27">
      <c r="A382" s="29"/>
      <c r="B382" s="19">
        <f t="shared" si="11"/>
        <v>46327</v>
      </c>
      <c r="C382" s="27">
        <f>I382+J382+K382+L382+M382+N382+O382+P382+IF(Q382="",0,Q382*サマリー!$B$9)+IF(R382="",0,IF(R382=200,サマリー!$B$10,IF(R382=100,サマリー!$B$11,0)))+IF(S382="",0,S382*サマリー!$B$12)</f>
        <v>0</v>
      </c>
      <c r="D382" s="27">
        <f>T382+U382+V382+W382+X382+IF(Y382="",0,Y382*サマリー!$B$9)+IF(Z382="",0,IF(Z382=200,サマリー!$B$10,IF(Z382=100,サマリー!$B$11,0)))+IF(AA382="",0,AA382*サマリー!$B$12)</f>
        <v>0</v>
      </c>
      <c r="E382" s="27">
        <f t="shared" si="10"/>
        <v>0</v>
      </c>
      <c r="I382" s="30"/>
      <c r="J382" s="30"/>
      <c r="K382" s="30"/>
      <c r="L382" s="30"/>
      <c r="M382" s="30"/>
      <c r="N382" s="30"/>
      <c r="O382" s="30"/>
      <c r="P382" s="30"/>
      <c r="Q382" s="31"/>
      <c r="R382" s="31"/>
      <c r="S382" s="31"/>
      <c r="T382" s="32"/>
      <c r="U382" s="32"/>
      <c r="V382" s="32"/>
      <c r="W382" s="32"/>
      <c r="X382" s="32"/>
      <c r="Y382" s="33"/>
      <c r="Z382" s="33"/>
      <c r="AA382" s="33"/>
    </row>
    <row r="383" spans="1:27">
      <c r="A383" s="29"/>
      <c r="B383" s="19">
        <f t="shared" si="11"/>
        <v>46327</v>
      </c>
      <c r="C383" s="27">
        <f>I383+J383+K383+L383+M383+N383+O383+P383+IF(Q383="",0,Q383*サマリー!$B$9)+IF(R383="",0,IF(R383=200,サマリー!$B$10,IF(R383=100,サマリー!$B$11,0)))+IF(S383="",0,S383*サマリー!$B$12)</f>
        <v>0</v>
      </c>
      <c r="D383" s="27">
        <f>T383+U383+V383+W383+X383+IF(Y383="",0,Y383*サマリー!$B$9)+IF(Z383="",0,IF(Z383=200,サマリー!$B$10,IF(Z383=100,サマリー!$B$11,0)))+IF(AA383="",0,AA383*サマリー!$B$12)</f>
        <v>0</v>
      </c>
      <c r="E383" s="27">
        <f t="shared" si="10"/>
        <v>0</v>
      </c>
      <c r="I383" s="30"/>
      <c r="J383" s="30"/>
      <c r="K383" s="30"/>
      <c r="L383" s="30"/>
      <c r="M383" s="30"/>
      <c r="N383" s="30"/>
      <c r="O383" s="30"/>
      <c r="P383" s="30"/>
      <c r="Q383" s="31"/>
      <c r="R383" s="31"/>
      <c r="S383" s="31"/>
      <c r="T383" s="32"/>
      <c r="U383" s="32"/>
      <c r="V383" s="32"/>
      <c r="W383" s="32"/>
      <c r="X383" s="32"/>
      <c r="Y383" s="33"/>
      <c r="Z383" s="33"/>
      <c r="AA383" s="33"/>
    </row>
    <row r="384" spans="1:27">
      <c r="A384" s="29"/>
      <c r="B384" s="19">
        <f t="shared" si="11"/>
        <v>46327</v>
      </c>
      <c r="C384" s="27">
        <f>I384+J384+K384+L384+M384+N384+O384+P384+IF(Q384="",0,Q384*サマリー!$B$9)+IF(R384="",0,IF(R384=200,サマリー!$B$10,IF(R384=100,サマリー!$B$11,0)))+IF(S384="",0,S384*サマリー!$B$12)</f>
        <v>0</v>
      </c>
      <c r="D384" s="27">
        <f>T384+U384+V384+W384+X384+IF(Y384="",0,Y384*サマリー!$B$9)+IF(Z384="",0,IF(Z384=200,サマリー!$B$10,IF(Z384=100,サマリー!$B$11,0)))+IF(AA384="",0,AA384*サマリー!$B$12)</f>
        <v>0</v>
      </c>
      <c r="E384" s="27">
        <f t="shared" si="10"/>
        <v>0</v>
      </c>
      <c r="I384" s="30"/>
      <c r="J384" s="30"/>
      <c r="K384" s="30"/>
      <c r="L384" s="30"/>
      <c r="M384" s="30"/>
      <c r="N384" s="30"/>
      <c r="O384" s="30"/>
      <c r="P384" s="30"/>
      <c r="Q384" s="31"/>
      <c r="R384" s="31"/>
      <c r="S384" s="31"/>
      <c r="T384" s="32"/>
      <c r="U384" s="32"/>
      <c r="V384" s="32"/>
      <c r="W384" s="32"/>
      <c r="X384" s="32"/>
      <c r="Y384" s="33"/>
      <c r="Z384" s="33"/>
      <c r="AA384" s="33"/>
    </row>
    <row r="385" spans="1:27">
      <c r="A385" s="29"/>
      <c r="B385" s="19">
        <f t="shared" si="11"/>
        <v>46327</v>
      </c>
      <c r="C385" s="27">
        <f>I385+J385+K385+L385+M385+N385+O385+P385+IF(Q385="",0,Q385*サマリー!$B$9)+IF(R385="",0,IF(R385=200,サマリー!$B$10,IF(R385=100,サマリー!$B$11,0)))+IF(S385="",0,S385*サマリー!$B$12)</f>
        <v>0</v>
      </c>
      <c r="D385" s="27">
        <f>T385+U385+V385+W385+X385+IF(Y385="",0,Y385*サマリー!$B$9)+IF(Z385="",0,IF(Z385=200,サマリー!$B$10,IF(Z385=100,サマリー!$B$11,0)))+IF(AA385="",0,AA385*サマリー!$B$12)</f>
        <v>0</v>
      </c>
      <c r="E385" s="27">
        <f t="shared" si="10"/>
        <v>0</v>
      </c>
      <c r="I385" s="30"/>
      <c r="J385" s="30"/>
      <c r="K385" s="30"/>
      <c r="L385" s="30"/>
      <c r="M385" s="30"/>
      <c r="N385" s="30"/>
      <c r="O385" s="30"/>
      <c r="P385" s="30"/>
      <c r="Q385" s="31"/>
      <c r="R385" s="31"/>
      <c r="S385" s="31"/>
      <c r="T385" s="32"/>
      <c r="U385" s="32"/>
      <c r="V385" s="32"/>
      <c r="W385" s="32"/>
      <c r="X385" s="32"/>
      <c r="Y385" s="33"/>
      <c r="Z385" s="33"/>
      <c r="AA385" s="33"/>
    </row>
    <row r="386" spans="1:27">
      <c r="A386" s="29"/>
      <c r="B386" s="19">
        <f t="shared" si="11"/>
        <v>46327</v>
      </c>
      <c r="C386" s="27">
        <f>I386+J386+K386+L386+M386+N386+O386+P386+IF(Q386="",0,Q386*サマリー!$B$9)+IF(R386="",0,IF(R386=200,サマリー!$B$10,IF(R386=100,サマリー!$B$11,0)))+IF(S386="",0,S386*サマリー!$B$12)</f>
        <v>0</v>
      </c>
      <c r="D386" s="27">
        <f>T386+U386+V386+W386+X386+IF(Y386="",0,Y386*サマリー!$B$9)+IF(Z386="",0,IF(Z386=200,サマリー!$B$10,IF(Z386=100,サマリー!$B$11,0)))+IF(AA386="",0,AA386*サマリー!$B$12)</f>
        <v>0</v>
      </c>
      <c r="E386" s="27">
        <f t="shared" si="10"/>
        <v>0</v>
      </c>
      <c r="I386" s="30"/>
      <c r="J386" s="30"/>
      <c r="K386" s="30"/>
      <c r="L386" s="30"/>
      <c r="M386" s="30"/>
      <c r="N386" s="30"/>
      <c r="O386" s="30"/>
      <c r="P386" s="30"/>
      <c r="Q386" s="31"/>
      <c r="R386" s="31"/>
      <c r="S386" s="31"/>
      <c r="T386" s="32"/>
      <c r="U386" s="32"/>
      <c r="V386" s="32"/>
      <c r="W386" s="32"/>
      <c r="X386" s="32"/>
      <c r="Y386" s="33"/>
      <c r="Z386" s="33"/>
      <c r="AA386" s="33"/>
    </row>
    <row r="387" spans="1:27">
      <c r="A387" s="29"/>
      <c r="B387" s="19">
        <f t="shared" si="11"/>
        <v>46327</v>
      </c>
      <c r="C387" s="27">
        <f>I387+J387+K387+L387+M387+N387+O387+P387+IF(Q387="",0,Q387*サマリー!$B$9)+IF(R387="",0,IF(R387=200,サマリー!$B$10,IF(R387=100,サマリー!$B$11,0)))+IF(S387="",0,S387*サマリー!$B$12)</f>
        <v>0</v>
      </c>
      <c r="D387" s="27">
        <f>T387+U387+V387+W387+X387+IF(Y387="",0,Y387*サマリー!$B$9)+IF(Z387="",0,IF(Z387=200,サマリー!$B$10,IF(Z387=100,サマリー!$B$11,0)))+IF(AA387="",0,AA387*サマリー!$B$12)</f>
        <v>0</v>
      </c>
      <c r="E387" s="27">
        <f t="shared" si="10"/>
        <v>0</v>
      </c>
      <c r="I387" s="30"/>
      <c r="J387" s="30"/>
      <c r="K387" s="30"/>
      <c r="L387" s="30"/>
      <c r="M387" s="30"/>
      <c r="N387" s="30"/>
      <c r="O387" s="30"/>
      <c r="P387" s="30"/>
      <c r="Q387" s="31"/>
      <c r="R387" s="31"/>
      <c r="S387" s="31"/>
      <c r="T387" s="32"/>
      <c r="U387" s="32"/>
      <c r="V387" s="32"/>
      <c r="W387" s="32"/>
      <c r="X387" s="32"/>
      <c r="Y387" s="33"/>
      <c r="Z387" s="33"/>
      <c r="AA387" s="33"/>
    </row>
    <row r="388" spans="1:27">
      <c r="A388" s="29"/>
      <c r="B388" s="19">
        <f t="shared" si="11"/>
        <v>46327</v>
      </c>
      <c r="C388" s="27">
        <f>I388+J388+K388+L388+M388+N388+O388+P388+IF(Q388="",0,Q388*サマリー!$B$9)+IF(R388="",0,IF(R388=200,サマリー!$B$10,IF(R388=100,サマリー!$B$11,0)))+IF(S388="",0,S388*サマリー!$B$12)</f>
        <v>0</v>
      </c>
      <c r="D388" s="27">
        <f>T388+U388+V388+W388+X388+IF(Y388="",0,Y388*サマリー!$B$9)+IF(Z388="",0,IF(Z388=200,サマリー!$B$10,IF(Z388=100,サマリー!$B$11,0)))+IF(AA388="",0,AA388*サマリー!$B$12)</f>
        <v>0</v>
      </c>
      <c r="E388" s="27">
        <f t="shared" si="10"/>
        <v>0</v>
      </c>
      <c r="I388" s="30"/>
      <c r="J388" s="30"/>
      <c r="K388" s="30"/>
      <c r="L388" s="30"/>
      <c r="M388" s="30"/>
      <c r="N388" s="30"/>
      <c r="O388" s="30"/>
      <c r="P388" s="30"/>
      <c r="Q388" s="31"/>
      <c r="R388" s="31"/>
      <c r="S388" s="31"/>
      <c r="T388" s="32"/>
      <c r="U388" s="32"/>
      <c r="V388" s="32"/>
      <c r="W388" s="32"/>
      <c r="X388" s="32"/>
      <c r="Y388" s="33"/>
      <c r="Z388" s="33"/>
      <c r="AA388" s="33"/>
    </row>
    <row r="389" spans="1:27">
      <c r="A389" s="29"/>
      <c r="B389" s="19">
        <f t="shared" si="11"/>
        <v>46327</v>
      </c>
      <c r="C389" s="27">
        <f>I389+J389+K389+L389+M389+N389+O389+P389+IF(Q389="",0,Q389*サマリー!$B$9)+IF(R389="",0,IF(R389=200,サマリー!$B$10,IF(R389=100,サマリー!$B$11,0)))+IF(S389="",0,S389*サマリー!$B$12)</f>
        <v>0</v>
      </c>
      <c r="D389" s="27">
        <f>T389+U389+V389+W389+X389+IF(Y389="",0,Y389*サマリー!$B$9)+IF(Z389="",0,IF(Z389=200,サマリー!$B$10,IF(Z389=100,サマリー!$B$11,0)))+IF(AA389="",0,AA389*サマリー!$B$12)</f>
        <v>0</v>
      </c>
      <c r="E389" s="27">
        <f t="shared" si="10"/>
        <v>0</v>
      </c>
      <c r="I389" s="30"/>
      <c r="J389" s="30"/>
      <c r="K389" s="30"/>
      <c r="L389" s="30"/>
      <c r="M389" s="30"/>
      <c r="N389" s="30"/>
      <c r="O389" s="30"/>
      <c r="P389" s="30"/>
      <c r="Q389" s="31"/>
      <c r="R389" s="31"/>
      <c r="S389" s="31"/>
      <c r="T389" s="32"/>
      <c r="U389" s="32"/>
      <c r="V389" s="32"/>
      <c r="W389" s="32"/>
      <c r="X389" s="32"/>
      <c r="Y389" s="33"/>
      <c r="Z389" s="33"/>
      <c r="AA389" s="33"/>
    </row>
    <row r="390" spans="1:27">
      <c r="A390" s="29"/>
      <c r="B390" s="19">
        <f t="shared" si="11"/>
        <v>46327</v>
      </c>
      <c r="C390" s="27">
        <f>I390+J390+K390+L390+M390+N390+O390+P390+IF(Q390="",0,Q390*サマリー!$B$9)+IF(R390="",0,IF(R390=200,サマリー!$B$10,IF(R390=100,サマリー!$B$11,0)))+IF(S390="",0,S390*サマリー!$B$12)</f>
        <v>0</v>
      </c>
      <c r="D390" s="27">
        <f>T390+U390+V390+W390+X390+IF(Y390="",0,Y390*サマリー!$B$9)+IF(Z390="",0,IF(Z390=200,サマリー!$B$10,IF(Z390=100,サマリー!$B$11,0)))+IF(AA390="",0,AA390*サマリー!$B$12)</f>
        <v>0</v>
      </c>
      <c r="E390" s="27">
        <f t="shared" ref="E390:E453" si="12">C390+D390</f>
        <v>0</v>
      </c>
      <c r="I390" s="30"/>
      <c r="J390" s="30"/>
      <c r="K390" s="30"/>
      <c r="L390" s="30"/>
      <c r="M390" s="30"/>
      <c r="N390" s="30"/>
      <c r="O390" s="30"/>
      <c r="P390" s="30"/>
      <c r="Q390" s="31"/>
      <c r="R390" s="31"/>
      <c r="S390" s="31"/>
      <c r="T390" s="32"/>
      <c r="U390" s="32"/>
      <c r="V390" s="32"/>
      <c r="W390" s="32"/>
      <c r="X390" s="32"/>
      <c r="Y390" s="33"/>
      <c r="Z390" s="33"/>
      <c r="AA390" s="33"/>
    </row>
    <row r="391" spans="1:27">
      <c r="A391" s="29"/>
      <c r="B391" s="19">
        <f t="shared" ref="B391:B454" si="13">IF(A391="",B390,IF(A391&lt;DAY(B390),DATE(YEAR(B390),MONTH(B390)+1,A391),DATE(YEAR(B390),MONTH(B390),A391)))</f>
        <v>46327</v>
      </c>
      <c r="C391" s="27">
        <f>I391+J391+K391+L391+M391+N391+O391+P391+IF(Q391="",0,Q391*サマリー!$B$9)+IF(R391="",0,IF(R391=200,サマリー!$B$10,IF(R391=100,サマリー!$B$11,0)))+IF(S391="",0,S391*サマリー!$B$12)</f>
        <v>0</v>
      </c>
      <c r="D391" s="27">
        <f>T391+U391+V391+W391+X391+IF(Y391="",0,Y391*サマリー!$B$9)+IF(Z391="",0,IF(Z391=200,サマリー!$B$10,IF(Z391=100,サマリー!$B$11,0)))+IF(AA391="",0,AA391*サマリー!$B$12)</f>
        <v>0</v>
      </c>
      <c r="E391" s="27">
        <f t="shared" si="12"/>
        <v>0</v>
      </c>
      <c r="I391" s="30"/>
      <c r="J391" s="30"/>
      <c r="K391" s="30"/>
      <c r="L391" s="30"/>
      <c r="M391" s="30"/>
      <c r="N391" s="30"/>
      <c r="O391" s="30"/>
      <c r="P391" s="30"/>
      <c r="Q391" s="31"/>
      <c r="R391" s="31"/>
      <c r="S391" s="31"/>
      <c r="T391" s="32"/>
      <c r="U391" s="32"/>
      <c r="V391" s="32"/>
      <c r="W391" s="32"/>
      <c r="X391" s="32"/>
      <c r="Y391" s="33"/>
      <c r="Z391" s="33"/>
      <c r="AA391" s="33"/>
    </row>
    <row r="392" spans="1:27">
      <c r="A392" s="29"/>
      <c r="B392" s="19">
        <f t="shared" si="13"/>
        <v>46327</v>
      </c>
      <c r="C392" s="27">
        <f>I392+J392+K392+L392+M392+N392+O392+P392+IF(Q392="",0,Q392*サマリー!$B$9)+IF(R392="",0,IF(R392=200,サマリー!$B$10,IF(R392=100,サマリー!$B$11,0)))+IF(S392="",0,S392*サマリー!$B$12)</f>
        <v>0</v>
      </c>
      <c r="D392" s="27">
        <f>T392+U392+V392+W392+X392+IF(Y392="",0,Y392*サマリー!$B$9)+IF(Z392="",0,IF(Z392=200,サマリー!$B$10,IF(Z392=100,サマリー!$B$11,0)))+IF(AA392="",0,AA392*サマリー!$B$12)</f>
        <v>0</v>
      </c>
      <c r="E392" s="27">
        <f t="shared" si="12"/>
        <v>0</v>
      </c>
      <c r="I392" s="30"/>
      <c r="J392" s="30"/>
      <c r="K392" s="30"/>
      <c r="L392" s="30"/>
      <c r="M392" s="30"/>
      <c r="N392" s="30"/>
      <c r="O392" s="30"/>
      <c r="P392" s="30"/>
      <c r="Q392" s="31"/>
      <c r="R392" s="31"/>
      <c r="S392" s="31"/>
      <c r="T392" s="32"/>
      <c r="U392" s="32"/>
      <c r="V392" s="32"/>
      <c r="W392" s="32"/>
      <c r="X392" s="32"/>
      <c r="Y392" s="33"/>
      <c r="Z392" s="33"/>
      <c r="AA392" s="33"/>
    </row>
    <row r="393" spans="1:27">
      <c r="A393" s="29"/>
      <c r="B393" s="19">
        <f t="shared" si="13"/>
        <v>46327</v>
      </c>
      <c r="C393" s="27">
        <f>I393+J393+K393+L393+M393+N393+O393+P393+IF(Q393="",0,Q393*サマリー!$B$9)+IF(R393="",0,IF(R393=200,サマリー!$B$10,IF(R393=100,サマリー!$B$11,0)))+IF(S393="",0,S393*サマリー!$B$12)</f>
        <v>0</v>
      </c>
      <c r="D393" s="27">
        <f>T393+U393+V393+W393+X393+IF(Y393="",0,Y393*サマリー!$B$9)+IF(Z393="",0,IF(Z393=200,サマリー!$B$10,IF(Z393=100,サマリー!$B$11,0)))+IF(AA393="",0,AA393*サマリー!$B$12)</f>
        <v>0</v>
      </c>
      <c r="E393" s="27">
        <f t="shared" si="12"/>
        <v>0</v>
      </c>
      <c r="I393" s="30"/>
      <c r="J393" s="30"/>
      <c r="K393" s="30"/>
      <c r="L393" s="30"/>
      <c r="M393" s="30"/>
      <c r="N393" s="30"/>
      <c r="O393" s="30"/>
      <c r="P393" s="30"/>
      <c r="Q393" s="31"/>
      <c r="R393" s="31"/>
      <c r="S393" s="31"/>
      <c r="T393" s="32"/>
      <c r="U393" s="32"/>
      <c r="V393" s="32"/>
      <c r="W393" s="32"/>
      <c r="X393" s="32"/>
      <c r="Y393" s="33"/>
      <c r="Z393" s="33"/>
      <c r="AA393" s="33"/>
    </row>
    <row r="394" spans="1:27">
      <c r="A394" s="29"/>
      <c r="B394" s="19">
        <f t="shared" si="13"/>
        <v>46327</v>
      </c>
      <c r="C394" s="27">
        <f>I394+J394+K394+L394+M394+N394+O394+P394+IF(Q394="",0,Q394*サマリー!$B$9)+IF(R394="",0,IF(R394=200,サマリー!$B$10,IF(R394=100,サマリー!$B$11,0)))+IF(S394="",0,S394*サマリー!$B$12)</f>
        <v>0</v>
      </c>
      <c r="D394" s="27">
        <f>T394+U394+V394+W394+X394+IF(Y394="",0,Y394*サマリー!$B$9)+IF(Z394="",0,IF(Z394=200,サマリー!$B$10,IF(Z394=100,サマリー!$B$11,0)))+IF(AA394="",0,AA394*サマリー!$B$12)</f>
        <v>0</v>
      </c>
      <c r="E394" s="27">
        <f t="shared" si="12"/>
        <v>0</v>
      </c>
      <c r="I394" s="30"/>
      <c r="J394" s="30"/>
      <c r="K394" s="30"/>
      <c r="L394" s="30"/>
      <c r="M394" s="30"/>
      <c r="N394" s="30"/>
      <c r="O394" s="30"/>
      <c r="P394" s="30"/>
      <c r="Q394" s="31"/>
      <c r="R394" s="31"/>
      <c r="S394" s="31"/>
      <c r="T394" s="32"/>
      <c r="U394" s="32"/>
      <c r="V394" s="32"/>
      <c r="W394" s="32"/>
      <c r="X394" s="32"/>
      <c r="Y394" s="33"/>
      <c r="Z394" s="33"/>
      <c r="AA394" s="33"/>
    </row>
    <row r="395" spans="1:27">
      <c r="A395" s="29"/>
      <c r="B395" s="19">
        <f t="shared" si="13"/>
        <v>46327</v>
      </c>
      <c r="C395" s="27">
        <f>I395+J395+K395+L395+M395+N395+O395+P395+IF(Q395="",0,Q395*サマリー!$B$9)+IF(R395="",0,IF(R395=200,サマリー!$B$10,IF(R395=100,サマリー!$B$11,0)))+IF(S395="",0,S395*サマリー!$B$12)</f>
        <v>0</v>
      </c>
      <c r="D395" s="27">
        <f>T395+U395+V395+W395+X395+IF(Y395="",0,Y395*サマリー!$B$9)+IF(Z395="",0,IF(Z395=200,サマリー!$B$10,IF(Z395=100,サマリー!$B$11,0)))+IF(AA395="",0,AA395*サマリー!$B$12)</f>
        <v>0</v>
      </c>
      <c r="E395" s="27">
        <f t="shared" si="12"/>
        <v>0</v>
      </c>
      <c r="I395" s="30"/>
      <c r="J395" s="30"/>
      <c r="K395" s="30"/>
      <c r="L395" s="30"/>
      <c r="M395" s="30"/>
      <c r="N395" s="30"/>
      <c r="O395" s="30"/>
      <c r="P395" s="30"/>
      <c r="Q395" s="31"/>
      <c r="R395" s="31"/>
      <c r="S395" s="31"/>
      <c r="T395" s="32"/>
      <c r="U395" s="32"/>
      <c r="V395" s="32"/>
      <c r="W395" s="32"/>
      <c r="X395" s="32"/>
      <c r="Y395" s="33"/>
      <c r="Z395" s="33"/>
      <c r="AA395" s="33"/>
    </row>
    <row r="396" spans="1:27">
      <c r="A396" s="29"/>
      <c r="B396" s="19">
        <f t="shared" si="13"/>
        <v>46327</v>
      </c>
      <c r="C396" s="27">
        <f>I396+J396+K396+L396+M396+N396+O396+P396+IF(Q396="",0,Q396*サマリー!$B$9)+IF(R396="",0,IF(R396=200,サマリー!$B$10,IF(R396=100,サマリー!$B$11,0)))+IF(S396="",0,S396*サマリー!$B$12)</f>
        <v>0</v>
      </c>
      <c r="D396" s="27">
        <f>T396+U396+V396+W396+X396+IF(Y396="",0,Y396*サマリー!$B$9)+IF(Z396="",0,IF(Z396=200,サマリー!$B$10,IF(Z396=100,サマリー!$B$11,0)))+IF(AA396="",0,AA396*サマリー!$B$12)</f>
        <v>0</v>
      </c>
      <c r="E396" s="27">
        <f t="shared" si="12"/>
        <v>0</v>
      </c>
      <c r="I396" s="30"/>
      <c r="J396" s="30"/>
      <c r="K396" s="30"/>
      <c r="L396" s="30"/>
      <c r="M396" s="30"/>
      <c r="N396" s="30"/>
      <c r="O396" s="30"/>
      <c r="P396" s="30"/>
      <c r="Q396" s="31"/>
      <c r="R396" s="31"/>
      <c r="S396" s="31"/>
      <c r="T396" s="32"/>
      <c r="U396" s="32"/>
      <c r="V396" s="32"/>
      <c r="W396" s="32"/>
      <c r="X396" s="32"/>
      <c r="Y396" s="33"/>
      <c r="Z396" s="33"/>
      <c r="AA396" s="33"/>
    </row>
    <row r="397" spans="1:27">
      <c r="A397" s="29"/>
      <c r="B397" s="19">
        <f t="shared" si="13"/>
        <v>46327</v>
      </c>
      <c r="C397" s="27">
        <f>I397+J397+K397+L397+M397+N397+O397+P397+IF(Q397="",0,Q397*サマリー!$B$9)+IF(R397="",0,IF(R397=200,サマリー!$B$10,IF(R397=100,サマリー!$B$11,0)))+IF(S397="",0,S397*サマリー!$B$12)</f>
        <v>0</v>
      </c>
      <c r="D397" s="27">
        <f>T397+U397+V397+W397+X397+IF(Y397="",0,Y397*サマリー!$B$9)+IF(Z397="",0,IF(Z397=200,サマリー!$B$10,IF(Z397=100,サマリー!$B$11,0)))+IF(AA397="",0,AA397*サマリー!$B$12)</f>
        <v>0</v>
      </c>
      <c r="E397" s="27">
        <f t="shared" si="12"/>
        <v>0</v>
      </c>
      <c r="I397" s="30"/>
      <c r="J397" s="30"/>
      <c r="K397" s="30"/>
      <c r="L397" s="30"/>
      <c r="M397" s="30"/>
      <c r="N397" s="30"/>
      <c r="O397" s="30"/>
      <c r="P397" s="30"/>
      <c r="Q397" s="31"/>
      <c r="R397" s="31"/>
      <c r="S397" s="31"/>
      <c r="T397" s="32"/>
      <c r="U397" s="32"/>
      <c r="V397" s="32"/>
      <c r="W397" s="32"/>
      <c r="X397" s="32"/>
      <c r="Y397" s="33"/>
      <c r="Z397" s="33"/>
      <c r="AA397" s="33"/>
    </row>
    <row r="398" spans="1:27">
      <c r="A398" s="29"/>
      <c r="B398" s="19">
        <f t="shared" si="13"/>
        <v>46327</v>
      </c>
      <c r="C398" s="27">
        <f>I398+J398+K398+L398+M398+N398+O398+P398+IF(Q398="",0,Q398*サマリー!$B$9)+IF(R398="",0,IF(R398=200,サマリー!$B$10,IF(R398=100,サマリー!$B$11,0)))+IF(S398="",0,S398*サマリー!$B$12)</f>
        <v>0</v>
      </c>
      <c r="D398" s="27">
        <f>T398+U398+V398+W398+X398+IF(Y398="",0,Y398*サマリー!$B$9)+IF(Z398="",0,IF(Z398=200,サマリー!$B$10,IF(Z398=100,サマリー!$B$11,0)))+IF(AA398="",0,AA398*サマリー!$B$12)</f>
        <v>0</v>
      </c>
      <c r="E398" s="27">
        <f t="shared" si="12"/>
        <v>0</v>
      </c>
      <c r="I398" s="30"/>
      <c r="J398" s="30"/>
      <c r="K398" s="30"/>
      <c r="L398" s="30"/>
      <c r="M398" s="30"/>
      <c r="N398" s="30"/>
      <c r="O398" s="30"/>
      <c r="P398" s="30"/>
      <c r="Q398" s="31"/>
      <c r="R398" s="31"/>
      <c r="S398" s="31"/>
      <c r="T398" s="32"/>
      <c r="U398" s="32"/>
      <c r="V398" s="32"/>
      <c r="W398" s="32"/>
      <c r="X398" s="32"/>
      <c r="Y398" s="33"/>
      <c r="Z398" s="33"/>
      <c r="AA398" s="33"/>
    </row>
    <row r="399" spans="1:27">
      <c r="A399" s="29"/>
      <c r="B399" s="19">
        <f t="shared" si="13"/>
        <v>46327</v>
      </c>
      <c r="C399" s="27">
        <f>I399+J399+K399+L399+M399+N399+O399+P399+IF(Q399="",0,Q399*サマリー!$B$9)+IF(R399="",0,IF(R399=200,サマリー!$B$10,IF(R399=100,サマリー!$B$11,0)))+IF(S399="",0,S399*サマリー!$B$12)</f>
        <v>0</v>
      </c>
      <c r="D399" s="27">
        <f>T399+U399+V399+W399+X399+IF(Y399="",0,Y399*サマリー!$B$9)+IF(Z399="",0,IF(Z399=200,サマリー!$B$10,IF(Z399=100,サマリー!$B$11,0)))+IF(AA399="",0,AA399*サマリー!$B$12)</f>
        <v>0</v>
      </c>
      <c r="E399" s="27">
        <f t="shared" si="12"/>
        <v>0</v>
      </c>
      <c r="I399" s="30"/>
      <c r="J399" s="30"/>
      <c r="K399" s="30"/>
      <c r="L399" s="30"/>
      <c r="M399" s="30"/>
      <c r="N399" s="30"/>
      <c r="O399" s="30"/>
      <c r="P399" s="30"/>
      <c r="Q399" s="31"/>
      <c r="R399" s="31"/>
      <c r="S399" s="31"/>
      <c r="T399" s="32"/>
      <c r="U399" s="32"/>
      <c r="V399" s="32"/>
      <c r="W399" s="32"/>
      <c r="X399" s="32"/>
      <c r="Y399" s="33"/>
      <c r="Z399" s="33"/>
      <c r="AA399" s="33"/>
    </row>
    <row r="400" spans="1:27">
      <c r="A400" s="29"/>
      <c r="B400" s="19">
        <f t="shared" si="13"/>
        <v>46327</v>
      </c>
      <c r="C400" s="27">
        <f>I400+J400+K400+L400+M400+N400+O400+P400+IF(Q400="",0,Q400*サマリー!$B$9)+IF(R400="",0,IF(R400=200,サマリー!$B$10,IF(R400=100,サマリー!$B$11,0)))+IF(S400="",0,S400*サマリー!$B$12)</f>
        <v>0</v>
      </c>
      <c r="D400" s="27">
        <f>T400+U400+V400+W400+X400+IF(Y400="",0,Y400*サマリー!$B$9)+IF(Z400="",0,IF(Z400=200,サマリー!$B$10,IF(Z400=100,サマリー!$B$11,0)))+IF(AA400="",0,AA400*サマリー!$B$12)</f>
        <v>0</v>
      </c>
      <c r="E400" s="27">
        <f t="shared" si="12"/>
        <v>0</v>
      </c>
      <c r="I400" s="30"/>
      <c r="J400" s="30"/>
      <c r="K400" s="30"/>
      <c r="L400" s="30"/>
      <c r="M400" s="30"/>
      <c r="N400" s="30"/>
      <c r="O400" s="30"/>
      <c r="P400" s="30"/>
      <c r="Q400" s="31"/>
      <c r="R400" s="31"/>
      <c r="S400" s="31"/>
      <c r="T400" s="32"/>
      <c r="U400" s="32"/>
      <c r="V400" s="32"/>
      <c r="W400" s="32"/>
      <c r="X400" s="32"/>
      <c r="Y400" s="33"/>
      <c r="Z400" s="33"/>
      <c r="AA400" s="33"/>
    </row>
    <row r="401" spans="1:27">
      <c r="A401" s="29"/>
      <c r="B401" s="19">
        <f t="shared" si="13"/>
        <v>46327</v>
      </c>
      <c r="C401" s="27">
        <f>I401+J401+K401+L401+M401+N401+O401+P401+IF(Q401="",0,Q401*サマリー!$B$9)+IF(R401="",0,IF(R401=200,サマリー!$B$10,IF(R401=100,サマリー!$B$11,0)))+IF(S401="",0,S401*サマリー!$B$12)</f>
        <v>0</v>
      </c>
      <c r="D401" s="27">
        <f>T401+U401+V401+W401+X401+IF(Y401="",0,Y401*サマリー!$B$9)+IF(Z401="",0,IF(Z401=200,サマリー!$B$10,IF(Z401=100,サマリー!$B$11,0)))+IF(AA401="",0,AA401*サマリー!$B$12)</f>
        <v>0</v>
      </c>
      <c r="E401" s="27">
        <f t="shared" si="12"/>
        <v>0</v>
      </c>
      <c r="I401" s="30"/>
      <c r="J401" s="30"/>
      <c r="K401" s="30"/>
      <c r="L401" s="30"/>
      <c r="M401" s="30"/>
      <c r="N401" s="30"/>
      <c r="O401" s="30"/>
      <c r="P401" s="30"/>
      <c r="Q401" s="31"/>
      <c r="R401" s="31"/>
      <c r="S401" s="31"/>
      <c r="T401" s="32"/>
      <c r="U401" s="32"/>
      <c r="V401" s="32"/>
      <c r="W401" s="32"/>
      <c r="X401" s="32"/>
      <c r="Y401" s="33"/>
      <c r="Z401" s="33"/>
      <c r="AA401" s="33"/>
    </row>
    <row r="402" spans="1:27">
      <c r="A402" s="29"/>
      <c r="B402" s="19">
        <f t="shared" si="13"/>
        <v>46327</v>
      </c>
      <c r="C402" s="27">
        <f>I402+J402+K402+L402+M402+N402+O402+P402+IF(Q402="",0,Q402*サマリー!$B$9)+IF(R402="",0,IF(R402=200,サマリー!$B$10,IF(R402=100,サマリー!$B$11,0)))+IF(S402="",0,S402*サマリー!$B$12)</f>
        <v>0</v>
      </c>
      <c r="D402" s="27">
        <f>T402+U402+V402+W402+X402+IF(Y402="",0,Y402*サマリー!$B$9)+IF(Z402="",0,IF(Z402=200,サマリー!$B$10,IF(Z402=100,サマリー!$B$11,0)))+IF(AA402="",0,AA402*サマリー!$B$12)</f>
        <v>0</v>
      </c>
      <c r="E402" s="27">
        <f t="shared" si="12"/>
        <v>0</v>
      </c>
      <c r="I402" s="30"/>
      <c r="J402" s="30"/>
      <c r="K402" s="30"/>
      <c r="L402" s="30"/>
      <c r="M402" s="30"/>
      <c r="N402" s="30"/>
      <c r="O402" s="30"/>
      <c r="P402" s="30"/>
      <c r="Q402" s="31"/>
      <c r="R402" s="31"/>
      <c r="S402" s="31"/>
      <c r="T402" s="32"/>
      <c r="U402" s="32"/>
      <c r="V402" s="32"/>
      <c r="W402" s="32"/>
      <c r="X402" s="32"/>
      <c r="Y402" s="33"/>
      <c r="Z402" s="33"/>
      <c r="AA402" s="33"/>
    </row>
    <row r="403" spans="1:27">
      <c r="A403" s="29"/>
      <c r="B403" s="19">
        <f t="shared" si="13"/>
        <v>46327</v>
      </c>
      <c r="C403" s="27">
        <f>I403+J403+K403+L403+M403+N403+O403+P403+IF(Q403="",0,Q403*サマリー!$B$9)+IF(R403="",0,IF(R403=200,サマリー!$B$10,IF(R403=100,サマリー!$B$11,0)))+IF(S403="",0,S403*サマリー!$B$12)</f>
        <v>0</v>
      </c>
      <c r="D403" s="27">
        <f>T403+U403+V403+W403+X403+IF(Y403="",0,Y403*サマリー!$B$9)+IF(Z403="",0,IF(Z403=200,サマリー!$B$10,IF(Z403=100,サマリー!$B$11,0)))+IF(AA403="",0,AA403*サマリー!$B$12)</f>
        <v>0</v>
      </c>
      <c r="E403" s="27">
        <f t="shared" si="12"/>
        <v>0</v>
      </c>
      <c r="I403" s="30"/>
      <c r="J403" s="30"/>
      <c r="K403" s="30"/>
      <c r="L403" s="30"/>
      <c r="M403" s="30"/>
      <c r="N403" s="30"/>
      <c r="O403" s="30"/>
      <c r="P403" s="30"/>
      <c r="Q403" s="31"/>
      <c r="R403" s="31"/>
      <c r="S403" s="31"/>
      <c r="T403" s="32"/>
      <c r="U403" s="32"/>
      <c r="V403" s="32"/>
      <c r="W403" s="32"/>
      <c r="X403" s="32"/>
      <c r="Y403" s="33"/>
      <c r="Z403" s="33"/>
      <c r="AA403" s="33"/>
    </row>
    <row r="404" spans="1:27">
      <c r="A404" s="29"/>
      <c r="B404" s="19">
        <f t="shared" si="13"/>
        <v>46327</v>
      </c>
      <c r="C404" s="27">
        <f>I404+J404+K404+L404+M404+N404+O404+P404+IF(Q404="",0,Q404*サマリー!$B$9)+IF(R404="",0,IF(R404=200,サマリー!$B$10,IF(R404=100,サマリー!$B$11,0)))+IF(S404="",0,S404*サマリー!$B$12)</f>
        <v>0</v>
      </c>
      <c r="D404" s="27">
        <f>T404+U404+V404+W404+X404+IF(Y404="",0,Y404*サマリー!$B$9)+IF(Z404="",0,IF(Z404=200,サマリー!$B$10,IF(Z404=100,サマリー!$B$11,0)))+IF(AA404="",0,AA404*サマリー!$B$12)</f>
        <v>0</v>
      </c>
      <c r="E404" s="27">
        <f t="shared" si="12"/>
        <v>0</v>
      </c>
      <c r="I404" s="30"/>
      <c r="J404" s="30"/>
      <c r="K404" s="30"/>
      <c r="L404" s="30"/>
      <c r="M404" s="30"/>
      <c r="N404" s="30"/>
      <c r="O404" s="30"/>
      <c r="P404" s="30"/>
      <c r="Q404" s="31"/>
      <c r="R404" s="31"/>
      <c r="S404" s="31"/>
      <c r="T404" s="32"/>
      <c r="U404" s="32"/>
      <c r="V404" s="32"/>
      <c r="W404" s="32"/>
      <c r="X404" s="32"/>
      <c r="Y404" s="33"/>
      <c r="Z404" s="33"/>
      <c r="AA404" s="33"/>
    </row>
    <row r="405" spans="1:27">
      <c r="A405" s="29"/>
      <c r="B405" s="19">
        <f t="shared" si="13"/>
        <v>46327</v>
      </c>
      <c r="C405" s="27">
        <f>I405+J405+K405+L405+M405+N405+O405+P405+IF(Q405="",0,Q405*サマリー!$B$9)+IF(R405="",0,IF(R405=200,サマリー!$B$10,IF(R405=100,サマリー!$B$11,0)))+IF(S405="",0,S405*サマリー!$B$12)</f>
        <v>0</v>
      </c>
      <c r="D405" s="27">
        <f>T405+U405+V405+W405+X405+IF(Y405="",0,Y405*サマリー!$B$9)+IF(Z405="",0,IF(Z405=200,サマリー!$B$10,IF(Z405=100,サマリー!$B$11,0)))+IF(AA405="",0,AA405*サマリー!$B$12)</f>
        <v>0</v>
      </c>
      <c r="E405" s="27">
        <f t="shared" si="12"/>
        <v>0</v>
      </c>
      <c r="I405" s="30"/>
      <c r="J405" s="30"/>
      <c r="K405" s="30"/>
      <c r="L405" s="30"/>
      <c r="M405" s="30"/>
      <c r="N405" s="30"/>
      <c r="O405" s="30"/>
      <c r="P405" s="30"/>
      <c r="Q405" s="31"/>
      <c r="R405" s="31"/>
      <c r="S405" s="31"/>
      <c r="T405" s="32"/>
      <c r="U405" s="32"/>
      <c r="V405" s="32"/>
      <c r="W405" s="32"/>
      <c r="X405" s="32"/>
      <c r="Y405" s="33"/>
      <c r="Z405" s="33"/>
      <c r="AA405" s="33"/>
    </row>
    <row r="406" spans="1:27">
      <c r="A406" s="29"/>
      <c r="B406" s="19">
        <f t="shared" si="13"/>
        <v>46327</v>
      </c>
      <c r="C406" s="27">
        <f>I406+J406+K406+L406+M406+N406+O406+P406+IF(Q406="",0,Q406*サマリー!$B$9)+IF(R406="",0,IF(R406=200,サマリー!$B$10,IF(R406=100,サマリー!$B$11,0)))+IF(S406="",0,S406*サマリー!$B$12)</f>
        <v>0</v>
      </c>
      <c r="D406" s="27">
        <f>T406+U406+V406+W406+X406+IF(Y406="",0,Y406*サマリー!$B$9)+IF(Z406="",0,IF(Z406=200,サマリー!$B$10,IF(Z406=100,サマリー!$B$11,0)))+IF(AA406="",0,AA406*サマリー!$B$12)</f>
        <v>0</v>
      </c>
      <c r="E406" s="27">
        <f t="shared" si="12"/>
        <v>0</v>
      </c>
      <c r="I406" s="30"/>
      <c r="J406" s="30"/>
      <c r="K406" s="30"/>
      <c r="L406" s="30"/>
      <c r="M406" s="30"/>
      <c r="N406" s="30"/>
      <c r="O406" s="30"/>
      <c r="P406" s="30"/>
      <c r="Q406" s="31"/>
      <c r="R406" s="31"/>
      <c r="S406" s="31"/>
      <c r="T406" s="32"/>
      <c r="U406" s="32"/>
      <c r="V406" s="32"/>
      <c r="W406" s="32"/>
      <c r="X406" s="32"/>
      <c r="Y406" s="33"/>
      <c r="Z406" s="33"/>
      <c r="AA406" s="33"/>
    </row>
    <row r="407" spans="1:27">
      <c r="A407" s="29"/>
      <c r="B407" s="19">
        <f t="shared" si="13"/>
        <v>46327</v>
      </c>
      <c r="C407" s="27">
        <f>I407+J407+K407+L407+M407+N407+O407+P407+IF(Q407="",0,Q407*サマリー!$B$9)+IF(R407="",0,IF(R407=200,サマリー!$B$10,IF(R407=100,サマリー!$B$11,0)))+IF(S407="",0,S407*サマリー!$B$12)</f>
        <v>0</v>
      </c>
      <c r="D407" s="27">
        <f>T407+U407+V407+W407+X407+IF(Y407="",0,Y407*サマリー!$B$9)+IF(Z407="",0,IF(Z407=200,サマリー!$B$10,IF(Z407=100,サマリー!$B$11,0)))+IF(AA407="",0,AA407*サマリー!$B$12)</f>
        <v>0</v>
      </c>
      <c r="E407" s="27">
        <f t="shared" si="12"/>
        <v>0</v>
      </c>
      <c r="I407" s="30"/>
      <c r="J407" s="30"/>
      <c r="K407" s="30"/>
      <c r="L407" s="30"/>
      <c r="M407" s="30"/>
      <c r="N407" s="30"/>
      <c r="O407" s="30"/>
      <c r="P407" s="30"/>
      <c r="Q407" s="31"/>
      <c r="R407" s="31"/>
      <c r="S407" s="31"/>
      <c r="T407" s="32"/>
      <c r="U407" s="32"/>
      <c r="V407" s="32"/>
      <c r="W407" s="32"/>
      <c r="X407" s="32"/>
      <c r="Y407" s="33"/>
      <c r="Z407" s="33"/>
      <c r="AA407" s="33"/>
    </row>
    <row r="408" spans="1:27">
      <c r="A408" s="29"/>
      <c r="B408" s="19">
        <f t="shared" si="13"/>
        <v>46327</v>
      </c>
      <c r="C408" s="27">
        <f>I408+J408+K408+L408+M408+N408+O408+P408+IF(Q408="",0,Q408*サマリー!$B$9)+IF(R408="",0,IF(R408=200,サマリー!$B$10,IF(R408=100,サマリー!$B$11,0)))+IF(S408="",0,S408*サマリー!$B$12)</f>
        <v>0</v>
      </c>
      <c r="D408" s="27">
        <f>T408+U408+V408+W408+X408+IF(Y408="",0,Y408*サマリー!$B$9)+IF(Z408="",0,IF(Z408=200,サマリー!$B$10,IF(Z408=100,サマリー!$B$11,0)))+IF(AA408="",0,AA408*サマリー!$B$12)</f>
        <v>0</v>
      </c>
      <c r="E408" s="27">
        <f t="shared" si="12"/>
        <v>0</v>
      </c>
      <c r="I408" s="30"/>
      <c r="J408" s="30"/>
      <c r="K408" s="30"/>
      <c r="L408" s="30"/>
      <c r="M408" s="30"/>
      <c r="N408" s="30"/>
      <c r="O408" s="30"/>
      <c r="P408" s="30"/>
      <c r="Q408" s="31"/>
      <c r="R408" s="31"/>
      <c r="S408" s="31"/>
      <c r="T408" s="32"/>
      <c r="U408" s="32"/>
      <c r="V408" s="32"/>
      <c r="W408" s="32"/>
      <c r="X408" s="32"/>
      <c r="Y408" s="33"/>
      <c r="Z408" s="33"/>
      <c r="AA408" s="33"/>
    </row>
    <row r="409" spans="1:27">
      <c r="A409" s="29"/>
      <c r="B409" s="19">
        <f t="shared" si="13"/>
        <v>46327</v>
      </c>
      <c r="C409" s="27">
        <f>I409+J409+K409+L409+M409+N409+O409+P409+IF(Q409="",0,Q409*サマリー!$B$9)+IF(R409="",0,IF(R409=200,サマリー!$B$10,IF(R409=100,サマリー!$B$11,0)))+IF(S409="",0,S409*サマリー!$B$12)</f>
        <v>0</v>
      </c>
      <c r="D409" s="27">
        <f>T409+U409+V409+W409+X409+IF(Y409="",0,Y409*サマリー!$B$9)+IF(Z409="",0,IF(Z409=200,サマリー!$B$10,IF(Z409=100,サマリー!$B$11,0)))+IF(AA409="",0,AA409*サマリー!$B$12)</f>
        <v>0</v>
      </c>
      <c r="E409" s="27">
        <f t="shared" si="12"/>
        <v>0</v>
      </c>
      <c r="I409" s="30"/>
      <c r="J409" s="30"/>
      <c r="K409" s="30"/>
      <c r="L409" s="30"/>
      <c r="M409" s="30"/>
      <c r="N409" s="30"/>
      <c r="O409" s="30"/>
      <c r="P409" s="30"/>
      <c r="Q409" s="31"/>
      <c r="R409" s="31"/>
      <c r="S409" s="31"/>
      <c r="T409" s="32"/>
      <c r="U409" s="32"/>
      <c r="V409" s="32"/>
      <c r="W409" s="32"/>
      <c r="X409" s="32"/>
      <c r="Y409" s="33"/>
      <c r="Z409" s="33"/>
      <c r="AA409" s="33"/>
    </row>
    <row r="410" spans="1:27">
      <c r="A410" s="29"/>
      <c r="B410" s="19">
        <f t="shared" si="13"/>
        <v>46327</v>
      </c>
      <c r="C410" s="27">
        <f>I410+J410+K410+L410+M410+N410+O410+P410+IF(Q410="",0,Q410*サマリー!$B$9)+IF(R410="",0,IF(R410=200,サマリー!$B$10,IF(R410=100,サマリー!$B$11,0)))+IF(S410="",0,S410*サマリー!$B$12)</f>
        <v>0</v>
      </c>
      <c r="D410" s="27">
        <f>T410+U410+V410+W410+X410+IF(Y410="",0,Y410*サマリー!$B$9)+IF(Z410="",0,IF(Z410=200,サマリー!$B$10,IF(Z410=100,サマリー!$B$11,0)))+IF(AA410="",0,AA410*サマリー!$B$12)</f>
        <v>0</v>
      </c>
      <c r="E410" s="27">
        <f t="shared" si="12"/>
        <v>0</v>
      </c>
      <c r="I410" s="30"/>
      <c r="J410" s="30"/>
      <c r="K410" s="30"/>
      <c r="L410" s="30"/>
      <c r="M410" s="30"/>
      <c r="N410" s="30"/>
      <c r="O410" s="30"/>
      <c r="P410" s="30"/>
      <c r="Q410" s="31"/>
      <c r="R410" s="31"/>
      <c r="S410" s="31"/>
      <c r="T410" s="32"/>
      <c r="U410" s="32"/>
      <c r="V410" s="32"/>
      <c r="W410" s="32"/>
      <c r="X410" s="32"/>
      <c r="Y410" s="33"/>
      <c r="Z410" s="33"/>
      <c r="AA410" s="33"/>
    </row>
    <row r="411" spans="1:27">
      <c r="A411" s="29"/>
      <c r="B411" s="19">
        <f t="shared" si="13"/>
        <v>46327</v>
      </c>
      <c r="C411" s="27">
        <f>I411+J411+K411+L411+M411+N411+O411+P411+IF(Q411="",0,Q411*サマリー!$B$9)+IF(R411="",0,IF(R411=200,サマリー!$B$10,IF(R411=100,サマリー!$B$11,0)))+IF(S411="",0,S411*サマリー!$B$12)</f>
        <v>0</v>
      </c>
      <c r="D411" s="27">
        <f>T411+U411+V411+W411+X411+IF(Y411="",0,Y411*サマリー!$B$9)+IF(Z411="",0,IF(Z411=200,サマリー!$B$10,IF(Z411=100,サマリー!$B$11,0)))+IF(AA411="",0,AA411*サマリー!$B$12)</f>
        <v>0</v>
      </c>
      <c r="E411" s="27">
        <f t="shared" si="12"/>
        <v>0</v>
      </c>
      <c r="I411" s="30"/>
      <c r="J411" s="30"/>
      <c r="K411" s="30"/>
      <c r="L411" s="30"/>
      <c r="M411" s="30"/>
      <c r="N411" s="30"/>
      <c r="O411" s="30"/>
      <c r="P411" s="30"/>
      <c r="Q411" s="31"/>
      <c r="R411" s="31"/>
      <c r="S411" s="31"/>
      <c r="T411" s="32"/>
      <c r="U411" s="32"/>
      <c r="V411" s="32"/>
      <c r="W411" s="32"/>
      <c r="X411" s="32"/>
      <c r="Y411" s="33"/>
      <c r="Z411" s="33"/>
      <c r="AA411" s="33"/>
    </row>
    <row r="412" spans="1:27">
      <c r="A412" s="29"/>
      <c r="B412" s="19">
        <f t="shared" si="13"/>
        <v>46327</v>
      </c>
      <c r="C412" s="27">
        <f>I412+J412+K412+L412+M412+N412+O412+P412+IF(Q412="",0,Q412*サマリー!$B$9)+IF(R412="",0,IF(R412=200,サマリー!$B$10,IF(R412=100,サマリー!$B$11,0)))+IF(S412="",0,S412*サマリー!$B$12)</f>
        <v>0</v>
      </c>
      <c r="D412" s="27">
        <f>T412+U412+V412+W412+X412+IF(Y412="",0,Y412*サマリー!$B$9)+IF(Z412="",0,IF(Z412=200,サマリー!$B$10,IF(Z412=100,サマリー!$B$11,0)))+IF(AA412="",0,AA412*サマリー!$B$12)</f>
        <v>0</v>
      </c>
      <c r="E412" s="27">
        <f t="shared" si="12"/>
        <v>0</v>
      </c>
      <c r="I412" s="30"/>
      <c r="J412" s="30"/>
      <c r="K412" s="30"/>
      <c r="L412" s="30"/>
      <c r="M412" s="30"/>
      <c r="N412" s="30"/>
      <c r="O412" s="30"/>
      <c r="P412" s="30"/>
      <c r="Q412" s="31"/>
      <c r="R412" s="31"/>
      <c r="S412" s="31"/>
      <c r="T412" s="32"/>
      <c r="U412" s="32"/>
      <c r="V412" s="32"/>
      <c r="W412" s="32"/>
      <c r="X412" s="32"/>
      <c r="Y412" s="33"/>
      <c r="Z412" s="33"/>
      <c r="AA412" s="33"/>
    </row>
    <row r="413" spans="1:27">
      <c r="A413" s="29"/>
      <c r="B413" s="19">
        <f t="shared" si="13"/>
        <v>46327</v>
      </c>
      <c r="C413" s="27">
        <f>I413+J413+K413+L413+M413+N413+O413+P413+IF(Q413="",0,Q413*サマリー!$B$9)+IF(R413="",0,IF(R413=200,サマリー!$B$10,IF(R413=100,サマリー!$B$11,0)))+IF(S413="",0,S413*サマリー!$B$12)</f>
        <v>0</v>
      </c>
      <c r="D413" s="27">
        <f>T413+U413+V413+W413+X413+IF(Y413="",0,Y413*サマリー!$B$9)+IF(Z413="",0,IF(Z413=200,サマリー!$B$10,IF(Z413=100,サマリー!$B$11,0)))+IF(AA413="",0,AA413*サマリー!$B$12)</f>
        <v>0</v>
      </c>
      <c r="E413" s="27">
        <f t="shared" si="12"/>
        <v>0</v>
      </c>
      <c r="I413" s="30"/>
      <c r="J413" s="30"/>
      <c r="K413" s="30"/>
      <c r="L413" s="30"/>
      <c r="M413" s="30"/>
      <c r="N413" s="30"/>
      <c r="O413" s="30"/>
      <c r="P413" s="30"/>
      <c r="Q413" s="31"/>
      <c r="R413" s="31"/>
      <c r="S413" s="31"/>
      <c r="T413" s="32"/>
      <c r="U413" s="32"/>
      <c r="V413" s="32"/>
      <c r="W413" s="32"/>
      <c r="X413" s="32"/>
      <c r="Y413" s="33"/>
      <c r="Z413" s="33"/>
      <c r="AA413" s="33"/>
    </row>
    <row r="414" spans="1:27">
      <c r="A414" s="29"/>
      <c r="B414" s="19">
        <f t="shared" si="13"/>
        <v>46327</v>
      </c>
      <c r="C414" s="27">
        <f>I414+J414+K414+L414+M414+N414+O414+P414+IF(Q414="",0,Q414*サマリー!$B$9)+IF(R414="",0,IF(R414=200,サマリー!$B$10,IF(R414=100,サマリー!$B$11,0)))+IF(S414="",0,S414*サマリー!$B$12)</f>
        <v>0</v>
      </c>
      <c r="D414" s="27">
        <f>T414+U414+V414+W414+X414+IF(Y414="",0,Y414*サマリー!$B$9)+IF(Z414="",0,IF(Z414=200,サマリー!$B$10,IF(Z414=100,サマリー!$B$11,0)))+IF(AA414="",0,AA414*サマリー!$B$12)</f>
        <v>0</v>
      </c>
      <c r="E414" s="27">
        <f t="shared" si="12"/>
        <v>0</v>
      </c>
      <c r="I414" s="30"/>
      <c r="J414" s="30"/>
      <c r="K414" s="30"/>
      <c r="L414" s="30"/>
      <c r="M414" s="30"/>
      <c r="N414" s="30"/>
      <c r="O414" s="30"/>
      <c r="P414" s="30"/>
      <c r="Q414" s="31"/>
      <c r="R414" s="31"/>
      <c r="S414" s="31"/>
      <c r="T414" s="32"/>
      <c r="U414" s="32"/>
      <c r="V414" s="32"/>
      <c r="W414" s="32"/>
      <c r="X414" s="32"/>
      <c r="Y414" s="33"/>
      <c r="Z414" s="33"/>
      <c r="AA414" s="33"/>
    </row>
    <row r="415" spans="1:27">
      <c r="A415" s="29"/>
      <c r="B415" s="19">
        <f t="shared" si="13"/>
        <v>46327</v>
      </c>
      <c r="C415" s="27">
        <f>I415+J415+K415+L415+M415+N415+O415+P415+IF(Q415="",0,Q415*サマリー!$B$9)+IF(R415="",0,IF(R415=200,サマリー!$B$10,IF(R415=100,サマリー!$B$11,0)))+IF(S415="",0,S415*サマリー!$B$12)</f>
        <v>0</v>
      </c>
      <c r="D415" s="27">
        <f>T415+U415+V415+W415+X415+IF(Y415="",0,Y415*サマリー!$B$9)+IF(Z415="",0,IF(Z415=200,サマリー!$B$10,IF(Z415=100,サマリー!$B$11,0)))+IF(AA415="",0,AA415*サマリー!$B$12)</f>
        <v>0</v>
      </c>
      <c r="E415" s="27">
        <f t="shared" si="12"/>
        <v>0</v>
      </c>
      <c r="I415" s="30"/>
      <c r="J415" s="30"/>
      <c r="K415" s="30"/>
      <c r="L415" s="30"/>
      <c r="M415" s="30"/>
      <c r="N415" s="30"/>
      <c r="O415" s="30"/>
      <c r="P415" s="30"/>
      <c r="Q415" s="31"/>
      <c r="R415" s="31"/>
      <c r="S415" s="31"/>
      <c r="T415" s="32"/>
      <c r="U415" s="32"/>
      <c r="V415" s="32"/>
      <c r="W415" s="32"/>
      <c r="X415" s="32"/>
      <c r="Y415" s="33"/>
      <c r="Z415" s="33"/>
      <c r="AA415" s="33"/>
    </row>
    <row r="416" spans="1:27">
      <c r="A416" s="29"/>
      <c r="B416" s="19">
        <f t="shared" si="13"/>
        <v>46327</v>
      </c>
      <c r="C416" s="27">
        <f>I416+J416+K416+L416+M416+N416+O416+P416+IF(Q416="",0,Q416*サマリー!$B$9)+IF(R416="",0,IF(R416=200,サマリー!$B$10,IF(R416=100,サマリー!$B$11,0)))+IF(S416="",0,S416*サマリー!$B$12)</f>
        <v>0</v>
      </c>
      <c r="D416" s="27">
        <f>T416+U416+V416+W416+X416+IF(Y416="",0,Y416*サマリー!$B$9)+IF(Z416="",0,IF(Z416=200,サマリー!$B$10,IF(Z416=100,サマリー!$B$11,0)))+IF(AA416="",0,AA416*サマリー!$B$12)</f>
        <v>0</v>
      </c>
      <c r="E416" s="27">
        <f t="shared" si="12"/>
        <v>0</v>
      </c>
      <c r="I416" s="30"/>
      <c r="J416" s="30"/>
      <c r="K416" s="30"/>
      <c r="L416" s="30"/>
      <c r="M416" s="30"/>
      <c r="N416" s="30"/>
      <c r="O416" s="30"/>
      <c r="P416" s="30"/>
      <c r="Q416" s="31"/>
      <c r="R416" s="31"/>
      <c r="S416" s="31"/>
      <c r="T416" s="32"/>
      <c r="U416" s="32"/>
      <c r="V416" s="32"/>
      <c r="W416" s="32"/>
      <c r="X416" s="32"/>
      <c r="Y416" s="33"/>
      <c r="Z416" s="33"/>
      <c r="AA416" s="33"/>
    </row>
    <row r="417" spans="1:27">
      <c r="A417" s="29"/>
      <c r="B417" s="19">
        <f t="shared" si="13"/>
        <v>46327</v>
      </c>
      <c r="C417" s="27">
        <f>I417+J417+K417+L417+M417+N417+O417+P417+IF(Q417="",0,Q417*サマリー!$B$9)+IF(R417="",0,IF(R417=200,サマリー!$B$10,IF(R417=100,サマリー!$B$11,0)))+IF(S417="",0,S417*サマリー!$B$12)</f>
        <v>0</v>
      </c>
      <c r="D417" s="27">
        <f>T417+U417+V417+W417+X417+IF(Y417="",0,Y417*サマリー!$B$9)+IF(Z417="",0,IF(Z417=200,サマリー!$B$10,IF(Z417=100,サマリー!$B$11,0)))+IF(AA417="",0,AA417*サマリー!$B$12)</f>
        <v>0</v>
      </c>
      <c r="E417" s="27">
        <f t="shared" si="12"/>
        <v>0</v>
      </c>
      <c r="I417" s="30"/>
      <c r="J417" s="30"/>
      <c r="K417" s="30"/>
      <c r="L417" s="30"/>
      <c r="M417" s="30"/>
      <c r="N417" s="30"/>
      <c r="O417" s="30"/>
      <c r="P417" s="30"/>
      <c r="Q417" s="31"/>
      <c r="R417" s="31"/>
      <c r="S417" s="31"/>
      <c r="T417" s="32"/>
      <c r="U417" s="32"/>
      <c r="V417" s="32"/>
      <c r="W417" s="32"/>
      <c r="X417" s="32"/>
      <c r="Y417" s="33"/>
      <c r="Z417" s="33"/>
      <c r="AA417" s="33"/>
    </row>
    <row r="418" spans="1:27">
      <c r="A418" s="29"/>
      <c r="B418" s="19">
        <f t="shared" si="13"/>
        <v>46327</v>
      </c>
      <c r="C418" s="27">
        <f>I418+J418+K418+L418+M418+N418+O418+P418+IF(Q418="",0,Q418*サマリー!$B$9)+IF(R418="",0,IF(R418=200,サマリー!$B$10,IF(R418=100,サマリー!$B$11,0)))+IF(S418="",0,S418*サマリー!$B$12)</f>
        <v>0</v>
      </c>
      <c r="D418" s="27">
        <f>T418+U418+V418+W418+X418+IF(Y418="",0,Y418*サマリー!$B$9)+IF(Z418="",0,IF(Z418=200,サマリー!$B$10,IF(Z418=100,サマリー!$B$11,0)))+IF(AA418="",0,AA418*サマリー!$B$12)</f>
        <v>0</v>
      </c>
      <c r="E418" s="27">
        <f t="shared" si="12"/>
        <v>0</v>
      </c>
      <c r="I418" s="30"/>
      <c r="J418" s="30"/>
      <c r="K418" s="30"/>
      <c r="L418" s="30"/>
      <c r="M418" s="30"/>
      <c r="N418" s="30"/>
      <c r="O418" s="30"/>
      <c r="P418" s="30"/>
      <c r="Q418" s="31"/>
      <c r="R418" s="31"/>
      <c r="S418" s="31"/>
      <c r="T418" s="32"/>
      <c r="U418" s="32"/>
      <c r="V418" s="32"/>
      <c r="W418" s="32"/>
      <c r="X418" s="32"/>
      <c r="Y418" s="33"/>
      <c r="Z418" s="33"/>
      <c r="AA418" s="33"/>
    </row>
    <row r="419" spans="1:27">
      <c r="A419" s="29"/>
      <c r="B419" s="19">
        <f t="shared" si="13"/>
        <v>46327</v>
      </c>
      <c r="C419" s="27">
        <f>I419+J419+K419+L419+M419+N419+O419+P419+IF(Q419="",0,Q419*サマリー!$B$9)+IF(R419="",0,IF(R419=200,サマリー!$B$10,IF(R419=100,サマリー!$B$11,0)))+IF(S419="",0,S419*サマリー!$B$12)</f>
        <v>0</v>
      </c>
      <c r="D419" s="27">
        <f>T419+U419+V419+W419+X419+IF(Y419="",0,Y419*サマリー!$B$9)+IF(Z419="",0,IF(Z419=200,サマリー!$B$10,IF(Z419=100,サマリー!$B$11,0)))+IF(AA419="",0,AA419*サマリー!$B$12)</f>
        <v>0</v>
      </c>
      <c r="E419" s="27">
        <f t="shared" si="12"/>
        <v>0</v>
      </c>
      <c r="I419" s="30"/>
      <c r="J419" s="30"/>
      <c r="K419" s="30"/>
      <c r="L419" s="30"/>
      <c r="M419" s="30"/>
      <c r="N419" s="30"/>
      <c r="O419" s="30"/>
      <c r="P419" s="30"/>
      <c r="Q419" s="31"/>
      <c r="R419" s="31"/>
      <c r="S419" s="31"/>
      <c r="T419" s="32"/>
      <c r="U419" s="32"/>
      <c r="V419" s="32"/>
      <c r="W419" s="32"/>
      <c r="X419" s="32"/>
      <c r="Y419" s="33"/>
      <c r="Z419" s="33"/>
      <c r="AA419" s="33"/>
    </row>
    <row r="420" spans="1:27">
      <c r="A420" s="29"/>
      <c r="B420" s="19">
        <f t="shared" si="13"/>
        <v>46327</v>
      </c>
      <c r="C420" s="27">
        <f>I420+J420+K420+L420+M420+N420+O420+P420+IF(Q420="",0,Q420*サマリー!$B$9)+IF(R420="",0,IF(R420=200,サマリー!$B$10,IF(R420=100,サマリー!$B$11,0)))+IF(S420="",0,S420*サマリー!$B$12)</f>
        <v>0</v>
      </c>
      <c r="D420" s="27">
        <f>T420+U420+V420+W420+X420+IF(Y420="",0,Y420*サマリー!$B$9)+IF(Z420="",0,IF(Z420=200,サマリー!$B$10,IF(Z420=100,サマリー!$B$11,0)))+IF(AA420="",0,AA420*サマリー!$B$12)</f>
        <v>0</v>
      </c>
      <c r="E420" s="27">
        <f t="shared" si="12"/>
        <v>0</v>
      </c>
      <c r="I420" s="30"/>
      <c r="J420" s="30"/>
      <c r="K420" s="30"/>
      <c r="L420" s="30"/>
      <c r="M420" s="30"/>
      <c r="N420" s="30"/>
      <c r="O420" s="30"/>
      <c r="P420" s="30"/>
      <c r="Q420" s="31"/>
      <c r="R420" s="31"/>
      <c r="S420" s="31"/>
      <c r="T420" s="32"/>
      <c r="U420" s="32"/>
      <c r="V420" s="32"/>
      <c r="W420" s="32"/>
      <c r="X420" s="32"/>
      <c r="Y420" s="33"/>
      <c r="Z420" s="33"/>
      <c r="AA420" s="33"/>
    </row>
    <row r="421" spans="1:27">
      <c r="A421" s="29"/>
      <c r="B421" s="19">
        <f t="shared" si="13"/>
        <v>46327</v>
      </c>
      <c r="C421" s="27">
        <f>I421+J421+K421+L421+M421+N421+O421+P421+IF(Q421="",0,Q421*サマリー!$B$9)+IF(R421="",0,IF(R421=200,サマリー!$B$10,IF(R421=100,サマリー!$B$11,0)))+IF(S421="",0,S421*サマリー!$B$12)</f>
        <v>0</v>
      </c>
      <c r="D421" s="27">
        <f>T421+U421+V421+W421+X421+IF(Y421="",0,Y421*サマリー!$B$9)+IF(Z421="",0,IF(Z421=200,サマリー!$B$10,IF(Z421=100,サマリー!$B$11,0)))+IF(AA421="",0,AA421*サマリー!$B$12)</f>
        <v>0</v>
      </c>
      <c r="E421" s="27">
        <f t="shared" si="12"/>
        <v>0</v>
      </c>
      <c r="I421" s="30"/>
      <c r="J421" s="30"/>
      <c r="K421" s="30"/>
      <c r="L421" s="30"/>
      <c r="M421" s="30"/>
      <c r="N421" s="30"/>
      <c r="O421" s="30"/>
      <c r="P421" s="30"/>
      <c r="Q421" s="31"/>
      <c r="R421" s="31"/>
      <c r="S421" s="31"/>
      <c r="T421" s="32"/>
      <c r="U421" s="32"/>
      <c r="V421" s="32"/>
      <c r="W421" s="32"/>
      <c r="X421" s="32"/>
      <c r="Y421" s="33"/>
      <c r="Z421" s="33"/>
      <c r="AA421" s="33"/>
    </row>
    <row r="422" spans="1:27">
      <c r="A422" s="29"/>
      <c r="B422" s="19">
        <f t="shared" si="13"/>
        <v>46327</v>
      </c>
      <c r="C422" s="27">
        <f>I422+J422+K422+L422+M422+N422+O422+P422+IF(Q422="",0,Q422*サマリー!$B$9)+IF(R422="",0,IF(R422=200,サマリー!$B$10,IF(R422=100,サマリー!$B$11,0)))+IF(S422="",0,S422*サマリー!$B$12)</f>
        <v>0</v>
      </c>
      <c r="D422" s="27">
        <f>T422+U422+V422+W422+X422+IF(Y422="",0,Y422*サマリー!$B$9)+IF(Z422="",0,IF(Z422=200,サマリー!$B$10,IF(Z422=100,サマリー!$B$11,0)))+IF(AA422="",0,AA422*サマリー!$B$12)</f>
        <v>0</v>
      </c>
      <c r="E422" s="27">
        <f t="shared" si="12"/>
        <v>0</v>
      </c>
      <c r="I422" s="30"/>
      <c r="J422" s="30"/>
      <c r="K422" s="30"/>
      <c r="L422" s="30"/>
      <c r="M422" s="30"/>
      <c r="N422" s="30"/>
      <c r="O422" s="30"/>
      <c r="P422" s="30"/>
      <c r="Q422" s="31"/>
      <c r="R422" s="31"/>
      <c r="S422" s="31"/>
      <c r="T422" s="32"/>
      <c r="U422" s="32"/>
      <c r="V422" s="32"/>
      <c r="W422" s="32"/>
      <c r="X422" s="32"/>
      <c r="Y422" s="33"/>
      <c r="Z422" s="33"/>
      <c r="AA422" s="33"/>
    </row>
    <row r="423" spans="1:27">
      <c r="A423" s="29"/>
      <c r="B423" s="19">
        <f t="shared" si="13"/>
        <v>46327</v>
      </c>
      <c r="C423" s="27">
        <f>I423+J423+K423+L423+M423+N423+O423+P423+IF(Q423="",0,Q423*サマリー!$B$9)+IF(R423="",0,IF(R423=200,サマリー!$B$10,IF(R423=100,サマリー!$B$11,0)))+IF(S423="",0,S423*サマリー!$B$12)</f>
        <v>0</v>
      </c>
      <c r="D423" s="27">
        <f>T423+U423+V423+W423+X423+IF(Y423="",0,Y423*サマリー!$B$9)+IF(Z423="",0,IF(Z423=200,サマリー!$B$10,IF(Z423=100,サマリー!$B$11,0)))+IF(AA423="",0,AA423*サマリー!$B$12)</f>
        <v>0</v>
      </c>
      <c r="E423" s="27">
        <f t="shared" si="12"/>
        <v>0</v>
      </c>
      <c r="I423" s="30"/>
      <c r="J423" s="30"/>
      <c r="K423" s="30"/>
      <c r="L423" s="30"/>
      <c r="M423" s="30"/>
      <c r="N423" s="30"/>
      <c r="O423" s="30"/>
      <c r="P423" s="30"/>
      <c r="Q423" s="31"/>
      <c r="R423" s="31"/>
      <c r="S423" s="31"/>
      <c r="T423" s="32"/>
      <c r="U423" s="32"/>
      <c r="V423" s="32"/>
      <c r="W423" s="32"/>
      <c r="X423" s="32"/>
      <c r="Y423" s="33"/>
      <c r="Z423" s="33"/>
      <c r="AA423" s="33"/>
    </row>
    <row r="424" spans="1:27">
      <c r="A424" s="29"/>
      <c r="B424" s="19">
        <f t="shared" si="13"/>
        <v>46327</v>
      </c>
      <c r="C424" s="27">
        <f>I424+J424+K424+L424+M424+N424+O424+P424+IF(Q424="",0,Q424*サマリー!$B$9)+IF(R424="",0,IF(R424=200,サマリー!$B$10,IF(R424=100,サマリー!$B$11,0)))+IF(S424="",0,S424*サマリー!$B$12)</f>
        <v>0</v>
      </c>
      <c r="D424" s="27">
        <f>T424+U424+V424+W424+X424+IF(Y424="",0,Y424*サマリー!$B$9)+IF(Z424="",0,IF(Z424=200,サマリー!$B$10,IF(Z424=100,サマリー!$B$11,0)))+IF(AA424="",0,AA424*サマリー!$B$12)</f>
        <v>0</v>
      </c>
      <c r="E424" s="27">
        <f t="shared" si="12"/>
        <v>0</v>
      </c>
      <c r="I424" s="30"/>
      <c r="J424" s="30"/>
      <c r="K424" s="30"/>
      <c r="L424" s="30"/>
      <c r="M424" s="30"/>
      <c r="N424" s="30"/>
      <c r="O424" s="30"/>
      <c r="P424" s="30"/>
      <c r="Q424" s="31"/>
      <c r="R424" s="31"/>
      <c r="S424" s="31"/>
      <c r="T424" s="32"/>
      <c r="U424" s="32"/>
      <c r="V424" s="32"/>
      <c r="W424" s="32"/>
      <c r="X424" s="32"/>
      <c r="Y424" s="33"/>
      <c r="Z424" s="33"/>
      <c r="AA424" s="33"/>
    </row>
    <row r="425" spans="1:27">
      <c r="A425" s="29"/>
      <c r="B425" s="19">
        <f t="shared" si="13"/>
        <v>46327</v>
      </c>
      <c r="C425" s="27">
        <f>I425+J425+K425+L425+M425+N425+O425+P425+IF(Q425="",0,Q425*サマリー!$B$9)+IF(R425="",0,IF(R425=200,サマリー!$B$10,IF(R425=100,サマリー!$B$11,0)))+IF(S425="",0,S425*サマリー!$B$12)</f>
        <v>0</v>
      </c>
      <c r="D425" s="27">
        <f>T425+U425+V425+W425+X425+IF(Y425="",0,Y425*サマリー!$B$9)+IF(Z425="",0,IF(Z425=200,サマリー!$B$10,IF(Z425=100,サマリー!$B$11,0)))+IF(AA425="",0,AA425*サマリー!$B$12)</f>
        <v>0</v>
      </c>
      <c r="E425" s="27">
        <f t="shared" si="12"/>
        <v>0</v>
      </c>
      <c r="I425" s="30"/>
      <c r="J425" s="30"/>
      <c r="K425" s="30"/>
      <c r="L425" s="30"/>
      <c r="M425" s="30"/>
      <c r="N425" s="30"/>
      <c r="O425" s="30"/>
      <c r="P425" s="30"/>
      <c r="Q425" s="31"/>
      <c r="R425" s="31"/>
      <c r="S425" s="31"/>
      <c r="T425" s="32"/>
      <c r="U425" s="32"/>
      <c r="V425" s="32"/>
      <c r="W425" s="32"/>
      <c r="X425" s="32"/>
      <c r="Y425" s="33"/>
      <c r="Z425" s="33"/>
      <c r="AA425" s="33"/>
    </row>
    <row r="426" spans="1:27">
      <c r="A426" s="29"/>
      <c r="B426" s="19">
        <f t="shared" si="13"/>
        <v>46327</v>
      </c>
      <c r="C426" s="27">
        <f>I426+J426+K426+L426+M426+N426+O426+P426+IF(Q426="",0,Q426*サマリー!$B$9)+IF(R426="",0,IF(R426=200,サマリー!$B$10,IF(R426=100,サマリー!$B$11,0)))+IF(S426="",0,S426*サマリー!$B$12)</f>
        <v>0</v>
      </c>
      <c r="D426" s="27">
        <f>T426+U426+V426+W426+X426+IF(Y426="",0,Y426*サマリー!$B$9)+IF(Z426="",0,IF(Z426=200,サマリー!$B$10,IF(Z426=100,サマリー!$B$11,0)))+IF(AA426="",0,AA426*サマリー!$B$12)</f>
        <v>0</v>
      </c>
      <c r="E426" s="27">
        <f t="shared" si="12"/>
        <v>0</v>
      </c>
      <c r="I426" s="30"/>
      <c r="J426" s="30"/>
      <c r="K426" s="30"/>
      <c r="L426" s="30"/>
      <c r="M426" s="30"/>
      <c r="N426" s="30"/>
      <c r="O426" s="30"/>
      <c r="P426" s="30"/>
      <c r="Q426" s="31"/>
      <c r="R426" s="31"/>
      <c r="S426" s="31"/>
      <c r="T426" s="32"/>
      <c r="U426" s="32"/>
      <c r="V426" s="32"/>
      <c r="W426" s="32"/>
      <c r="X426" s="32"/>
      <c r="Y426" s="33"/>
      <c r="Z426" s="33"/>
      <c r="AA426" s="33"/>
    </row>
    <row r="427" spans="1:27">
      <c r="A427" s="29"/>
      <c r="B427" s="19">
        <f t="shared" si="13"/>
        <v>46327</v>
      </c>
      <c r="C427" s="27">
        <f>I427+J427+K427+L427+M427+N427+O427+P427+IF(Q427="",0,Q427*サマリー!$B$9)+IF(R427="",0,IF(R427=200,サマリー!$B$10,IF(R427=100,サマリー!$B$11,0)))+IF(S427="",0,S427*サマリー!$B$12)</f>
        <v>0</v>
      </c>
      <c r="D427" s="27">
        <f>T427+U427+V427+W427+X427+IF(Y427="",0,Y427*サマリー!$B$9)+IF(Z427="",0,IF(Z427=200,サマリー!$B$10,IF(Z427=100,サマリー!$B$11,0)))+IF(AA427="",0,AA427*サマリー!$B$12)</f>
        <v>0</v>
      </c>
      <c r="E427" s="27">
        <f t="shared" si="12"/>
        <v>0</v>
      </c>
      <c r="I427" s="30"/>
      <c r="J427" s="30"/>
      <c r="K427" s="30"/>
      <c r="L427" s="30"/>
      <c r="M427" s="30"/>
      <c r="N427" s="30"/>
      <c r="O427" s="30"/>
      <c r="P427" s="30"/>
      <c r="Q427" s="31"/>
      <c r="R427" s="31"/>
      <c r="S427" s="31"/>
      <c r="T427" s="32"/>
      <c r="U427" s="32"/>
      <c r="V427" s="32"/>
      <c r="W427" s="32"/>
      <c r="X427" s="32"/>
      <c r="Y427" s="33"/>
      <c r="Z427" s="33"/>
      <c r="AA427" s="33"/>
    </row>
    <row r="428" spans="1:27">
      <c r="A428" s="29"/>
      <c r="B428" s="19">
        <f t="shared" si="13"/>
        <v>46327</v>
      </c>
      <c r="C428" s="27">
        <f>I428+J428+K428+L428+M428+N428+O428+P428+IF(Q428="",0,Q428*サマリー!$B$9)+IF(R428="",0,IF(R428=200,サマリー!$B$10,IF(R428=100,サマリー!$B$11,0)))+IF(S428="",0,S428*サマリー!$B$12)</f>
        <v>0</v>
      </c>
      <c r="D428" s="27">
        <f>T428+U428+V428+W428+X428+IF(Y428="",0,Y428*サマリー!$B$9)+IF(Z428="",0,IF(Z428=200,サマリー!$B$10,IF(Z428=100,サマリー!$B$11,0)))+IF(AA428="",0,AA428*サマリー!$B$12)</f>
        <v>0</v>
      </c>
      <c r="E428" s="27">
        <f t="shared" si="12"/>
        <v>0</v>
      </c>
      <c r="I428" s="30"/>
      <c r="J428" s="30"/>
      <c r="K428" s="30"/>
      <c r="L428" s="30"/>
      <c r="M428" s="30"/>
      <c r="N428" s="30"/>
      <c r="O428" s="30"/>
      <c r="P428" s="30"/>
      <c r="Q428" s="31"/>
      <c r="R428" s="31"/>
      <c r="S428" s="31"/>
      <c r="T428" s="32"/>
      <c r="U428" s="32"/>
      <c r="V428" s="32"/>
      <c r="W428" s="32"/>
      <c r="X428" s="32"/>
      <c r="Y428" s="33"/>
      <c r="Z428" s="33"/>
      <c r="AA428" s="33"/>
    </row>
    <row r="429" spans="1:27">
      <c r="A429" s="29"/>
      <c r="B429" s="19">
        <f t="shared" si="13"/>
        <v>46327</v>
      </c>
      <c r="C429" s="27">
        <f>I429+J429+K429+L429+M429+N429+O429+P429+IF(Q429="",0,Q429*サマリー!$B$9)+IF(R429="",0,IF(R429=200,サマリー!$B$10,IF(R429=100,サマリー!$B$11,0)))+IF(S429="",0,S429*サマリー!$B$12)</f>
        <v>0</v>
      </c>
      <c r="D429" s="27">
        <f>T429+U429+V429+W429+X429+IF(Y429="",0,Y429*サマリー!$B$9)+IF(Z429="",0,IF(Z429=200,サマリー!$B$10,IF(Z429=100,サマリー!$B$11,0)))+IF(AA429="",0,AA429*サマリー!$B$12)</f>
        <v>0</v>
      </c>
      <c r="E429" s="27">
        <f t="shared" si="12"/>
        <v>0</v>
      </c>
      <c r="I429" s="30"/>
      <c r="J429" s="30"/>
      <c r="K429" s="30"/>
      <c r="L429" s="30"/>
      <c r="M429" s="30"/>
      <c r="N429" s="30"/>
      <c r="O429" s="30"/>
      <c r="P429" s="30"/>
      <c r="Q429" s="31"/>
      <c r="R429" s="31"/>
      <c r="S429" s="31"/>
      <c r="T429" s="32"/>
      <c r="U429" s="32"/>
      <c r="V429" s="32"/>
      <c r="W429" s="32"/>
      <c r="X429" s="32"/>
      <c r="Y429" s="33"/>
      <c r="Z429" s="33"/>
      <c r="AA429" s="33"/>
    </row>
    <row r="430" spans="1:27">
      <c r="A430" s="29"/>
      <c r="B430" s="19">
        <f t="shared" si="13"/>
        <v>46327</v>
      </c>
      <c r="C430" s="27">
        <f>I430+J430+K430+L430+M430+N430+O430+P430+IF(Q430="",0,Q430*サマリー!$B$9)+IF(R430="",0,IF(R430=200,サマリー!$B$10,IF(R430=100,サマリー!$B$11,0)))+IF(S430="",0,S430*サマリー!$B$12)</f>
        <v>0</v>
      </c>
      <c r="D430" s="27">
        <f>T430+U430+V430+W430+X430+IF(Y430="",0,Y430*サマリー!$B$9)+IF(Z430="",0,IF(Z430=200,サマリー!$B$10,IF(Z430=100,サマリー!$B$11,0)))+IF(AA430="",0,AA430*サマリー!$B$12)</f>
        <v>0</v>
      </c>
      <c r="E430" s="27">
        <f t="shared" si="12"/>
        <v>0</v>
      </c>
      <c r="I430" s="30"/>
      <c r="J430" s="30"/>
      <c r="K430" s="30"/>
      <c r="L430" s="30"/>
      <c r="M430" s="30"/>
      <c r="N430" s="30"/>
      <c r="O430" s="30"/>
      <c r="P430" s="30"/>
      <c r="Q430" s="31"/>
      <c r="R430" s="31"/>
      <c r="S430" s="31"/>
      <c r="T430" s="32"/>
      <c r="U430" s="32"/>
      <c r="V430" s="32"/>
      <c r="W430" s="32"/>
      <c r="X430" s="32"/>
      <c r="Y430" s="33"/>
      <c r="Z430" s="33"/>
      <c r="AA430" s="33"/>
    </row>
    <row r="431" spans="1:27">
      <c r="A431" s="29"/>
      <c r="B431" s="19">
        <f t="shared" si="13"/>
        <v>46327</v>
      </c>
      <c r="C431" s="27">
        <f>I431+J431+K431+L431+M431+N431+O431+P431+IF(Q431="",0,Q431*サマリー!$B$9)+IF(R431="",0,IF(R431=200,サマリー!$B$10,IF(R431=100,サマリー!$B$11,0)))+IF(S431="",0,S431*サマリー!$B$12)</f>
        <v>0</v>
      </c>
      <c r="D431" s="27">
        <f>T431+U431+V431+W431+X431+IF(Y431="",0,Y431*サマリー!$B$9)+IF(Z431="",0,IF(Z431=200,サマリー!$B$10,IF(Z431=100,サマリー!$B$11,0)))+IF(AA431="",0,AA431*サマリー!$B$12)</f>
        <v>0</v>
      </c>
      <c r="E431" s="27">
        <f t="shared" si="12"/>
        <v>0</v>
      </c>
      <c r="I431" s="30"/>
      <c r="J431" s="30"/>
      <c r="K431" s="30"/>
      <c r="L431" s="30"/>
      <c r="M431" s="30"/>
      <c r="N431" s="30"/>
      <c r="O431" s="30"/>
      <c r="P431" s="30"/>
      <c r="Q431" s="31"/>
      <c r="R431" s="31"/>
      <c r="S431" s="31"/>
      <c r="T431" s="32"/>
      <c r="U431" s="32"/>
      <c r="V431" s="32"/>
      <c r="W431" s="32"/>
      <c r="X431" s="32"/>
      <c r="Y431" s="33"/>
      <c r="Z431" s="33"/>
      <c r="AA431" s="33"/>
    </row>
    <row r="432" spans="1:27">
      <c r="A432" s="29"/>
      <c r="B432" s="19">
        <f t="shared" si="13"/>
        <v>46327</v>
      </c>
      <c r="C432" s="27">
        <f>I432+J432+K432+L432+M432+N432+O432+P432+IF(Q432="",0,Q432*サマリー!$B$9)+IF(R432="",0,IF(R432=200,サマリー!$B$10,IF(R432=100,サマリー!$B$11,0)))+IF(S432="",0,S432*サマリー!$B$12)</f>
        <v>0</v>
      </c>
      <c r="D432" s="27">
        <f>T432+U432+V432+W432+X432+IF(Y432="",0,Y432*サマリー!$B$9)+IF(Z432="",0,IF(Z432=200,サマリー!$B$10,IF(Z432=100,サマリー!$B$11,0)))+IF(AA432="",0,AA432*サマリー!$B$12)</f>
        <v>0</v>
      </c>
      <c r="E432" s="27">
        <f t="shared" si="12"/>
        <v>0</v>
      </c>
      <c r="I432" s="30"/>
      <c r="J432" s="30"/>
      <c r="K432" s="30"/>
      <c r="L432" s="30"/>
      <c r="M432" s="30"/>
      <c r="N432" s="30"/>
      <c r="O432" s="30"/>
      <c r="P432" s="30"/>
      <c r="Q432" s="31"/>
      <c r="R432" s="31"/>
      <c r="S432" s="31"/>
      <c r="T432" s="32"/>
      <c r="U432" s="32"/>
      <c r="V432" s="32"/>
      <c r="W432" s="32"/>
      <c r="X432" s="32"/>
      <c r="Y432" s="33"/>
      <c r="Z432" s="33"/>
      <c r="AA432" s="33"/>
    </row>
    <row r="433" spans="1:27">
      <c r="A433" s="29"/>
      <c r="B433" s="19">
        <f t="shared" si="13"/>
        <v>46327</v>
      </c>
      <c r="C433" s="27">
        <f>I433+J433+K433+L433+M433+N433+O433+P433+IF(Q433="",0,Q433*サマリー!$B$9)+IF(R433="",0,IF(R433=200,サマリー!$B$10,IF(R433=100,サマリー!$B$11,0)))+IF(S433="",0,S433*サマリー!$B$12)</f>
        <v>0</v>
      </c>
      <c r="D433" s="27">
        <f>T433+U433+V433+W433+X433+IF(Y433="",0,Y433*サマリー!$B$9)+IF(Z433="",0,IF(Z433=200,サマリー!$B$10,IF(Z433=100,サマリー!$B$11,0)))+IF(AA433="",0,AA433*サマリー!$B$12)</f>
        <v>0</v>
      </c>
      <c r="E433" s="27">
        <f t="shared" si="12"/>
        <v>0</v>
      </c>
      <c r="I433" s="30"/>
      <c r="J433" s="30"/>
      <c r="K433" s="30"/>
      <c r="L433" s="30"/>
      <c r="M433" s="30"/>
      <c r="N433" s="30"/>
      <c r="O433" s="30"/>
      <c r="P433" s="30"/>
      <c r="Q433" s="31"/>
      <c r="R433" s="31"/>
      <c r="S433" s="31"/>
      <c r="T433" s="32"/>
      <c r="U433" s="32"/>
      <c r="V433" s="32"/>
      <c r="W433" s="32"/>
      <c r="X433" s="32"/>
      <c r="Y433" s="33"/>
      <c r="Z433" s="33"/>
      <c r="AA433" s="33"/>
    </row>
    <row r="434" spans="1:27">
      <c r="A434" s="29"/>
      <c r="B434" s="19">
        <f t="shared" si="13"/>
        <v>46327</v>
      </c>
      <c r="C434" s="27">
        <f>I434+J434+K434+L434+M434+N434+O434+P434+IF(Q434="",0,Q434*サマリー!$B$9)+IF(R434="",0,IF(R434=200,サマリー!$B$10,IF(R434=100,サマリー!$B$11,0)))+IF(S434="",0,S434*サマリー!$B$12)</f>
        <v>0</v>
      </c>
      <c r="D434" s="27">
        <f>T434+U434+V434+W434+X434+IF(Y434="",0,Y434*サマリー!$B$9)+IF(Z434="",0,IF(Z434=200,サマリー!$B$10,IF(Z434=100,サマリー!$B$11,0)))+IF(AA434="",0,AA434*サマリー!$B$12)</f>
        <v>0</v>
      </c>
      <c r="E434" s="27">
        <f t="shared" si="12"/>
        <v>0</v>
      </c>
      <c r="I434" s="30"/>
      <c r="J434" s="30"/>
      <c r="K434" s="30"/>
      <c r="L434" s="30"/>
      <c r="M434" s="30"/>
      <c r="N434" s="30"/>
      <c r="O434" s="30"/>
      <c r="P434" s="30"/>
      <c r="Q434" s="31"/>
      <c r="R434" s="31"/>
      <c r="S434" s="31"/>
      <c r="T434" s="32"/>
      <c r="U434" s="32"/>
      <c r="V434" s="32"/>
      <c r="W434" s="32"/>
      <c r="X434" s="32"/>
      <c r="Y434" s="33"/>
      <c r="Z434" s="33"/>
      <c r="AA434" s="33"/>
    </row>
    <row r="435" spans="1:27">
      <c r="A435" s="29"/>
      <c r="B435" s="19">
        <f t="shared" si="13"/>
        <v>46327</v>
      </c>
      <c r="C435" s="27">
        <f>I435+J435+K435+L435+M435+N435+O435+P435+IF(Q435="",0,Q435*サマリー!$B$9)+IF(R435="",0,IF(R435=200,サマリー!$B$10,IF(R435=100,サマリー!$B$11,0)))+IF(S435="",0,S435*サマリー!$B$12)</f>
        <v>0</v>
      </c>
      <c r="D435" s="27">
        <f>T435+U435+V435+W435+X435+IF(Y435="",0,Y435*サマリー!$B$9)+IF(Z435="",0,IF(Z435=200,サマリー!$B$10,IF(Z435=100,サマリー!$B$11,0)))+IF(AA435="",0,AA435*サマリー!$B$12)</f>
        <v>0</v>
      </c>
      <c r="E435" s="27">
        <f t="shared" si="12"/>
        <v>0</v>
      </c>
      <c r="I435" s="30"/>
      <c r="J435" s="30"/>
      <c r="K435" s="30"/>
      <c r="L435" s="30"/>
      <c r="M435" s="30"/>
      <c r="N435" s="30"/>
      <c r="O435" s="30"/>
      <c r="P435" s="30"/>
      <c r="Q435" s="31"/>
      <c r="R435" s="31"/>
      <c r="S435" s="31"/>
      <c r="T435" s="32"/>
      <c r="U435" s="32"/>
      <c r="V435" s="32"/>
      <c r="W435" s="32"/>
      <c r="X435" s="32"/>
      <c r="Y435" s="33"/>
      <c r="Z435" s="33"/>
      <c r="AA435" s="33"/>
    </row>
    <row r="436" spans="1:27">
      <c r="A436" s="29"/>
      <c r="B436" s="19">
        <f t="shared" si="13"/>
        <v>46327</v>
      </c>
      <c r="C436" s="27">
        <f>I436+J436+K436+L436+M436+N436+O436+P436+IF(Q436="",0,Q436*サマリー!$B$9)+IF(R436="",0,IF(R436=200,サマリー!$B$10,IF(R436=100,サマリー!$B$11,0)))+IF(S436="",0,S436*サマリー!$B$12)</f>
        <v>0</v>
      </c>
      <c r="D436" s="27">
        <f>T436+U436+V436+W436+X436+IF(Y436="",0,Y436*サマリー!$B$9)+IF(Z436="",0,IF(Z436=200,サマリー!$B$10,IF(Z436=100,サマリー!$B$11,0)))+IF(AA436="",0,AA436*サマリー!$B$12)</f>
        <v>0</v>
      </c>
      <c r="E436" s="27">
        <f t="shared" si="12"/>
        <v>0</v>
      </c>
      <c r="I436" s="30"/>
      <c r="J436" s="30"/>
      <c r="K436" s="30"/>
      <c r="L436" s="30"/>
      <c r="M436" s="30"/>
      <c r="N436" s="30"/>
      <c r="O436" s="30"/>
      <c r="P436" s="30"/>
      <c r="Q436" s="31"/>
      <c r="R436" s="31"/>
      <c r="S436" s="31"/>
      <c r="T436" s="32"/>
      <c r="U436" s="32"/>
      <c r="V436" s="32"/>
      <c r="W436" s="32"/>
      <c r="X436" s="32"/>
      <c r="Y436" s="33"/>
      <c r="Z436" s="33"/>
      <c r="AA436" s="33"/>
    </row>
    <row r="437" spans="1:27">
      <c r="A437" s="29"/>
      <c r="B437" s="19">
        <f t="shared" si="13"/>
        <v>46327</v>
      </c>
      <c r="C437" s="27">
        <f>I437+J437+K437+L437+M437+N437+O437+P437+IF(Q437="",0,Q437*サマリー!$B$9)+IF(R437="",0,IF(R437=200,サマリー!$B$10,IF(R437=100,サマリー!$B$11,0)))+IF(S437="",0,S437*サマリー!$B$12)</f>
        <v>0</v>
      </c>
      <c r="D437" s="27">
        <f>T437+U437+V437+W437+X437+IF(Y437="",0,Y437*サマリー!$B$9)+IF(Z437="",0,IF(Z437=200,サマリー!$B$10,IF(Z437=100,サマリー!$B$11,0)))+IF(AA437="",0,AA437*サマリー!$B$12)</f>
        <v>0</v>
      </c>
      <c r="E437" s="27">
        <f t="shared" si="12"/>
        <v>0</v>
      </c>
      <c r="I437" s="30"/>
      <c r="J437" s="30"/>
      <c r="K437" s="30"/>
      <c r="L437" s="30"/>
      <c r="M437" s="30"/>
      <c r="N437" s="30"/>
      <c r="O437" s="30"/>
      <c r="P437" s="30"/>
      <c r="Q437" s="31"/>
      <c r="R437" s="31"/>
      <c r="S437" s="31"/>
      <c r="T437" s="32"/>
      <c r="U437" s="32"/>
      <c r="V437" s="32"/>
      <c r="W437" s="32"/>
      <c r="X437" s="32"/>
      <c r="Y437" s="33"/>
      <c r="Z437" s="33"/>
      <c r="AA437" s="33"/>
    </row>
    <row r="438" spans="1:27">
      <c r="A438" s="29"/>
      <c r="B438" s="19">
        <f t="shared" si="13"/>
        <v>46327</v>
      </c>
      <c r="C438" s="27">
        <f>I438+J438+K438+L438+M438+N438+O438+P438+IF(Q438="",0,Q438*サマリー!$B$9)+IF(R438="",0,IF(R438=200,サマリー!$B$10,IF(R438=100,サマリー!$B$11,0)))+IF(S438="",0,S438*サマリー!$B$12)</f>
        <v>0</v>
      </c>
      <c r="D438" s="27">
        <f>T438+U438+V438+W438+X438+IF(Y438="",0,Y438*サマリー!$B$9)+IF(Z438="",0,IF(Z438=200,サマリー!$B$10,IF(Z438=100,サマリー!$B$11,0)))+IF(AA438="",0,AA438*サマリー!$B$12)</f>
        <v>0</v>
      </c>
      <c r="E438" s="27">
        <f t="shared" si="12"/>
        <v>0</v>
      </c>
      <c r="I438" s="30"/>
      <c r="J438" s="30"/>
      <c r="K438" s="30"/>
      <c r="L438" s="30"/>
      <c r="M438" s="30"/>
      <c r="N438" s="30"/>
      <c r="O438" s="30"/>
      <c r="P438" s="30"/>
      <c r="Q438" s="31"/>
      <c r="R438" s="31"/>
      <c r="S438" s="31"/>
      <c r="T438" s="32"/>
      <c r="U438" s="32"/>
      <c r="V438" s="32"/>
      <c r="W438" s="32"/>
      <c r="X438" s="32"/>
      <c r="Y438" s="33"/>
      <c r="Z438" s="33"/>
      <c r="AA438" s="33"/>
    </row>
    <row r="439" spans="1:27">
      <c r="A439" s="29"/>
      <c r="B439" s="19">
        <f t="shared" si="13"/>
        <v>46327</v>
      </c>
      <c r="C439" s="27">
        <f>I439+J439+K439+L439+M439+N439+O439+P439+IF(Q439="",0,Q439*サマリー!$B$9)+IF(R439="",0,IF(R439=200,サマリー!$B$10,IF(R439=100,サマリー!$B$11,0)))+IF(S439="",0,S439*サマリー!$B$12)</f>
        <v>0</v>
      </c>
      <c r="D439" s="27">
        <f>T439+U439+V439+W439+X439+IF(Y439="",0,Y439*サマリー!$B$9)+IF(Z439="",0,IF(Z439=200,サマリー!$B$10,IF(Z439=100,サマリー!$B$11,0)))+IF(AA439="",0,AA439*サマリー!$B$12)</f>
        <v>0</v>
      </c>
      <c r="E439" s="27">
        <f t="shared" si="12"/>
        <v>0</v>
      </c>
      <c r="I439" s="30"/>
      <c r="J439" s="30"/>
      <c r="K439" s="30"/>
      <c r="L439" s="30"/>
      <c r="M439" s="30"/>
      <c r="N439" s="30"/>
      <c r="O439" s="30"/>
      <c r="P439" s="30"/>
      <c r="Q439" s="31"/>
      <c r="R439" s="31"/>
      <c r="S439" s="31"/>
      <c r="T439" s="32"/>
      <c r="U439" s="32"/>
      <c r="V439" s="32"/>
      <c r="W439" s="32"/>
      <c r="X439" s="32"/>
      <c r="Y439" s="33"/>
      <c r="Z439" s="33"/>
      <c r="AA439" s="33"/>
    </row>
    <row r="440" spans="1:27">
      <c r="A440" s="29"/>
      <c r="B440" s="19">
        <f t="shared" si="13"/>
        <v>46327</v>
      </c>
      <c r="C440" s="27">
        <f>I440+J440+K440+L440+M440+N440+O440+P440+IF(Q440="",0,Q440*サマリー!$B$9)+IF(R440="",0,IF(R440=200,サマリー!$B$10,IF(R440=100,サマリー!$B$11,0)))+IF(S440="",0,S440*サマリー!$B$12)</f>
        <v>0</v>
      </c>
      <c r="D440" s="27">
        <f>T440+U440+V440+W440+X440+IF(Y440="",0,Y440*サマリー!$B$9)+IF(Z440="",0,IF(Z440=200,サマリー!$B$10,IF(Z440=100,サマリー!$B$11,0)))+IF(AA440="",0,AA440*サマリー!$B$12)</f>
        <v>0</v>
      </c>
      <c r="E440" s="27">
        <f t="shared" si="12"/>
        <v>0</v>
      </c>
      <c r="I440" s="30"/>
      <c r="J440" s="30"/>
      <c r="K440" s="30"/>
      <c r="L440" s="30"/>
      <c r="M440" s="30"/>
      <c r="N440" s="30"/>
      <c r="O440" s="30"/>
      <c r="P440" s="30"/>
      <c r="Q440" s="31"/>
      <c r="R440" s="31"/>
      <c r="S440" s="31"/>
      <c r="T440" s="32"/>
      <c r="U440" s="32"/>
      <c r="V440" s="32"/>
      <c r="W440" s="32"/>
      <c r="X440" s="32"/>
      <c r="Y440" s="33"/>
      <c r="Z440" s="33"/>
      <c r="AA440" s="33"/>
    </row>
    <row r="441" spans="1:27">
      <c r="A441" s="29"/>
      <c r="B441" s="19">
        <f t="shared" si="13"/>
        <v>46327</v>
      </c>
      <c r="C441" s="27">
        <f>I441+J441+K441+L441+M441+N441+O441+P441+IF(Q441="",0,Q441*サマリー!$B$9)+IF(R441="",0,IF(R441=200,サマリー!$B$10,IF(R441=100,サマリー!$B$11,0)))+IF(S441="",0,S441*サマリー!$B$12)</f>
        <v>0</v>
      </c>
      <c r="D441" s="27">
        <f>T441+U441+V441+W441+X441+IF(Y441="",0,Y441*サマリー!$B$9)+IF(Z441="",0,IF(Z441=200,サマリー!$B$10,IF(Z441=100,サマリー!$B$11,0)))+IF(AA441="",0,AA441*サマリー!$B$12)</f>
        <v>0</v>
      </c>
      <c r="E441" s="27">
        <f t="shared" si="12"/>
        <v>0</v>
      </c>
      <c r="I441" s="30"/>
      <c r="J441" s="30"/>
      <c r="K441" s="30"/>
      <c r="L441" s="30"/>
      <c r="M441" s="30"/>
      <c r="N441" s="30"/>
      <c r="O441" s="30"/>
      <c r="P441" s="30"/>
      <c r="Q441" s="31"/>
      <c r="R441" s="31"/>
      <c r="S441" s="31"/>
      <c r="T441" s="32"/>
      <c r="U441" s="32"/>
      <c r="V441" s="32"/>
      <c r="W441" s="32"/>
      <c r="X441" s="32"/>
      <c r="Y441" s="33"/>
      <c r="Z441" s="33"/>
      <c r="AA441" s="33"/>
    </row>
    <row r="442" spans="1:27">
      <c r="A442" s="29"/>
      <c r="B442" s="19">
        <f t="shared" si="13"/>
        <v>46327</v>
      </c>
      <c r="C442" s="27">
        <f>I442+J442+K442+L442+M442+N442+O442+P442+IF(Q442="",0,Q442*サマリー!$B$9)+IF(R442="",0,IF(R442=200,サマリー!$B$10,IF(R442=100,サマリー!$B$11,0)))+IF(S442="",0,S442*サマリー!$B$12)</f>
        <v>0</v>
      </c>
      <c r="D442" s="27">
        <f>T442+U442+V442+W442+X442+IF(Y442="",0,Y442*サマリー!$B$9)+IF(Z442="",0,IF(Z442=200,サマリー!$B$10,IF(Z442=100,サマリー!$B$11,0)))+IF(AA442="",0,AA442*サマリー!$B$12)</f>
        <v>0</v>
      </c>
      <c r="E442" s="27">
        <f t="shared" si="12"/>
        <v>0</v>
      </c>
      <c r="I442" s="30"/>
      <c r="J442" s="30"/>
      <c r="K442" s="30"/>
      <c r="L442" s="30"/>
      <c r="M442" s="30"/>
      <c r="N442" s="30"/>
      <c r="O442" s="30"/>
      <c r="P442" s="30"/>
      <c r="Q442" s="31"/>
      <c r="R442" s="31"/>
      <c r="S442" s="31"/>
      <c r="T442" s="32"/>
      <c r="U442" s="32"/>
      <c r="V442" s="32"/>
      <c r="W442" s="32"/>
      <c r="X442" s="32"/>
      <c r="Y442" s="33"/>
      <c r="Z442" s="33"/>
      <c r="AA442" s="33"/>
    </row>
    <row r="443" spans="1:27">
      <c r="A443" s="29"/>
      <c r="B443" s="19">
        <f t="shared" si="13"/>
        <v>46327</v>
      </c>
      <c r="C443" s="27">
        <f>I443+J443+K443+L443+M443+N443+O443+P443+IF(Q443="",0,Q443*サマリー!$B$9)+IF(R443="",0,IF(R443=200,サマリー!$B$10,IF(R443=100,サマリー!$B$11,0)))+IF(S443="",0,S443*サマリー!$B$12)</f>
        <v>0</v>
      </c>
      <c r="D443" s="27">
        <f>T443+U443+V443+W443+X443+IF(Y443="",0,Y443*サマリー!$B$9)+IF(Z443="",0,IF(Z443=200,サマリー!$B$10,IF(Z443=100,サマリー!$B$11,0)))+IF(AA443="",0,AA443*サマリー!$B$12)</f>
        <v>0</v>
      </c>
      <c r="E443" s="27">
        <f t="shared" si="12"/>
        <v>0</v>
      </c>
      <c r="I443" s="30"/>
      <c r="J443" s="30"/>
      <c r="K443" s="30"/>
      <c r="L443" s="30"/>
      <c r="M443" s="30"/>
      <c r="N443" s="30"/>
      <c r="O443" s="30"/>
      <c r="P443" s="30"/>
      <c r="Q443" s="31"/>
      <c r="R443" s="31"/>
      <c r="S443" s="31"/>
      <c r="T443" s="32"/>
      <c r="U443" s="32"/>
      <c r="V443" s="32"/>
      <c r="W443" s="32"/>
      <c r="X443" s="32"/>
      <c r="Y443" s="33"/>
      <c r="Z443" s="33"/>
      <c r="AA443" s="33"/>
    </row>
    <row r="444" spans="1:27">
      <c r="A444" s="29"/>
      <c r="B444" s="19">
        <f t="shared" si="13"/>
        <v>46327</v>
      </c>
      <c r="C444" s="27">
        <f>I444+J444+K444+L444+M444+N444+O444+P444+IF(Q444="",0,Q444*サマリー!$B$9)+IF(R444="",0,IF(R444=200,サマリー!$B$10,IF(R444=100,サマリー!$B$11,0)))+IF(S444="",0,S444*サマリー!$B$12)</f>
        <v>0</v>
      </c>
      <c r="D444" s="27">
        <f>T444+U444+V444+W444+X444+IF(Y444="",0,Y444*サマリー!$B$9)+IF(Z444="",0,IF(Z444=200,サマリー!$B$10,IF(Z444=100,サマリー!$B$11,0)))+IF(AA444="",0,AA444*サマリー!$B$12)</f>
        <v>0</v>
      </c>
      <c r="E444" s="27">
        <f t="shared" si="12"/>
        <v>0</v>
      </c>
      <c r="I444" s="30"/>
      <c r="J444" s="30"/>
      <c r="K444" s="30"/>
      <c r="L444" s="30"/>
      <c r="M444" s="30"/>
      <c r="N444" s="30"/>
      <c r="O444" s="30"/>
      <c r="P444" s="30"/>
      <c r="Q444" s="31"/>
      <c r="R444" s="31"/>
      <c r="S444" s="31"/>
      <c r="T444" s="32"/>
      <c r="U444" s="32"/>
      <c r="V444" s="32"/>
      <c r="W444" s="32"/>
      <c r="X444" s="32"/>
      <c r="Y444" s="33"/>
      <c r="Z444" s="33"/>
      <c r="AA444" s="33"/>
    </row>
    <row r="445" spans="1:27">
      <c r="A445" s="29"/>
      <c r="B445" s="19">
        <f t="shared" si="13"/>
        <v>46327</v>
      </c>
      <c r="C445" s="27">
        <f>I445+J445+K445+L445+M445+N445+O445+P445+IF(Q445="",0,Q445*サマリー!$B$9)+IF(R445="",0,IF(R445=200,サマリー!$B$10,IF(R445=100,サマリー!$B$11,0)))+IF(S445="",0,S445*サマリー!$B$12)</f>
        <v>0</v>
      </c>
      <c r="D445" s="27">
        <f>T445+U445+V445+W445+X445+IF(Y445="",0,Y445*サマリー!$B$9)+IF(Z445="",0,IF(Z445=200,サマリー!$B$10,IF(Z445=100,サマリー!$B$11,0)))+IF(AA445="",0,AA445*サマリー!$B$12)</f>
        <v>0</v>
      </c>
      <c r="E445" s="27">
        <f t="shared" si="12"/>
        <v>0</v>
      </c>
      <c r="I445" s="30"/>
      <c r="J445" s="30"/>
      <c r="K445" s="30"/>
      <c r="L445" s="30"/>
      <c r="M445" s="30"/>
      <c r="N445" s="30"/>
      <c r="O445" s="30"/>
      <c r="P445" s="30"/>
      <c r="Q445" s="31"/>
      <c r="R445" s="31"/>
      <c r="S445" s="31"/>
      <c r="T445" s="32"/>
      <c r="U445" s="32"/>
      <c r="V445" s="32"/>
      <c r="W445" s="32"/>
      <c r="X445" s="32"/>
      <c r="Y445" s="33"/>
      <c r="Z445" s="33"/>
      <c r="AA445" s="33"/>
    </row>
    <row r="446" spans="1:27">
      <c r="A446" s="29"/>
      <c r="B446" s="19">
        <f t="shared" si="13"/>
        <v>46327</v>
      </c>
      <c r="C446" s="27">
        <f>I446+J446+K446+L446+M446+N446+O446+P446+IF(Q446="",0,Q446*サマリー!$B$9)+IF(R446="",0,IF(R446=200,サマリー!$B$10,IF(R446=100,サマリー!$B$11,0)))+IF(S446="",0,S446*サマリー!$B$12)</f>
        <v>0</v>
      </c>
      <c r="D446" s="27">
        <f>T446+U446+V446+W446+X446+IF(Y446="",0,Y446*サマリー!$B$9)+IF(Z446="",0,IF(Z446=200,サマリー!$B$10,IF(Z446=100,サマリー!$B$11,0)))+IF(AA446="",0,AA446*サマリー!$B$12)</f>
        <v>0</v>
      </c>
      <c r="E446" s="27">
        <f t="shared" si="12"/>
        <v>0</v>
      </c>
      <c r="I446" s="30"/>
      <c r="J446" s="30"/>
      <c r="K446" s="30"/>
      <c r="L446" s="30"/>
      <c r="M446" s="30"/>
      <c r="N446" s="30"/>
      <c r="O446" s="30"/>
      <c r="P446" s="30"/>
      <c r="Q446" s="31"/>
      <c r="R446" s="31"/>
      <c r="S446" s="31"/>
      <c r="T446" s="32"/>
      <c r="U446" s="32"/>
      <c r="V446" s="32"/>
      <c r="W446" s="32"/>
      <c r="X446" s="32"/>
      <c r="Y446" s="33"/>
      <c r="Z446" s="33"/>
      <c r="AA446" s="33"/>
    </row>
    <row r="447" spans="1:27">
      <c r="A447" s="29"/>
      <c r="B447" s="19">
        <f t="shared" si="13"/>
        <v>46327</v>
      </c>
      <c r="C447" s="27">
        <f>I447+J447+K447+L447+M447+N447+O447+P447+IF(Q447="",0,Q447*サマリー!$B$9)+IF(R447="",0,IF(R447=200,サマリー!$B$10,IF(R447=100,サマリー!$B$11,0)))+IF(S447="",0,S447*サマリー!$B$12)</f>
        <v>0</v>
      </c>
      <c r="D447" s="27">
        <f>T447+U447+V447+W447+X447+IF(Y447="",0,Y447*サマリー!$B$9)+IF(Z447="",0,IF(Z447=200,サマリー!$B$10,IF(Z447=100,サマリー!$B$11,0)))+IF(AA447="",0,AA447*サマリー!$B$12)</f>
        <v>0</v>
      </c>
      <c r="E447" s="27">
        <f t="shared" si="12"/>
        <v>0</v>
      </c>
      <c r="I447" s="30"/>
      <c r="J447" s="30"/>
      <c r="K447" s="30"/>
      <c r="L447" s="30"/>
      <c r="M447" s="30"/>
      <c r="N447" s="30"/>
      <c r="O447" s="30"/>
      <c r="P447" s="30"/>
      <c r="Q447" s="31"/>
      <c r="R447" s="31"/>
      <c r="S447" s="31"/>
      <c r="T447" s="32"/>
      <c r="U447" s="32"/>
      <c r="V447" s="32"/>
      <c r="W447" s="32"/>
      <c r="X447" s="32"/>
      <c r="Y447" s="33"/>
      <c r="Z447" s="33"/>
      <c r="AA447" s="33"/>
    </row>
    <row r="448" spans="1:27">
      <c r="A448" s="29"/>
      <c r="B448" s="19">
        <f t="shared" si="13"/>
        <v>46327</v>
      </c>
      <c r="C448" s="27">
        <f>I448+J448+K448+L448+M448+N448+O448+P448+IF(Q448="",0,Q448*サマリー!$B$9)+IF(R448="",0,IF(R448=200,サマリー!$B$10,IF(R448=100,サマリー!$B$11,0)))+IF(S448="",0,S448*サマリー!$B$12)</f>
        <v>0</v>
      </c>
      <c r="D448" s="27">
        <f>T448+U448+V448+W448+X448+IF(Y448="",0,Y448*サマリー!$B$9)+IF(Z448="",0,IF(Z448=200,サマリー!$B$10,IF(Z448=100,サマリー!$B$11,0)))+IF(AA448="",0,AA448*サマリー!$B$12)</f>
        <v>0</v>
      </c>
      <c r="E448" s="27">
        <f t="shared" si="12"/>
        <v>0</v>
      </c>
      <c r="I448" s="30"/>
      <c r="J448" s="30"/>
      <c r="K448" s="30"/>
      <c r="L448" s="30"/>
      <c r="M448" s="30"/>
      <c r="N448" s="30"/>
      <c r="O448" s="30"/>
      <c r="P448" s="30"/>
      <c r="Q448" s="31"/>
      <c r="R448" s="31"/>
      <c r="S448" s="31"/>
      <c r="T448" s="32"/>
      <c r="U448" s="32"/>
      <c r="V448" s="32"/>
      <c r="W448" s="32"/>
      <c r="X448" s="32"/>
      <c r="Y448" s="33"/>
      <c r="Z448" s="33"/>
      <c r="AA448" s="33"/>
    </row>
    <row r="449" spans="1:27">
      <c r="A449" s="29"/>
      <c r="B449" s="19">
        <f t="shared" si="13"/>
        <v>46327</v>
      </c>
      <c r="C449" s="27">
        <f>I449+J449+K449+L449+M449+N449+O449+P449+IF(Q449="",0,Q449*サマリー!$B$9)+IF(R449="",0,IF(R449=200,サマリー!$B$10,IF(R449=100,サマリー!$B$11,0)))+IF(S449="",0,S449*サマリー!$B$12)</f>
        <v>0</v>
      </c>
      <c r="D449" s="27">
        <f>T449+U449+V449+W449+X449+IF(Y449="",0,Y449*サマリー!$B$9)+IF(Z449="",0,IF(Z449=200,サマリー!$B$10,IF(Z449=100,サマリー!$B$11,0)))+IF(AA449="",0,AA449*サマリー!$B$12)</f>
        <v>0</v>
      </c>
      <c r="E449" s="27">
        <f t="shared" si="12"/>
        <v>0</v>
      </c>
      <c r="I449" s="30"/>
      <c r="J449" s="30"/>
      <c r="K449" s="30"/>
      <c r="L449" s="30"/>
      <c r="M449" s="30"/>
      <c r="N449" s="30"/>
      <c r="O449" s="30"/>
      <c r="P449" s="30"/>
      <c r="Q449" s="31"/>
      <c r="R449" s="31"/>
      <c r="S449" s="31"/>
      <c r="T449" s="32"/>
      <c r="U449" s="32"/>
      <c r="V449" s="32"/>
      <c r="W449" s="32"/>
      <c r="X449" s="32"/>
      <c r="Y449" s="33"/>
      <c r="Z449" s="33"/>
      <c r="AA449" s="33"/>
    </row>
    <row r="450" spans="1:27">
      <c r="A450" s="29"/>
      <c r="B450" s="19">
        <f t="shared" si="13"/>
        <v>46327</v>
      </c>
      <c r="C450" s="27">
        <f>I450+J450+K450+L450+M450+N450+O450+P450+IF(Q450="",0,Q450*サマリー!$B$9)+IF(R450="",0,IF(R450=200,サマリー!$B$10,IF(R450=100,サマリー!$B$11,0)))+IF(S450="",0,S450*サマリー!$B$12)</f>
        <v>0</v>
      </c>
      <c r="D450" s="27">
        <f>T450+U450+V450+W450+X450+IF(Y450="",0,Y450*サマリー!$B$9)+IF(Z450="",0,IF(Z450=200,サマリー!$B$10,IF(Z450=100,サマリー!$B$11,0)))+IF(AA450="",0,AA450*サマリー!$B$12)</f>
        <v>0</v>
      </c>
      <c r="E450" s="27">
        <f t="shared" si="12"/>
        <v>0</v>
      </c>
      <c r="I450" s="30"/>
      <c r="J450" s="30"/>
      <c r="K450" s="30"/>
      <c r="L450" s="30"/>
      <c r="M450" s="30"/>
      <c r="N450" s="30"/>
      <c r="O450" s="30"/>
      <c r="P450" s="30"/>
      <c r="Q450" s="31"/>
      <c r="R450" s="31"/>
      <c r="S450" s="31"/>
      <c r="T450" s="32"/>
      <c r="U450" s="32"/>
      <c r="V450" s="32"/>
      <c r="W450" s="32"/>
      <c r="X450" s="32"/>
      <c r="Y450" s="33"/>
      <c r="Z450" s="33"/>
      <c r="AA450" s="33"/>
    </row>
    <row r="451" spans="1:27">
      <c r="A451" s="29"/>
      <c r="B451" s="19">
        <f t="shared" si="13"/>
        <v>46327</v>
      </c>
      <c r="C451" s="27">
        <f>I451+J451+K451+L451+M451+N451+O451+P451+IF(Q451="",0,Q451*サマリー!$B$9)+IF(R451="",0,IF(R451=200,サマリー!$B$10,IF(R451=100,サマリー!$B$11,0)))+IF(S451="",0,S451*サマリー!$B$12)</f>
        <v>0</v>
      </c>
      <c r="D451" s="27">
        <f>T451+U451+V451+W451+X451+IF(Y451="",0,Y451*サマリー!$B$9)+IF(Z451="",0,IF(Z451=200,サマリー!$B$10,IF(Z451=100,サマリー!$B$11,0)))+IF(AA451="",0,AA451*サマリー!$B$12)</f>
        <v>0</v>
      </c>
      <c r="E451" s="27">
        <f t="shared" si="12"/>
        <v>0</v>
      </c>
      <c r="I451" s="30"/>
      <c r="J451" s="30"/>
      <c r="K451" s="30"/>
      <c r="L451" s="30"/>
      <c r="M451" s="30"/>
      <c r="N451" s="30"/>
      <c r="O451" s="30"/>
      <c r="P451" s="30"/>
      <c r="Q451" s="31"/>
      <c r="R451" s="31"/>
      <c r="S451" s="31"/>
      <c r="T451" s="32"/>
      <c r="U451" s="32"/>
      <c r="V451" s="32"/>
      <c r="W451" s="32"/>
      <c r="X451" s="32"/>
      <c r="Y451" s="33"/>
      <c r="Z451" s="33"/>
      <c r="AA451" s="33"/>
    </row>
    <row r="452" spans="1:27">
      <c r="A452" s="29"/>
      <c r="B452" s="19">
        <f t="shared" si="13"/>
        <v>46327</v>
      </c>
      <c r="C452" s="27">
        <f>I452+J452+K452+L452+M452+N452+O452+P452+IF(Q452="",0,Q452*サマリー!$B$9)+IF(R452="",0,IF(R452=200,サマリー!$B$10,IF(R452=100,サマリー!$B$11,0)))+IF(S452="",0,S452*サマリー!$B$12)</f>
        <v>0</v>
      </c>
      <c r="D452" s="27">
        <f>T452+U452+V452+W452+X452+IF(Y452="",0,Y452*サマリー!$B$9)+IF(Z452="",0,IF(Z452=200,サマリー!$B$10,IF(Z452=100,サマリー!$B$11,0)))+IF(AA452="",0,AA452*サマリー!$B$12)</f>
        <v>0</v>
      </c>
      <c r="E452" s="27">
        <f t="shared" si="12"/>
        <v>0</v>
      </c>
      <c r="I452" s="30"/>
      <c r="J452" s="30"/>
      <c r="K452" s="30"/>
      <c r="L452" s="30"/>
      <c r="M452" s="30"/>
      <c r="N452" s="30"/>
      <c r="O452" s="30"/>
      <c r="P452" s="30"/>
      <c r="Q452" s="31"/>
      <c r="R452" s="31"/>
      <c r="S452" s="31"/>
      <c r="T452" s="32"/>
      <c r="U452" s="32"/>
      <c r="V452" s="32"/>
      <c r="W452" s="32"/>
      <c r="X452" s="32"/>
      <c r="Y452" s="33"/>
      <c r="Z452" s="33"/>
      <c r="AA452" s="33"/>
    </row>
    <row r="453" spans="1:27">
      <c r="A453" s="29"/>
      <c r="B453" s="19">
        <f t="shared" si="13"/>
        <v>46327</v>
      </c>
      <c r="C453" s="27">
        <f>I453+J453+K453+L453+M453+N453+O453+P453+IF(Q453="",0,Q453*サマリー!$B$9)+IF(R453="",0,IF(R453=200,サマリー!$B$10,IF(R453=100,サマリー!$B$11,0)))+IF(S453="",0,S453*サマリー!$B$12)</f>
        <v>0</v>
      </c>
      <c r="D453" s="27">
        <f>T453+U453+V453+W453+X453+IF(Y453="",0,Y453*サマリー!$B$9)+IF(Z453="",0,IF(Z453=200,サマリー!$B$10,IF(Z453=100,サマリー!$B$11,0)))+IF(AA453="",0,AA453*サマリー!$B$12)</f>
        <v>0</v>
      </c>
      <c r="E453" s="27">
        <f t="shared" si="12"/>
        <v>0</v>
      </c>
      <c r="I453" s="30"/>
      <c r="J453" s="30"/>
      <c r="K453" s="30"/>
      <c r="L453" s="30"/>
      <c r="M453" s="30"/>
      <c r="N453" s="30"/>
      <c r="O453" s="30"/>
      <c r="P453" s="30"/>
      <c r="Q453" s="31"/>
      <c r="R453" s="31"/>
      <c r="S453" s="31"/>
      <c r="T453" s="32"/>
      <c r="U453" s="32"/>
      <c r="V453" s="32"/>
      <c r="W453" s="32"/>
      <c r="X453" s="32"/>
      <c r="Y453" s="33"/>
      <c r="Z453" s="33"/>
      <c r="AA453" s="33"/>
    </row>
    <row r="454" spans="1:27">
      <c r="A454" s="29"/>
      <c r="B454" s="19">
        <f t="shared" si="13"/>
        <v>46327</v>
      </c>
      <c r="C454" s="27">
        <f>I454+J454+K454+L454+M454+N454+O454+P454+IF(Q454="",0,Q454*サマリー!$B$9)+IF(R454="",0,IF(R454=200,サマリー!$B$10,IF(R454=100,サマリー!$B$11,0)))+IF(S454="",0,S454*サマリー!$B$12)</f>
        <v>0</v>
      </c>
      <c r="D454" s="27">
        <f>T454+U454+V454+W454+X454+IF(Y454="",0,Y454*サマリー!$B$9)+IF(Z454="",0,IF(Z454=200,サマリー!$B$10,IF(Z454=100,サマリー!$B$11,0)))+IF(AA454="",0,AA454*サマリー!$B$12)</f>
        <v>0</v>
      </c>
      <c r="E454" s="27">
        <f t="shared" ref="E454:E517" si="14">C454+D454</f>
        <v>0</v>
      </c>
      <c r="I454" s="30"/>
      <c r="J454" s="30"/>
      <c r="K454" s="30"/>
      <c r="L454" s="30"/>
      <c r="M454" s="30"/>
      <c r="N454" s="30"/>
      <c r="O454" s="30"/>
      <c r="P454" s="30"/>
      <c r="Q454" s="31"/>
      <c r="R454" s="31"/>
      <c r="S454" s="31"/>
      <c r="T454" s="32"/>
      <c r="U454" s="32"/>
      <c r="V454" s="32"/>
      <c r="W454" s="32"/>
      <c r="X454" s="32"/>
      <c r="Y454" s="33"/>
      <c r="Z454" s="33"/>
      <c r="AA454" s="33"/>
    </row>
    <row r="455" spans="1:27">
      <c r="A455" s="29"/>
      <c r="B455" s="19">
        <f t="shared" ref="B455:B518" si="15">IF(A455="",B454,IF(A455&lt;DAY(B454),DATE(YEAR(B454),MONTH(B454)+1,A455),DATE(YEAR(B454),MONTH(B454),A455)))</f>
        <v>46327</v>
      </c>
      <c r="C455" s="27">
        <f>I455+J455+K455+L455+M455+N455+O455+P455+IF(Q455="",0,Q455*サマリー!$B$9)+IF(R455="",0,IF(R455=200,サマリー!$B$10,IF(R455=100,サマリー!$B$11,0)))+IF(S455="",0,S455*サマリー!$B$12)</f>
        <v>0</v>
      </c>
      <c r="D455" s="27">
        <f>T455+U455+V455+W455+X455+IF(Y455="",0,Y455*サマリー!$B$9)+IF(Z455="",0,IF(Z455=200,サマリー!$B$10,IF(Z455=100,サマリー!$B$11,0)))+IF(AA455="",0,AA455*サマリー!$B$12)</f>
        <v>0</v>
      </c>
      <c r="E455" s="27">
        <f t="shared" si="14"/>
        <v>0</v>
      </c>
      <c r="I455" s="30"/>
      <c r="J455" s="30"/>
      <c r="K455" s="30"/>
      <c r="L455" s="30"/>
      <c r="M455" s="30"/>
      <c r="N455" s="30"/>
      <c r="O455" s="30"/>
      <c r="P455" s="30"/>
      <c r="Q455" s="31"/>
      <c r="R455" s="31"/>
      <c r="S455" s="31"/>
      <c r="T455" s="32"/>
      <c r="U455" s="32"/>
      <c r="V455" s="32"/>
      <c r="W455" s="32"/>
      <c r="X455" s="32"/>
      <c r="Y455" s="33"/>
      <c r="Z455" s="33"/>
      <c r="AA455" s="33"/>
    </row>
    <row r="456" spans="1:27">
      <c r="A456" s="29"/>
      <c r="B456" s="19">
        <f t="shared" si="15"/>
        <v>46327</v>
      </c>
      <c r="C456" s="27">
        <f>I456+J456+K456+L456+M456+N456+O456+P456+IF(Q456="",0,Q456*サマリー!$B$9)+IF(R456="",0,IF(R456=200,サマリー!$B$10,IF(R456=100,サマリー!$B$11,0)))+IF(S456="",0,S456*サマリー!$B$12)</f>
        <v>0</v>
      </c>
      <c r="D456" s="27">
        <f>T456+U456+V456+W456+X456+IF(Y456="",0,Y456*サマリー!$B$9)+IF(Z456="",0,IF(Z456=200,サマリー!$B$10,IF(Z456=100,サマリー!$B$11,0)))+IF(AA456="",0,AA456*サマリー!$B$12)</f>
        <v>0</v>
      </c>
      <c r="E456" s="27">
        <f t="shared" si="14"/>
        <v>0</v>
      </c>
      <c r="I456" s="30"/>
      <c r="J456" s="30"/>
      <c r="K456" s="30"/>
      <c r="L456" s="30"/>
      <c r="M456" s="30"/>
      <c r="N456" s="30"/>
      <c r="O456" s="30"/>
      <c r="P456" s="30"/>
      <c r="Q456" s="31"/>
      <c r="R456" s="31"/>
      <c r="S456" s="31"/>
      <c r="T456" s="32"/>
      <c r="U456" s="32"/>
      <c r="V456" s="32"/>
      <c r="W456" s="32"/>
      <c r="X456" s="32"/>
      <c r="Y456" s="33"/>
      <c r="Z456" s="33"/>
      <c r="AA456" s="33"/>
    </row>
    <row r="457" spans="1:27">
      <c r="A457" s="29"/>
      <c r="B457" s="19">
        <f t="shared" si="15"/>
        <v>46327</v>
      </c>
      <c r="C457" s="27">
        <f>I457+J457+K457+L457+M457+N457+O457+P457+IF(Q457="",0,Q457*サマリー!$B$9)+IF(R457="",0,IF(R457=200,サマリー!$B$10,IF(R457=100,サマリー!$B$11,0)))+IF(S457="",0,S457*サマリー!$B$12)</f>
        <v>0</v>
      </c>
      <c r="D457" s="27">
        <f>T457+U457+V457+W457+X457+IF(Y457="",0,Y457*サマリー!$B$9)+IF(Z457="",0,IF(Z457=200,サマリー!$B$10,IF(Z457=100,サマリー!$B$11,0)))+IF(AA457="",0,AA457*サマリー!$B$12)</f>
        <v>0</v>
      </c>
      <c r="E457" s="27">
        <f t="shared" si="14"/>
        <v>0</v>
      </c>
      <c r="I457" s="30"/>
      <c r="J457" s="30"/>
      <c r="K457" s="30"/>
      <c r="L457" s="30"/>
      <c r="M457" s="30"/>
      <c r="N457" s="30"/>
      <c r="O457" s="30"/>
      <c r="P457" s="30"/>
      <c r="Q457" s="31"/>
      <c r="R457" s="31"/>
      <c r="S457" s="31"/>
      <c r="T457" s="32"/>
      <c r="U457" s="32"/>
      <c r="V457" s="32"/>
      <c r="W457" s="32"/>
      <c r="X457" s="32"/>
      <c r="Y457" s="33"/>
      <c r="Z457" s="33"/>
      <c r="AA457" s="33"/>
    </row>
    <row r="458" spans="1:27">
      <c r="A458" s="29"/>
      <c r="B458" s="19">
        <f t="shared" si="15"/>
        <v>46327</v>
      </c>
      <c r="C458" s="27">
        <f>I458+J458+K458+L458+M458+N458+O458+P458+IF(Q458="",0,Q458*サマリー!$B$9)+IF(R458="",0,IF(R458=200,サマリー!$B$10,IF(R458=100,サマリー!$B$11,0)))+IF(S458="",0,S458*サマリー!$B$12)</f>
        <v>0</v>
      </c>
      <c r="D458" s="27">
        <f>T458+U458+V458+W458+X458+IF(Y458="",0,Y458*サマリー!$B$9)+IF(Z458="",0,IF(Z458=200,サマリー!$B$10,IF(Z458=100,サマリー!$B$11,0)))+IF(AA458="",0,AA458*サマリー!$B$12)</f>
        <v>0</v>
      </c>
      <c r="E458" s="27">
        <f t="shared" si="14"/>
        <v>0</v>
      </c>
      <c r="I458" s="30"/>
      <c r="J458" s="30"/>
      <c r="K458" s="30"/>
      <c r="L458" s="30"/>
      <c r="M458" s="30"/>
      <c r="N458" s="30"/>
      <c r="O458" s="30"/>
      <c r="P458" s="30"/>
      <c r="Q458" s="31"/>
      <c r="R458" s="31"/>
      <c r="S458" s="31"/>
      <c r="T458" s="32"/>
      <c r="U458" s="32"/>
      <c r="V458" s="32"/>
      <c r="W458" s="32"/>
      <c r="X458" s="32"/>
      <c r="Y458" s="33"/>
      <c r="Z458" s="33"/>
      <c r="AA458" s="33"/>
    </row>
    <row r="459" spans="1:27">
      <c r="A459" s="29"/>
      <c r="B459" s="19">
        <f t="shared" si="15"/>
        <v>46327</v>
      </c>
      <c r="C459" s="27">
        <f>I459+J459+K459+L459+M459+N459+O459+P459+IF(Q459="",0,Q459*サマリー!$B$9)+IF(R459="",0,IF(R459=200,サマリー!$B$10,IF(R459=100,サマリー!$B$11,0)))+IF(S459="",0,S459*サマリー!$B$12)</f>
        <v>0</v>
      </c>
      <c r="D459" s="27">
        <f>T459+U459+V459+W459+X459+IF(Y459="",0,Y459*サマリー!$B$9)+IF(Z459="",0,IF(Z459=200,サマリー!$B$10,IF(Z459=100,サマリー!$B$11,0)))+IF(AA459="",0,AA459*サマリー!$B$12)</f>
        <v>0</v>
      </c>
      <c r="E459" s="27">
        <f t="shared" si="14"/>
        <v>0</v>
      </c>
      <c r="I459" s="30"/>
      <c r="J459" s="30"/>
      <c r="K459" s="30"/>
      <c r="L459" s="30"/>
      <c r="M459" s="30"/>
      <c r="N459" s="30"/>
      <c r="O459" s="30"/>
      <c r="P459" s="30"/>
      <c r="Q459" s="31"/>
      <c r="R459" s="31"/>
      <c r="S459" s="31"/>
      <c r="T459" s="32"/>
      <c r="U459" s="32"/>
      <c r="V459" s="32"/>
      <c r="W459" s="32"/>
      <c r="X459" s="32"/>
      <c r="Y459" s="33"/>
      <c r="Z459" s="33"/>
      <c r="AA459" s="33"/>
    </row>
    <row r="460" spans="1:27">
      <c r="A460" s="29"/>
      <c r="B460" s="19">
        <f t="shared" si="15"/>
        <v>46327</v>
      </c>
      <c r="C460" s="27">
        <f>I460+J460+K460+L460+M460+N460+O460+P460+IF(Q460="",0,Q460*サマリー!$B$9)+IF(R460="",0,IF(R460=200,サマリー!$B$10,IF(R460=100,サマリー!$B$11,0)))+IF(S460="",0,S460*サマリー!$B$12)</f>
        <v>0</v>
      </c>
      <c r="D460" s="27">
        <f>T460+U460+V460+W460+X460+IF(Y460="",0,Y460*サマリー!$B$9)+IF(Z460="",0,IF(Z460=200,サマリー!$B$10,IF(Z460=100,サマリー!$B$11,0)))+IF(AA460="",0,AA460*サマリー!$B$12)</f>
        <v>0</v>
      </c>
      <c r="E460" s="27">
        <f t="shared" si="14"/>
        <v>0</v>
      </c>
      <c r="I460" s="30"/>
      <c r="J460" s="30"/>
      <c r="K460" s="30"/>
      <c r="L460" s="30"/>
      <c r="M460" s="30"/>
      <c r="N460" s="30"/>
      <c r="O460" s="30"/>
      <c r="P460" s="30"/>
      <c r="Q460" s="31"/>
      <c r="R460" s="31"/>
      <c r="S460" s="31"/>
      <c r="T460" s="32"/>
      <c r="U460" s="32"/>
      <c r="V460" s="32"/>
      <c r="W460" s="32"/>
      <c r="X460" s="32"/>
      <c r="Y460" s="33"/>
      <c r="Z460" s="33"/>
      <c r="AA460" s="33"/>
    </row>
    <row r="461" spans="1:27">
      <c r="A461" s="29"/>
      <c r="B461" s="19">
        <f t="shared" si="15"/>
        <v>46327</v>
      </c>
      <c r="C461" s="27">
        <f>I461+J461+K461+L461+M461+N461+O461+P461+IF(Q461="",0,Q461*サマリー!$B$9)+IF(R461="",0,IF(R461=200,サマリー!$B$10,IF(R461=100,サマリー!$B$11,0)))+IF(S461="",0,S461*サマリー!$B$12)</f>
        <v>0</v>
      </c>
      <c r="D461" s="27">
        <f>T461+U461+V461+W461+X461+IF(Y461="",0,Y461*サマリー!$B$9)+IF(Z461="",0,IF(Z461=200,サマリー!$B$10,IF(Z461=100,サマリー!$B$11,0)))+IF(AA461="",0,AA461*サマリー!$B$12)</f>
        <v>0</v>
      </c>
      <c r="E461" s="27">
        <f t="shared" si="14"/>
        <v>0</v>
      </c>
      <c r="I461" s="30"/>
      <c r="J461" s="30"/>
      <c r="K461" s="30"/>
      <c r="L461" s="30"/>
      <c r="M461" s="30"/>
      <c r="N461" s="30"/>
      <c r="O461" s="30"/>
      <c r="P461" s="30"/>
      <c r="Q461" s="31"/>
      <c r="R461" s="31"/>
      <c r="S461" s="31"/>
      <c r="T461" s="32"/>
      <c r="U461" s="32"/>
      <c r="V461" s="32"/>
      <c r="W461" s="32"/>
      <c r="X461" s="32"/>
      <c r="Y461" s="33"/>
      <c r="Z461" s="33"/>
      <c r="AA461" s="33"/>
    </row>
    <row r="462" spans="1:27">
      <c r="A462" s="29"/>
      <c r="B462" s="19">
        <f t="shared" si="15"/>
        <v>46327</v>
      </c>
      <c r="C462" s="27">
        <f>I462+J462+K462+L462+M462+N462+O462+P462+IF(Q462="",0,Q462*サマリー!$B$9)+IF(R462="",0,IF(R462=200,サマリー!$B$10,IF(R462=100,サマリー!$B$11,0)))+IF(S462="",0,S462*サマリー!$B$12)</f>
        <v>0</v>
      </c>
      <c r="D462" s="27">
        <f>T462+U462+V462+W462+X462+IF(Y462="",0,Y462*サマリー!$B$9)+IF(Z462="",0,IF(Z462=200,サマリー!$B$10,IF(Z462=100,サマリー!$B$11,0)))+IF(AA462="",0,AA462*サマリー!$B$12)</f>
        <v>0</v>
      </c>
      <c r="E462" s="27">
        <f t="shared" si="14"/>
        <v>0</v>
      </c>
      <c r="I462" s="30"/>
      <c r="J462" s="30"/>
      <c r="K462" s="30"/>
      <c r="L462" s="30"/>
      <c r="M462" s="30"/>
      <c r="N462" s="30"/>
      <c r="O462" s="30"/>
      <c r="P462" s="30"/>
      <c r="Q462" s="31"/>
      <c r="R462" s="31"/>
      <c r="S462" s="31"/>
      <c r="T462" s="32"/>
      <c r="U462" s="32"/>
      <c r="V462" s="32"/>
      <c r="W462" s="32"/>
      <c r="X462" s="32"/>
      <c r="Y462" s="33"/>
      <c r="Z462" s="33"/>
      <c r="AA462" s="33"/>
    </row>
    <row r="463" spans="1:27">
      <c r="A463" s="29"/>
      <c r="B463" s="19">
        <f t="shared" si="15"/>
        <v>46327</v>
      </c>
      <c r="C463" s="27">
        <f>I463+J463+K463+L463+M463+N463+O463+P463+IF(Q463="",0,Q463*サマリー!$B$9)+IF(R463="",0,IF(R463=200,サマリー!$B$10,IF(R463=100,サマリー!$B$11,0)))+IF(S463="",0,S463*サマリー!$B$12)</f>
        <v>0</v>
      </c>
      <c r="D463" s="27">
        <f>T463+U463+V463+W463+X463+IF(Y463="",0,Y463*サマリー!$B$9)+IF(Z463="",0,IF(Z463=200,サマリー!$B$10,IF(Z463=100,サマリー!$B$11,0)))+IF(AA463="",0,AA463*サマリー!$B$12)</f>
        <v>0</v>
      </c>
      <c r="E463" s="27">
        <f t="shared" si="14"/>
        <v>0</v>
      </c>
      <c r="I463" s="30"/>
      <c r="J463" s="30"/>
      <c r="K463" s="30"/>
      <c r="L463" s="30"/>
      <c r="M463" s="30"/>
      <c r="N463" s="30"/>
      <c r="O463" s="30"/>
      <c r="P463" s="30"/>
      <c r="Q463" s="31"/>
      <c r="R463" s="31"/>
      <c r="S463" s="31"/>
      <c r="T463" s="32"/>
      <c r="U463" s="32"/>
      <c r="V463" s="32"/>
      <c r="W463" s="32"/>
      <c r="X463" s="32"/>
      <c r="Y463" s="33"/>
      <c r="Z463" s="33"/>
      <c r="AA463" s="33"/>
    </row>
    <row r="464" spans="1:27">
      <c r="A464" s="29"/>
      <c r="B464" s="19">
        <f t="shared" si="15"/>
        <v>46327</v>
      </c>
      <c r="C464" s="27">
        <f>I464+J464+K464+L464+M464+N464+O464+P464+IF(Q464="",0,Q464*サマリー!$B$9)+IF(R464="",0,IF(R464=200,サマリー!$B$10,IF(R464=100,サマリー!$B$11,0)))+IF(S464="",0,S464*サマリー!$B$12)</f>
        <v>0</v>
      </c>
      <c r="D464" s="27">
        <f>T464+U464+V464+W464+X464+IF(Y464="",0,Y464*サマリー!$B$9)+IF(Z464="",0,IF(Z464=200,サマリー!$B$10,IF(Z464=100,サマリー!$B$11,0)))+IF(AA464="",0,AA464*サマリー!$B$12)</f>
        <v>0</v>
      </c>
      <c r="E464" s="27">
        <f t="shared" si="14"/>
        <v>0</v>
      </c>
      <c r="I464" s="30"/>
      <c r="J464" s="30"/>
      <c r="K464" s="30"/>
      <c r="L464" s="30"/>
      <c r="M464" s="30"/>
      <c r="N464" s="30"/>
      <c r="O464" s="30"/>
      <c r="P464" s="30"/>
      <c r="Q464" s="31"/>
      <c r="R464" s="31"/>
      <c r="S464" s="31"/>
      <c r="T464" s="32"/>
      <c r="U464" s="32"/>
      <c r="V464" s="32"/>
      <c r="W464" s="32"/>
      <c r="X464" s="32"/>
      <c r="Y464" s="33"/>
      <c r="Z464" s="33"/>
      <c r="AA464" s="33"/>
    </row>
    <row r="465" spans="1:27">
      <c r="A465" s="29"/>
      <c r="B465" s="19">
        <f t="shared" si="15"/>
        <v>46327</v>
      </c>
      <c r="C465" s="27">
        <f>I465+J465+K465+L465+M465+N465+O465+P465+IF(Q465="",0,Q465*サマリー!$B$9)+IF(R465="",0,IF(R465=200,サマリー!$B$10,IF(R465=100,サマリー!$B$11,0)))+IF(S465="",0,S465*サマリー!$B$12)</f>
        <v>0</v>
      </c>
      <c r="D465" s="27">
        <f>T465+U465+V465+W465+X465+IF(Y465="",0,Y465*サマリー!$B$9)+IF(Z465="",0,IF(Z465=200,サマリー!$B$10,IF(Z465=100,サマリー!$B$11,0)))+IF(AA465="",0,AA465*サマリー!$B$12)</f>
        <v>0</v>
      </c>
      <c r="E465" s="27">
        <f t="shared" si="14"/>
        <v>0</v>
      </c>
      <c r="I465" s="30"/>
      <c r="J465" s="30"/>
      <c r="K465" s="30"/>
      <c r="L465" s="30"/>
      <c r="M465" s="30"/>
      <c r="N465" s="30"/>
      <c r="O465" s="30"/>
      <c r="P465" s="30"/>
      <c r="Q465" s="31"/>
      <c r="R465" s="31"/>
      <c r="S465" s="31"/>
      <c r="T465" s="32"/>
      <c r="U465" s="32"/>
      <c r="V465" s="32"/>
      <c r="W465" s="32"/>
      <c r="X465" s="32"/>
      <c r="Y465" s="33"/>
      <c r="Z465" s="33"/>
      <c r="AA465" s="33"/>
    </row>
    <row r="466" spans="1:27">
      <c r="A466" s="29"/>
      <c r="B466" s="19">
        <f t="shared" si="15"/>
        <v>46327</v>
      </c>
      <c r="C466" s="27">
        <f>I466+J466+K466+L466+M466+N466+O466+P466+IF(Q466="",0,Q466*サマリー!$B$9)+IF(R466="",0,IF(R466=200,サマリー!$B$10,IF(R466=100,サマリー!$B$11,0)))+IF(S466="",0,S466*サマリー!$B$12)</f>
        <v>0</v>
      </c>
      <c r="D466" s="27">
        <f>T466+U466+V466+W466+X466+IF(Y466="",0,Y466*サマリー!$B$9)+IF(Z466="",0,IF(Z466=200,サマリー!$B$10,IF(Z466=100,サマリー!$B$11,0)))+IF(AA466="",0,AA466*サマリー!$B$12)</f>
        <v>0</v>
      </c>
      <c r="E466" s="27">
        <f t="shared" si="14"/>
        <v>0</v>
      </c>
      <c r="I466" s="30"/>
      <c r="J466" s="30"/>
      <c r="K466" s="30"/>
      <c r="L466" s="30"/>
      <c r="M466" s="30"/>
      <c r="N466" s="30"/>
      <c r="O466" s="30"/>
      <c r="P466" s="30"/>
      <c r="Q466" s="31"/>
      <c r="R466" s="31"/>
      <c r="S466" s="31"/>
      <c r="T466" s="32"/>
      <c r="U466" s="32"/>
      <c r="V466" s="32"/>
      <c r="W466" s="32"/>
      <c r="X466" s="32"/>
      <c r="Y466" s="33"/>
      <c r="Z466" s="33"/>
      <c r="AA466" s="33"/>
    </row>
    <row r="467" spans="1:27">
      <c r="A467" s="29"/>
      <c r="B467" s="19">
        <f t="shared" si="15"/>
        <v>46327</v>
      </c>
      <c r="C467" s="27">
        <f>I467+J467+K467+L467+M467+N467+O467+P467+IF(Q467="",0,Q467*サマリー!$B$9)+IF(R467="",0,IF(R467=200,サマリー!$B$10,IF(R467=100,サマリー!$B$11,0)))+IF(S467="",0,S467*サマリー!$B$12)</f>
        <v>0</v>
      </c>
      <c r="D467" s="27">
        <f>T467+U467+V467+W467+X467+IF(Y467="",0,Y467*サマリー!$B$9)+IF(Z467="",0,IF(Z467=200,サマリー!$B$10,IF(Z467=100,サマリー!$B$11,0)))+IF(AA467="",0,AA467*サマリー!$B$12)</f>
        <v>0</v>
      </c>
      <c r="E467" s="27">
        <f t="shared" si="14"/>
        <v>0</v>
      </c>
      <c r="I467" s="30"/>
      <c r="J467" s="30"/>
      <c r="K467" s="30"/>
      <c r="L467" s="30"/>
      <c r="M467" s="30"/>
      <c r="N467" s="30"/>
      <c r="O467" s="30"/>
      <c r="P467" s="30"/>
      <c r="Q467" s="31"/>
      <c r="R467" s="31"/>
      <c r="S467" s="31"/>
      <c r="T467" s="32"/>
      <c r="U467" s="32"/>
      <c r="V467" s="32"/>
      <c r="W467" s="32"/>
      <c r="X467" s="32"/>
      <c r="Y467" s="33"/>
      <c r="Z467" s="33"/>
      <c r="AA467" s="33"/>
    </row>
    <row r="468" spans="1:27">
      <c r="A468" s="29"/>
      <c r="B468" s="19">
        <f t="shared" si="15"/>
        <v>46327</v>
      </c>
      <c r="C468" s="27">
        <f>I468+J468+K468+L468+M468+N468+O468+P468+IF(Q468="",0,Q468*サマリー!$B$9)+IF(R468="",0,IF(R468=200,サマリー!$B$10,IF(R468=100,サマリー!$B$11,0)))+IF(S468="",0,S468*サマリー!$B$12)</f>
        <v>0</v>
      </c>
      <c r="D468" s="27">
        <f>T468+U468+V468+W468+X468+IF(Y468="",0,Y468*サマリー!$B$9)+IF(Z468="",0,IF(Z468=200,サマリー!$B$10,IF(Z468=100,サマリー!$B$11,0)))+IF(AA468="",0,AA468*サマリー!$B$12)</f>
        <v>0</v>
      </c>
      <c r="E468" s="27">
        <f t="shared" si="14"/>
        <v>0</v>
      </c>
      <c r="I468" s="30"/>
      <c r="J468" s="30"/>
      <c r="K468" s="30"/>
      <c r="L468" s="30"/>
      <c r="M468" s="30"/>
      <c r="N468" s="30"/>
      <c r="O468" s="30"/>
      <c r="P468" s="30"/>
      <c r="Q468" s="31"/>
      <c r="R468" s="31"/>
      <c r="S468" s="31"/>
      <c r="T468" s="32"/>
      <c r="U468" s="32"/>
      <c r="V468" s="32"/>
      <c r="W468" s="32"/>
      <c r="X468" s="32"/>
      <c r="Y468" s="33"/>
      <c r="Z468" s="33"/>
      <c r="AA468" s="33"/>
    </row>
    <row r="469" spans="1:27">
      <c r="A469" s="29"/>
      <c r="B469" s="19">
        <f t="shared" si="15"/>
        <v>46327</v>
      </c>
      <c r="C469" s="27">
        <f>I469+J469+K469+L469+M469+N469+O469+P469+IF(Q469="",0,Q469*サマリー!$B$9)+IF(R469="",0,IF(R469=200,サマリー!$B$10,IF(R469=100,サマリー!$B$11,0)))+IF(S469="",0,S469*サマリー!$B$12)</f>
        <v>0</v>
      </c>
      <c r="D469" s="27">
        <f>T469+U469+V469+W469+X469+IF(Y469="",0,Y469*サマリー!$B$9)+IF(Z469="",0,IF(Z469=200,サマリー!$B$10,IF(Z469=100,サマリー!$B$11,0)))+IF(AA469="",0,AA469*サマリー!$B$12)</f>
        <v>0</v>
      </c>
      <c r="E469" s="27">
        <f t="shared" si="14"/>
        <v>0</v>
      </c>
      <c r="I469" s="30"/>
      <c r="J469" s="30"/>
      <c r="K469" s="30"/>
      <c r="L469" s="30"/>
      <c r="M469" s="30"/>
      <c r="N469" s="30"/>
      <c r="O469" s="30"/>
      <c r="P469" s="30"/>
      <c r="Q469" s="31"/>
      <c r="R469" s="31"/>
      <c r="S469" s="31"/>
      <c r="T469" s="32"/>
      <c r="U469" s="32"/>
      <c r="V469" s="32"/>
      <c r="W469" s="32"/>
      <c r="X469" s="32"/>
      <c r="Y469" s="33"/>
      <c r="Z469" s="33"/>
      <c r="AA469" s="33"/>
    </row>
    <row r="470" spans="1:27">
      <c r="A470" s="29"/>
      <c r="B470" s="19">
        <f t="shared" si="15"/>
        <v>46327</v>
      </c>
      <c r="C470" s="27">
        <f>I470+J470+K470+L470+M470+N470+O470+P470+IF(Q470="",0,Q470*サマリー!$B$9)+IF(R470="",0,IF(R470=200,サマリー!$B$10,IF(R470=100,サマリー!$B$11,0)))+IF(S470="",0,S470*サマリー!$B$12)</f>
        <v>0</v>
      </c>
      <c r="D470" s="27">
        <f>T470+U470+V470+W470+X470+IF(Y470="",0,Y470*サマリー!$B$9)+IF(Z470="",0,IF(Z470=200,サマリー!$B$10,IF(Z470=100,サマリー!$B$11,0)))+IF(AA470="",0,AA470*サマリー!$B$12)</f>
        <v>0</v>
      </c>
      <c r="E470" s="27">
        <f t="shared" si="14"/>
        <v>0</v>
      </c>
      <c r="I470" s="30"/>
      <c r="J470" s="30"/>
      <c r="K470" s="30"/>
      <c r="L470" s="30"/>
      <c r="M470" s="30"/>
      <c r="N470" s="30"/>
      <c r="O470" s="30"/>
      <c r="P470" s="30"/>
      <c r="Q470" s="31"/>
      <c r="R470" s="31"/>
      <c r="S470" s="31"/>
      <c r="T470" s="32"/>
      <c r="U470" s="32"/>
      <c r="V470" s="32"/>
      <c r="W470" s="32"/>
      <c r="X470" s="32"/>
      <c r="Y470" s="33"/>
      <c r="Z470" s="33"/>
      <c r="AA470" s="33"/>
    </row>
    <row r="471" spans="1:27">
      <c r="A471" s="29"/>
      <c r="B471" s="19">
        <f t="shared" si="15"/>
        <v>46327</v>
      </c>
      <c r="C471" s="27">
        <f>I471+J471+K471+L471+M471+N471+O471+P471+IF(Q471="",0,Q471*サマリー!$B$9)+IF(R471="",0,IF(R471=200,サマリー!$B$10,IF(R471=100,サマリー!$B$11,0)))+IF(S471="",0,S471*サマリー!$B$12)</f>
        <v>0</v>
      </c>
      <c r="D471" s="27">
        <f>T471+U471+V471+W471+X471+IF(Y471="",0,Y471*サマリー!$B$9)+IF(Z471="",0,IF(Z471=200,サマリー!$B$10,IF(Z471=100,サマリー!$B$11,0)))+IF(AA471="",0,AA471*サマリー!$B$12)</f>
        <v>0</v>
      </c>
      <c r="E471" s="27">
        <f t="shared" si="14"/>
        <v>0</v>
      </c>
      <c r="I471" s="30"/>
      <c r="J471" s="30"/>
      <c r="K471" s="30"/>
      <c r="L471" s="30"/>
      <c r="M471" s="30"/>
      <c r="N471" s="30"/>
      <c r="O471" s="30"/>
      <c r="P471" s="30"/>
      <c r="Q471" s="31"/>
      <c r="R471" s="31"/>
      <c r="S471" s="31"/>
      <c r="T471" s="32"/>
      <c r="U471" s="32"/>
      <c r="V471" s="32"/>
      <c r="W471" s="32"/>
      <c r="X471" s="32"/>
      <c r="Y471" s="33"/>
      <c r="Z471" s="33"/>
      <c r="AA471" s="33"/>
    </row>
    <row r="472" spans="1:27">
      <c r="A472" s="29"/>
      <c r="B472" s="19">
        <f t="shared" si="15"/>
        <v>46327</v>
      </c>
      <c r="C472" s="27">
        <f>I472+J472+K472+L472+M472+N472+O472+P472+IF(Q472="",0,Q472*サマリー!$B$9)+IF(R472="",0,IF(R472=200,サマリー!$B$10,IF(R472=100,サマリー!$B$11,0)))+IF(S472="",0,S472*サマリー!$B$12)</f>
        <v>0</v>
      </c>
      <c r="D472" s="27">
        <f>T472+U472+V472+W472+X472+IF(Y472="",0,Y472*サマリー!$B$9)+IF(Z472="",0,IF(Z472=200,サマリー!$B$10,IF(Z472=100,サマリー!$B$11,0)))+IF(AA472="",0,AA472*サマリー!$B$12)</f>
        <v>0</v>
      </c>
      <c r="E472" s="27">
        <f t="shared" si="14"/>
        <v>0</v>
      </c>
      <c r="I472" s="30"/>
      <c r="J472" s="30"/>
      <c r="K472" s="30"/>
      <c r="L472" s="30"/>
      <c r="M472" s="30"/>
      <c r="N472" s="30"/>
      <c r="O472" s="30"/>
      <c r="P472" s="30"/>
      <c r="Q472" s="31"/>
      <c r="R472" s="31"/>
      <c r="S472" s="31"/>
      <c r="T472" s="32"/>
      <c r="U472" s="32"/>
      <c r="V472" s="32"/>
      <c r="W472" s="32"/>
      <c r="X472" s="32"/>
      <c r="Y472" s="33"/>
      <c r="Z472" s="33"/>
      <c r="AA472" s="33"/>
    </row>
    <row r="473" spans="1:27">
      <c r="A473" s="29"/>
      <c r="B473" s="19">
        <f t="shared" si="15"/>
        <v>46327</v>
      </c>
      <c r="C473" s="27">
        <f>I473+J473+K473+L473+M473+N473+O473+P473+IF(Q473="",0,Q473*サマリー!$B$9)+IF(R473="",0,IF(R473=200,サマリー!$B$10,IF(R473=100,サマリー!$B$11,0)))+IF(S473="",0,S473*サマリー!$B$12)</f>
        <v>0</v>
      </c>
      <c r="D473" s="27">
        <f>T473+U473+V473+W473+X473+IF(Y473="",0,Y473*サマリー!$B$9)+IF(Z473="",0,IF(Z473=200,サマリー!$B$10,IF(Z473=100,サマリー!$B$11,0)))+IF(AA473="",0,AA473*サマリー!$B$12)</f>
        <v>0</v>
      </c>
      <c r="E473" s="27">
        <f t="shared" si="14"/>
        <v>0</v>
      </c>
      <c r="I473" s="30"/>
      <c r="J473" s="30"/>
      <c r="K473" s="30"/>
      <c r="L473" s="30"/>
      <c r="M473" s="30"/>
      <c r="N473" s="30"/>
      <c r="O473" s="30"/>
      <c r="P473" s="30"/>
      <c r="Q473" s="31"/>
      <c r="R473" s="31"/>
      <c r="S473" s="31"/>
      <c r="T473" s="32"/>
      <c r="U473" s="32"/>
      <c r="V473" s="32"/>
      <c r="W473" s="32"/>
      <c r="X473" s="32"/>
      <c r="Y473" s="33"/>
      <c r="Z473" s="33"/>
      <c r="AA473" s="33"/>
    </row>
    <row r="474" spans="1:27">
      <c r="A474" s="29"/>
      <c r="B474" s="19">
        <f t="shared" si="15"/>
        <v>46327</v>
      </c>
      <c r="C474" s="27">
        <f>I474+J474+K474+L474+M474+N474+O474+P474+IF(Q474="",0,Q474*サマリー!$B$9)+IF(R474="",0,IF(R474=200,サマリー!$B$10,IF(R474=100,サマリー!$B$11,0)))+IF(S474="",0,S474*サマリー!$B$12)</f>
        <v>0</v>
      </c>
      <c r="D474" s="27">
        <f>T474+U474+V474+W474+X474+IF(Y474="",0,Y474*サマリー!$B$9)+IF(Z474="",0,IF(Z474=200,サマリー!$B$10,IF(Z474=100,サマリー!$B$11,0)))+IF(AA474="",0,AA474*サマリー!$B$12)</f>
        <v>0</v>
      </c>
      <c r="E474" s="27">
        <f t="shared" si="14"/>
        <v>0</v>
      </c>
      <c r="I474" s="30"/>
      <c r="J474" s="30"/>
      <c r="K474" s="30"/>
      <c r="L474" s="30"/>
      <c r="M474" s="30"/>
      <c r="N474" s="30"/>
      <c r="O474" s="30"/>
      <c r="P474" s="30"/>
      <c r="Q474" s="31"/>
      <c r="R474" s="31"/>
      <c r="S474" s="31"/>
      <c r="T474" s="32"/>
      <c r="U474" s="32"/>
      <c r="V474" s="32"/>
      <c r="W474" s="32"/>
      <c r="X474" s="32"/>
      <c r="Y474" s="33"/>
      <c r="Z474" s="33"/>
      <c r="AA474" s="33"/>
    </row>
    <row r="475" spans="1:27">
      <c r="A475" s="29"/>
      <c r="B475" s="19">
        <f t="shared" si="15"/>
        <v>46327</v>
      </c>
      <c r="C475" s="27">
        <f>I475+J475+K475+L475+M475+N475+O475+P475+IF(Q475="",0,Q475*サマリー!$B$9)+IF(R475="",0,IF(R475=200,サマリー!$B$10,IF(R475=100,サマリー!$B$11,0)))+IF(S475="",0,S475*サマリー!$B$12)</f>
        <v>0</v>
      </c>
      <c r="D475" s="27">
        <f>T475+U475+V475+W475+X475+IF(Y475="",0,Y475*サマリー!$B$9)+IF(Z475="",0,IF(Z475=200,サマリー!$B$10,IF(Z475=100,サマリー!$B$11,0)))+IF(AA475="",0,AA475*サマリー!$B$12)</f>
        <v>0</v>
      </c>
      <c r="E475" s="27">
        <f t="shared" si="14"/>
        <v>0</v>
      </c>
      <c r="I475" s="30"/>
      <c r="J475" s="30"/>
      <c r="K475" s="30"/>
      <c r="L475" s="30"/>
      <c r="M475" s="30"/>
      <c r="N475" s="30"/>
      <c r="O475" s="30"/>
      <c r="P475" s="30"/>
      <c r="Q475" s="31"/>
      <c r="R475" s="31"/>
      <c r="S475" s="31"/>
      <c r="T475" s="32"/>
      <c r="U475" s="32"/>
      <c r="V475" s="32"/>
      <c r="W475" s="32"/>
      <c r="X475" s="32"/>
      <c r="Y475" s="33"/>
      <c r="Z475" s="33"/>
      <c r="AA475" s="33"/>
    </row>
    <row r="476" spans="1:27">
      <c r="A476" s="29"/>
      <c r="B476" s="19">
        <f t="shared" si="15"/>
        <v>46327</v>
      </c>
      <c r="C476" s="27">
        <f>I476+J476+K476+L476+M476+N476+O476+P476+IF(Q476="",0,Q476*サマリー!$B$9)+IF(R476="",0,IF(R476=200,サマリー!$B$10,IF(R476=100,サマリー!$B$11,0)))+IF(S476="",0,S476*サマリー!$B$12)</f>
        <v>0</v>
      </c>
      <c r="D476" s="27">
        <f>T476+U476+V476+W476+X476+IF(Y476="",0,Y476*サマリー!$B$9)+IF(Z476="",0,IF(Z476=200,サマリー!$B$10,IF(Z476=100,サマリー!$B$11,0)))+IF(AA476="",0,AA476*サマリー!$B$12)</f>
        <v>0</v>
      </c>
      <c r="E476" s="27">
        <f t="shared" si="14"/>
        <v>0</v>
      </c>
      <c r="I476" s="30"/>
      <c r="J476" s="30"/>
      <c r="K476" s="30"/>
      <c r="L476" s="30"/>
      <c r="M476" s="30"/>
      <c r="N476" s="30"/>
      <c r="O476" s="30"/>
      <c r="P476" s="30"/>
      <c r="Q476" s="31"/>
      <c r="R476" s="31"/>
      <c r="S476" s="31"/>
      <c r="T476" s="32"/>
      <c r="U476" s="32"/>
      <c r="V476" s="32"/>
      <c r="W476" s="32"/>
      <c r="X476" s="32"/>
      <c r="Y476" s="33"/>
      <c r="Z476" s="33"/>
      <c r="AA476" s="33"/>
    </row>
    <row r="477" spans="1:27">
      <c r="A477" s="29"/>
      <c r="B477" s="19">
        <f t="shared" si="15"/>
        <v>46327</v>
      </c>
      <c r="C477" s="27">
        <f>I477+J477+K477+L477+M477+N477+O477+P477+IF(Q477="",0,Q477*サマリー!$B$9)+IF(R477="",0,IF(R477=200,サマリー!$B$10,IF(R477=100,サマリー!$B$11,0)))+IF(S477="",0,S477*サマリー!$B$12)</f>
        <v>0</v>
      </c>
      <c r="D477" s="27">
        <f>T477+U477+V477+W477+X477+IF(Y477="",0,Y477*サマリー!$B$9)+IF(Z477="",0,IF(Z477=200,サマリー!$B$10,IF(Z477=100,サマリー!$B$11,0)))+IF(AA477="",0,AA477*サマリー!$B$12)</f>
        <v>0</v>
      </c>
      <c r="E477" s="27">
        <f t="shared" si="14"/>
        <v>0</v>
      </c>
      <c r="I477" s="30"/>
      <c r="J477" s="30"/>
      <c r="K477" s="30"/>
      <c r="L477" s="30"/>
      <c r="M477" s="30"/>
      <c r="N477" s="30"/>
      <c r="O477" s="30"/>
      <c r="P477" s="30"/>
      <c r="Q477" s="31"/>
      <c r="R477" s="31"/>
      <c r="S477" s="31"/>
      <c r="T477" s="32"/>
      <c r="U477" s="32"/>
      <c r="V477" s="32"/>
      <c r="W477" s="32"/>
      <c r="X477" s="32"/>
      <c r="Y477" s="33"/>
      <c r="Z477" s="33"/>
      <c r="AA477" s="33"/>
    </row>
    <row r="478" spans="1:27">
      <c r="A478" s="29"/>
      <c r="B478" s="19">
        <f t="shared" si="15"/>
        <v>46327</v>
      </c>
      <c r="C478" s="27">
        <f>I478+J478+K478+L478+M478+N478+O478+P478+IF(Q478="",0,Q478*サマリー!$B$9)+IF(R478="",0,IF(R478=200,サマリー!$B$10,IF(R478=100,サマリー!$B$11,0)))+IF(S478="",0,S478*サマリー!$B$12)</f>
        <v>0</v>
      </c>
      <c r="D478" s="27">
        <f>T478+U478+V478+W478+X478+IF(Y478="",0,Y478*サマリー!$B$9)+IF(Z478="",0,IF(Z478=200,サマリー!$B$10,IF(Z478=100,サマリー!$B$11,0)))+IF(AA478="",0,AA478*サマリー!$B$12)</f>
        <v>0</v>
      </c>
      <c r="E478" s="27">
        <f t="shared" si="14"/>
        <v>0</v>
      </c>
      <c r="I478" s="30"/>
      <c r="J478" s="30"/>
      <c r="K478" s="30"/>
      <c r="L478" s="30"/>
      <c r="M478" s="30"/>
      <c r="N478" s="30"/>
      <c r="O478" s="30"/>
      <c r="P478" s="30"/>
      <c r="Q478" s="31"/>
      <c r="R478" s="31"/>
      <c r="S478" s="31"/>
      <c r="T478" s="32"/>
      <c r="U478" s="32"/>
      <c r="V478" s="32"/>
      <c r="W478" s="32"/>
      <c r="X478" s="32"/>
      <c r="Y478" s="33"/>
      <c r="Z478" s="33"/>
      <c r="AA478" s="33"/>
    </row>
    <row r="479" spans="1:27">
      <c r="A479" s="29"/>
      <c r="B479" s="19">
        <f t="shared" si="15"/>
        <v>46327</v>
      </c>
      <c r="C479" s="27">
        <f>I479+J479+K479+L479+M479+N479+O479+P479+IF(Q479="",0,Q479*サマリー!$B$9)+IF(R479="",0,IF(R479=200,サマリー!$B$10,IF(R479=100,サマリー!$B$11,0)))+IF(S479="",0,S479*サマリー!$B$12)</f>
        <v>0</v>
      </c>
      <c r="D479" s="27">
        <f>T479+U479+V479+W479+X479+IF(Y479="",0,Y479*サマリー!$B$9)+IF(Z479="",0,IF(Z479=200,サマリー!$B$10,IF(Z479=100,サマリー!$B$11,0)))+IF(AA479="",0,AA479*サマリー!$B$12)</f>
        <v>0</v>
      </c>
      <c r="E479" s="27">
        <f t="shared" si="14"/>
        <v>0</v>
      </c>
      <c r="I479" s="30"/>
      <c r="J479" s="30"/>
      <c r="K479" s="30"/>
      <c r="L479" s="30"/>
      <c r="M479" s="30"/>
      <c r="N479" s="30"/>
      <c r="O479" s="30"/>
      <c r="P479" s="30"/>
      <c r="Q479" s="31"/>
      <c r="R479" s="31"/>
      <c r="S479" s="31"/>
      <c r="T479" s="32"/>
      <c r="U479" s="32"/>
      <c r="V479" s="32"/>
      <c r="W479" s="32"/>
      <c r="X479" s="32"/>
      <c r="Y479" s="33"/>
      <c r="Z479" s="33"/>
      <c r="AA479" s="33"/>
    </row>
    <row r="480" spans="1:27">
      <c r="A480" s="29"/>
      <c r="B480" s="19">
        <f t="shared" si="15"/>
        <v>46327</v>
      </c>
      <c r="C480" s="27">
        <f>I480+J480+K480+L480+M480+N480+O480+P480+IF(Q480="",0,Q480*サマリー!$B$9)+IF(R480="",0,IF(R480=200,サマリー!$B$10,IF(R480=100,サマリー!$B$11,0)))+IF(S480="",0,S480*サマリー!$B$12)</f>
        <v>0</v>
      </c>
      <c r="D480" s="27">
        <f>T480+U480+V480+W480+X480+IF(Y480="",0,Y480*サマリー!$B$9)+IF(Z480="",0,IF(Z480=200,サマリー!$B$10,IF(Z480=100,サマリー!$B$11,0)))+IF(AA480="",0,AA480*サマリー!$B$12)</f>
        <v>0</v>
      </c>
      <c r="E480" s="27">
        <f t="shared" si="14"/>
        <v>0</v>
      </c>
      <c r="I480" s="30"/>
      <c r="J480" s="30"/>
      <c r="K480" s="30"/>
      <c r="L480" s="30"/>
      <c r="M480" s="30"/>
      <c r="N480" s="30"/>
      <c r="O480" s="30"/>
      <c r="P480" s="30"/>
      <c r="Q480" s="31"/>
      <c r="R480" s="31"/>
      <c r="S480" s="31"/>
      <c r="T480" s="32"/>
      <c r="U480" s="32"/>
      <c r="V480" s="32"/>
      <c r="W480" s="32"/>
      <c r="X480" s="32"/>
      <c r="Y480" s="33"/>
      <c r="Z480" s="33"/>
      <c r="AA480" s="33"/>
    </row>
    <row r="481" spans="1:27">
      <c r="A481" s="29"/>
      <c r="B481" s="19">
        <f t="shared" si="15"/>
        <v>46327</v>
      </c>
      <c r="C481" s="27">
        <f>I481+J481+K481+L481+M481+N481+O481+P481+IF(Q481="",0,Q481*サマリー!$B$9)+IF(R481="",0,IF(R481=200,サマリー!$B$10,IF(R481=100,サマリー!$B$11,0)))+IF(S481="",0,S481*サマリー!$B$12)</f>
        <v>0</v>
      </c>
      <c r="D481" s="27">
        <f>T481+U481+V481+W481+X481+IF(Y481="",0,Y481*サマリー!$B$9)+IF(Z481="",0,IF(Z481=200,サマリー!$B$10,IF(Z481=100,サマリー!$B$11,0)))+IF(AA481="",0,AA481*サマリー!$B$12)</f>
        <v>0</v>
      </c>
      <c r="E481" s="27">
        <f t="shared" si="14"/>
        <v>0</v>
      </c>
      <c r="I481" s="30"/>
      <c r="J481" s="30"/>
      <c r="K481" s="30"/>
      <c r="L481" s="30"/>
      <c r="M481" s="30"/>
      <c r="N481" s="30"/>
      <c r="O481" s="30"/>
      <c r="P481" s="30"/>
      <c r="Q481" s="31"/>
      <c r="R481" s="31"/>
      <c r="S481" s="31"/>
      <c r="T481" s="32"/>
      <c r="U481" s="32"/>
      <c r="V481" s="32"/>
      <c r="W481" s="32"/>
      <c r="X481" s="32"/>
      <c r="Y481" s="33"/>
      <c r="Z481" s="33"/>
      <c r="AA481" s="33"/>
    </row>
    <row r="482" spans="1:27">
      <c r="A482" s="29"/>
      <c r="B482" s="19">
        <f t="shared" si="15"/>
        <v>46327</v>
      </c>
      <c r="C482" s="27">
        <f>I482+J482+K482+L482+M482+N482+O482+P482+IF(Q482="",0,Q482*サマリー!$B$9)+IF(R482="",0,IF(R482=200,サマリー!$B$10,IF(R482=100,サマリー!$B$11,0)))+IF(S482="",0,S482*サマリー!$B$12)</f>
        <v>0</v>
      </c>
      <c r="D482" s="27">
        <f>T482+U482+V482+W482+X482+IF(Y482="",0,Y482*サマリー!$B$9)+IF(Z482="",0,IF(Z482=200,サマリー!$B$10,IF(Z482=100,サマリー!$B$11,0)))+IF(AA482="",0,AA482*サマリー!$B$12)</f>
        <v>0</v>
      </c>
      <c r="E482" s="27">
        <f t="shared" si="14"/>
        <v>0</v>
      </c>
      <c r="I482" s="30"/>
      <c r="J482" s="30"/>
      <c r="K482" s="30"/>
      <c r="L482" s="30"/>
      <c r="M482" s="30"/>
      <c r="N482" s="30"/>
      <c r="O482" s="30"/>
      <c r="P482" s="30"/>
      <c r="Q482" s="31"/>
      <c r="R482" s="31"/>
      <c r="S482" s="31"/>
      <c r="T482" s="32"/>
      <c r="U482" s="32"/>
      <c r="V482" s="32"/>
      <c r="W482" s="32"/>
      <c r="X482" s="32"/>
      <c r="Y482" s="33"/>
      <c r="Z482" s="33"/>
      <c r="AA482" s="33"/>
    </row>
    <row r="483" spans="1:27">
      <c r="A483" s="29"/>
      <c r="B483" s="19">
        <f t="shared" si="15"/>
        <v>46327</v>
      </c>
      <c r="C483" s="27">
        <f>I483+J483+K483+L483+M483+N483+O483+P483+IF(Q483="",0,Q483*サマリー!$B$9)+IF(R483="",0,IF(R483=200,サマリー!$B$10,IF(R483=100,サマリー!$B$11,0)))+IF(S483="",0,S483*サマリー!$B$12)</f>
        <v>0</v>
      </c>
      <c r="D483" s="27">
        <f>T483+U483+V483+W483+X483+IF(Y483="",0,Y483*サマリー!$B$9)+IF(Z483="",0,IF(Z483=200,サマリー!$B$10,IF(Z483=100,サマリー!$B$11,0)))+IF(AA483="",0,AA483*サマリー!$B$12)</f>
        <v>0</v>
      </c>
      <c r="E483" s="27">
        <f t="shared" si="14"/>
        <v>0</v>
      </c>
      <c r="I483" s="30"/>
      <c r="J483" s="30"/>
      <c r="K483" s="30"/>
      <c r="L483" s="30"/>
      <c r="M483" s="30"/>
      <c r="N483" s="30"/>
      <c r="O483" s="30"/>
      <c r="P483" s="30"/>
      <c r="Q483" s="31"/>
      <c r="R483" s="31"/>
      <c r="S483" s="31"/>
      <c r="T483" s="32"/>
      <c r="U483" s="32"/>
      <c r="V483" s="32"/>
      <c r="W483" s="32"/>
      <c r="X483" s="32"/>
      <c r="Y483" s="33"/>
      <c r="Z483" s="33"/>
      <c r="AA483" s="33"/>
    </row>
    <row r="484" spans="1:27">
      <c r="A484" s="29"/>
      <c r="B484" s="19">
        <f t="shared" si="15"/>
        <v>46327</v>
      </c>
      <c r="C484" s="27">
        <f>I484+J484+K484+L484+M484+N484+O484+P484+IF(Q484="",0,Q484*サマリー!$B$9)+IF(R484="",0,IF(R484=200,サマリー!$B$10,IF(R484=100,サマリー!$B$11,0)))+IF(S484="",0,S484*サマリー!$B$12)</f>
        <v>0</v>
      </c>
      <c r="D484" s="27">
        <f>T484+U484+V484+W484+X484+IF(Y484="",0,Y484*サマリー!$B$9)+IF(Z484="",0,IF(Z484=200,サマリー!$B$10,IF(Z484=100,サマリー!$B$11,0)))+IF(AA484="",0,AA484*サマリー!$B$12)</f>
        <v>0</v>
      </c>
      <c r="E484" s="27">
        <f t="shared" si="14"/>
        <v>0</v>
      </c>
      <c r="I484" s="30"/>
      <c r="J484" s="30"/>
      <c r="K484" s="30"/>
      <c r="L484" s="30"/>
      <c r="M484" s="30"/>
      <c r="N484" s="30"/>
      <c r="O484" s="30"/>
      <c r="P484" s="30"/>
      <c r="Q484" s="31"/>
      <c r="R484" s="31"/>
      <c r="S484" s="31"/>
      <c r="T484" s="32"/>
      <c r="U484" s="32"/>
      <c r="V484" s="32"/>
      <c r="W484" s="32"/>
      <c r="X484" s="32"/>
      <c r="Y484" s="33"/>
      <c r="Z484" s="33"/>
      <c r="AA484" s="33"/>
    </row>
    <row r="485" spans="1:27">
      <c r="A485" s="29"/>
      <c r="B485" s="19">
        <f t="shared" si="15"/>
        <v>46327</v>
      </c>
      <c r="C485" s="27">
        <f>I485+J485+K485+L485+M485+N485+O485+P485+IF(Q485="",0,Q485*サマリー!$B$9)+IF(R485="",0,IF(R485=200,サマリー!$B$10,IF(R485=100,サマリー!$B$11,0)))+IF(S485="",0,S485*サマリー!$B$12)</f>
        <v>0</v>
      </c>
      <c r="D485" s="27">
        <f>T485+U485+V485+W485+X485+IF(Y485="",0,Y485*サマリー!$B$9)+IF(Z485="",0,IF(Z485=200,サマリー!$B$10,IF(Z485=100,サマリー!$B$11,0)))+IF(AA485="",0,AA485*サマリー!$B$12)</f>
        <v>0</v>
      </c>
      <c r="E485" s="27">
        <f t="shared" si="14"/>
        <v>0</v>
      </c>
      <c r="I485" s="30"/>
      <c r="J485" s="30"/>
      <c r="K485" s="30"/>
      <c r="L485" s="30"/>
      <c r="M485" s="30"/>
      <c r="N485" s="30"/>
      <c r="O485" s="30"/>
      <c r="P485" s="30"/>
      <c r="Q485" s="31"/>
      <c r="R485" s="31"/>
      <c r="S485" s="31"/>
      <c r="T485" s="32"/>
      <c r="U485" s="32"/>
      <c r="V485" s="32"/>
      <c r="W485" s="32"/>
      <c r="X485" s="32"/>
      <c r="Y485" s="33"/>
      <c r="Z485" s="33"/>
      <c r="AA485" s="33"/>
    </row>
    <row r="486" spans="1:27">
      <c r="A486" s="29"/>
      <c r="B486" s="19">
        <f t="shared" si="15"/>
        <v>46327</v>
      </c>
      <c r="C486" s="27">
        <f>I486+J486+K486+L486+M486+N486+O486+P486+IF(Q486="",0,Q486*サマリー!$B$9)+IF(R486="",0,IF(R486=200,サマリー!$B$10,IF(R486=100,サマリー!$B$11,0)))+IF(S486="",0,S486*サマリー!$B$12)</f>
        <v>0</v>
      </c>
      <c r="D486" s="27">
        <f>T486+U486+V486+W486+X486+IF(Y486="",0,Y486*サマリー!$B$9)+IF(Z486="",0,IF(Z486=200,サマリー!$B$10,IF(Z486=100,サマリー!$B$11,0)))+IF(AA486="",0,AA486*サマリー!$B$12)</f>
        <v>0</v>
      </c>
      <c r="E486" s="27">
        <f t="shared" si="14"/>
        <v>0</v>
      </c>
      <c r="I486" s="30"/>
      <c r="J486" s="30"/>
      <c r="K486" s="30"/>
      <c r="L486" s="30"/>
      <c r="M486" s="30"/>
      <c r="N486" s="30"/>
      <c r="O486" s="30"/>
      <c r="P486" s="30"/>
      <c r="Q486" s="31"/>
      <c r="R486" s="31"/>
      <c r="S486" s="31"/>
      <c r="T486" s="32"/>
      <c r="U486" s="32"/>
      <c r="V486" s="32"/>
      <c r="W486" s="32"/>
      <c r="X486" s="32"/>
      <c r="Y486" s="33"/>
      <c r="Z486" s="33"/>
      <c r="AA486" s="33"/>
    </row>
    <row r="487" spans="1:27">
      <c r="A487" s="29"/>
      <c r="B487" s="19">
        <f t="shared" si="15"/>
        <v>46327</v>
      </c>
      <c r="C487" s="27">
        <f>I487+J487+K487+L487+M487+N487+O487+P487+IF(Q487="",0,Q487*サマリー!$B$9)+IF(R487="",0,IF(R487=200,サマリー!$B$10,IF(R487=100,サマリー!$B$11,0)))+IF(S487="",0,S487*サマリー!$B$12)</f>
        <v>0</v>
      </c>
      <c r="D487" s="27">
        <f>T487+U487+V487+W487+X487+IF(Y487="",0,Y487*サマリー!$B$9)+IF(Z487="",0,IF(Z487=200,サマリー!$B$10,IF(Z487=100,サマリー!$B$11,0)))+IF(AA487="",0,AA487*サマリー!$B$12)</f>
        <v>0</v>
      </c>
      <c r="E487" s="27">
        <f t="shared" si="14"/>
        <v>0</v>
      </c>
      <c r="I487" s="30"/>
      <c r="J487" s="30"/>
      <c r="K487" s="30"/>
      <c r="L487" s="30"/>
      <c r="M487" s="30"/>
      <c r="N487" s="30"/>
      <c r="O487" s="30"/>
      <c r="P487" s="30"/>
      <c r="Q487" s="31"/>
      <c r="R487" s="31"/>
      <c r="S487" s="31"/>
      <c r="T487" s="32"/>
      <c r="U487" s="32"/>
      <c r="V487" s="32"/>
      <c r="W487" s="32"/>
      <c r="X487" s="32"/>
      <c r="Y487" s="33"/>
      <c r="Z487" s="33"/>
      <c r="AA487" s="33"/>
    </row>
    <row r="488" spans="1:27">
      <c r="A488" s="29"/>
      <c r="B488" s="19">
        <f t="shared" si="15"/>
        <v>46327</v>
      </c>
      <c r="C488" s="27">
        <f>I488+J488+K488+L488+M488+N488+O488+P488+IF(Q488="",0,Q488*サマリー!$B$9)+IF(R488="",0,IF(R488=200,サマリー!$B$10,IF(R488=100,サマリー!$B$11,0)))+IF(S488="",0,S488*サマリー!$B$12)</f>
        <v>0</v>
      </c>
      <c r="D488" s="27">
        <f>T488+U488+V488+W488+X488+IF(Y488="",0,Y488*サマリー!$B$9)+IF(Z488="",0,IF(Z488=200,サマリー!$B$10,IF(Z488=100,サマリー!$B$11,0)))+IF(AA488="",0,AA488*サマリー!$B$12)</f>
        <v>0</v>
      </c>
      <c r="E488" s="27">
        <f t="shared" si="14"/>
        <v>0</v>
      </c>
      <c r="I488" s="30"/>
      <c r="J488" s="30"/>
      <c r="K488" s="30"/>
      <c r="L488" s="30"/>
      <c r="M488" s="30"/>
      <c r="N488" s="30"/>
      <c r="O488" s="30"/>
      <c r="P488" s="30"/>
      <c r="Q488" s="31"/>
      <c r="R488" s="31"/>
      <c r="S488" s="31"/>
      <c r="T488" s="32"/>
      <c r="U488" s="32"/>
      <c r="V488" s="32"/>
      <c r="W488" s="32"/>
      <c r="X488" s="32"/>
      <c r="Y488" s="33"/>
      <c r="Z488" s="33"/>
      <c r="AA488" s="33"/>
    </row>
    <row r="489" spans="1:27">
      <c r="A489" s="29"/>
      <c r="B489" s="19">
        <f t="shared" si="15"/>
        <v>46327</v>
      </c>
      <c r="C489" s="27">
        <f>I489+J489+K489+L489+M489+N489+O489+P489+IF(Q489="",0,Q489*サマリー!$B$9)+IF(R489="",0,IF(R489=200,サマリー!$B$10,IF(R489=100,サマリー!$B$11,0)))+IF(S489="",0,S489*サマリー!$B$12)</f>
        <v>0</v>
      </c>
      <c r="D489" s="27">
        <f>T489+U489+V489+W489+X489+IF(Y489="",0,Y489*サマリー!$B$9)+IF(Z489="",0,IF(Z489=200,サマリー!$B$10,IF(Z489=100,サマリー!$B$11,0)))+IF(AA489="",0,AA489*サマリー!$B$12)</f>
        <v>0</v>
      </c>
      <c r="E489" s="27">
        <f t="shared" si="14"/>
        <v>0</v>
      </c>
      <c r="I489" s="30"/>
      <c r="J489" s="30"/>
      <c r="K489" s="30"/>
      <c r="L489" s="30"/>
      <c r="M489" s="30"/>
      <c r="N489" s="30"/>
      <c r="O489" s="30"/>
      <c r="P489" s="30"/>
      <c r="Q489" s="31"/>
      <c r="R489" s="31"/>
      <c r="S489" s="31"/>
      <c r="T489" s="32"/>
      <c r="U489" s="32"/>
      <c r="V489" s="32"/>
      <c r="W489" s="32"/>
      <c r="X489" s="32"/>
      <c r="Y489" s="33"/>
      <c r="Z489" s="33"/>
      <c r="AA489" s="33"/>
    </row>
    <row r="490" spans="1:27">
      <c r="A490" s="29"/>
      <c r="B490" s="19">
        <f t="shared" si="15"/>
        <v>46327</v>
      </c>
      <c r="C490" s="27">
        <f>I490+J490+K490+L490+M490+N490+O490+P490+IF(Q490="",0,Q490*サマリー!$B$9)+IF(R490="",0,IF(R490=200,サマリー!$B$10,IF(R490=100,サマリー!$B$11,0)))+IF(S490="",0,S490*サマリー!$B$12)</f>
        <v>0</v>
      </c>
      <c r="D490" s="27">
        <f>T490+U490+V490+W490+X490+IF(Y490="",0,Y490*サマリー!$B$9)+IF(Z490="",0,IF(Z490=200,サマリー!$B$10,IF(Z490=100,サマリー!$B$11,0)))+IF(AA490="",0,AA490*サマリー!$B$12)</f>
        <v>0</v>
      </c>
      <c r="E490" s="27">
        <f t="shared" si="14"/>
        <v>0</v>
      </c>
      <c r="I490" s="30"/>
      <c r="J490" s="30"/>
      <c r="K490" s="30"/>
      <c r="L490" s="30"/>
      <c r="M490" s="30"/>
      <c r="N490" s="30"/>
      <c r="O490" s="30"/>
      <c r="P490" s="30"/>
      <c r="Q490" s="31"/>
      <c r="R490" s="31"/>
      <c r="S490" s="31"/>
      <c r="T490" s="32"/>
      <c r="U490" s="32"/>
      <c r="V490" s="32"/>
      <c r="W490" s="32"/>
      <c r="X490" s="32"/>
      <c r="Y490" s="33"/>
      <c r="Z490" s="33"/>
      <c r="AA490" s="33"/>
    </row>
    <row r="491" spans="1:27">
      <c r="A491" s="29"/>
      <c r="B491" s="19">
        <f t="shared" si="15"/>
        <v>46327</v>
      </c>
      <c r="C491" s="27">
        <f>I491+J491+K491+L491+M491+N491+O491+P491+IF(Q491="",0,Q491*サマリー!$B$9)+IF(R491="",0,IF(R491=200,サマリー!$B$10,IF(R491=100,サマリー!$B$11,0)))+IF(S491="",0,S491*サマリー!$B$12)</f>
        <v>0</v>
      </c>
      <c r="D491" s="27">
        <f>T491+U491+V491+W491+X491+IF(Y491="",0,Y491*サマリー!$B$9)+IF(Z491="",0,IF(Z491=200,サマリー!$B$10,IF(Z491=100,サマリー!$B$11,0)))+IF(AA491="",0,AA491*サマリー!$B$12)</f>
        <v>0</v>
      </c>
      <c r="E491" s="27">
        <f t="shared" si="14"/>
        <v>0</v>
      </c>
      <c r="I491" s="30"/>
      <c r="J491" s="30"/>
      <c r="K491" s="30"/>
      <c r="L491" s="30"/>
      <c r="M491" s="30"/>
      <c r="N491" s="30"/>
      <c r="O491" s="30"/>
      <c r="P491" s="30"/>
      <c r="Q491" s="31"/>
      <c r="R491" s="31"/>
      <c r="S491" s="31"/>
      <c r="T491" s="32"/>
      <c r="U491" s="32"/>
      <c r="V491" s="32"/>
      <c r="W491" s="32"/>
      <c r="X491" s="32"/>
      <c r="Y491" s="33"/>
      <c r="Z491" s="33"/>
      <c r="AA491" s="33"/>
    </row>
    <row r="492" spans="1:27">
      <c r="A492" s="29"/>
      <c r="B492" s="19">
        <f t="shared" si="15"/>
        <v>46327</v>
      </c>
      <c r="C492" s="27">
        <f>I492+J492+K492+L492+M492+N492+O492+P492+IF(Q492="",0,Q492*サマリー!$B$9)+IF(R492="",0,IF(R492=200,サマリー!$B$10,IF(R492=100,サマリー!$B$11,0)))+IF(S492="",0,S492*サマリー!$B$12)</f>
        <v>0</v>
      </c>
      <c r="D492" s="27">
        <f>T492+U492+V492+W492+X492+IF(Y492="",0,Y492*サマリー!$B$9)+IF(Z492="",0,IF(Z492=200,サマリー!$B$10,IF(Z492=100,サマリー!$B$11,0)))+IF(AA492="",0,AA492*サマリー!$B$12)</f>
        <v>0</v>
      </c>
      <c r="E492" s="27">
        <f t="shared" si="14"/>
        <v>0</v>
      </c>
      <c r="I492" s="30"/>
      <c r="J492" s="30"/>
      <c r="K492" s="30"/>
      <c r="L492" s="30"/>
      <c r="M492" s="30"/>
      <c r="N492" s="30"/>
      <c r="O492" s="30"/>
      <c r="P492" s="30"/>
      <c r="Q492" s="31"/>
      <c r="R492" s="31"/>
      <c r="S492" s="31"/>
      <c r="T492" s="32"/>
      <c r="U492" s="32"/>
      <c r="V492" s="32"/>
      <c r="W492" s="32"/>
      <c r="X492" s="32"/>
      <c r="Y492" s="33"/>
      <c r="Z492" s="33"/>
      <c r="AA492" s="33"/>
    </row>
    <row r="493" spans="1:27">
      <c r="A493" s="29"/>
      <c r="B493" s="19">
        <f t="shared" si="15"/>
        <v>46327</v>
      </c>
      <c r="C493" s="27">
        <f>I493+J493+K493+L493+M493+N493+O493+P493+IF(Q493="",0,Q493*サマリー!$B$9)+IF(R493="",0,IF(R493=200,サマリー!$B$10,IF(R493=100,サマリー!$B$11,0)))+IF(S493="",0,S493*サマリー!$B$12)</f>
        <v>0</v>
      </c>
      <c r="D493" s="27">
        <f>T493+U493+V493+W493+X493+IF(Y493="",0,Y493*サマリー!$B$9)+IF(Z493="",0,IF(Z493=200,サマリー!$B$10,IF(Z493=100,サマリー!$B$11,0)))+IF(AA493="",0,AA493*サマリー!$B$12)</f>
        <v>0</v>
      </c>
      <c r="E493" s="27">
        <f t="shared" si="14"/>
        <v>0</v>
      </c>
      <c r="I493" s="30"/>
      <c r="J493" s="30"/>
      <c r="K493" s="30"/>
      <c r="L493" s="30"/>
      <c r="M493" s="30"/>
      <c r="N493" s="30"/>
      <c r="O493" s="30"/>
      <c r="P493" s="30"/>
      <c r="Q493" s="31"/>
      <c r="R493" s="31"/>
      <c r="S493" s="31"/>
      <c r="T493" s="32"/>
      <c r="U493" s="32"/>
      <c r="V493" s="32"/>
      <c r="W493" s="32"/>
      <c r="X493" s="32"/>
      <c r="Y493" s="33"/>
      <c r="Z493" s="33"/>
      <c r="AA493" s="33"/>
    </row>
    <row r="494" spans="1:27">
      <c r="A494" s="29"/>
      <c r="B494" s="19">
        <f t="shared" si="15"/>
        <v>46327</v>
      </c>
      <c r="C494" s="27">
        <f>I494+J494+K494+L494+M494+N494+O494+P494+IF(Q494="",0,Q494*サマリー!$B$9)+IF(R494="",0,IF(R494=200,サマリー!$B$10,IF(R494=100,サマリー!$B$11,0)))+IF(S494="",0,S494*サマリー!$B$12)</f>
        <v>0</v>
      </c>
      <c r="D494" s="27">
        <f>T494+U494+V494+W494+X494+IF(Y494="",0,Y494*サマリー!$B$9)+IF(Z494="",0,IF(Z494=200,サマリー!$B$10,IF(Z494=100,サマリー!$B$11,0)))+IF(AA494="",0,AA494*サマリー!$B$12)</f>
        <v>0</v>
      </c>
      <c r="E494" s="27">
        <f t="shared" si="14"/>
        <v>0</v>
      </c>
      <c r="I494" s="30"/>
      <c r="J494" s="30"/>
      <c r="K494" s="30"/>
      <c r="L494" s="30"/>
      <c r="M494" s="30"/>
      <c r="N494" s="30"/>
      <c r="O494" s="30"/>
      <c r="P494" s="30"/>
      <c r="Q494" s="31"/>
      <c r="R494" s="31"/>
      <c r="S494" s="31"/>
      <c r="T494" s="32"/>
      <c r="U494" s="32"/>
      <c r="V494" s="32"/>
      <c r="W494" s="32"/>
      <c r="X494" s="32"/>
      <c r="Y494" s="33"/>
      <c r="Z494" s="33"/>
      <c r="AA494" s="33"/>
    </row>
    <row r="495" spans="1:27">
      <c r="A495" s="29"/>
      <c r="B495" s="19">
        <f t="shared" si="15"/>
        <v>46327</v>
      </c>
      <c r="C495" s="27">
        <f>I495+J495+K495+L495+M495+N495+O495+P495+IF(Q495="",0,Q495*サマリー!$B$9)+IF(R495="",0,IF(R495=200,サマリー!$B$10,IF(R495=100,サマリー!$B$11,0)))+IF(S495="",0,S495*サマリー!$B$12)</f>
        <v>0</v>
      </c>
      <c r="D495" s="27">
        <f>T495+U495+V495+W495+X495+IF(Y495="",0,Y495*サマリー!$B$9)+IF(Z495="",0,IF(Z495=200,サマリー!$B$10,IF(Z495=100,サマリー!$B$11,0)))+IF(AA495="",0,AA495*サマリー!$B$12)</f>
        <v>0</v>
      </c>
      <c r="E495" s="27">
        <f t="shared" si="14"/>
        <v>0</v>
      </c>
      <c r="I495" s="30"/>
      <c r="J495" s="30"/>
      <c r="K495" s="30"/>
      <c r="L495" s="30"/>
      <c r="M495" s="30"/>
      <c r="N495" s="30"/>
      <c r="O495" s="30"/>
      <c r="P495" s="30"/>
      <c r="Q495" s="31"/>
      <c r="R495" s="31"/>
      <c r="S495" s="31"/>
      <c r="T495" s="32"/>
      <c r="U495" s="32"/>
      <c r="V495" s="32"/>
      <c r="W495" s="32"/>
      <c r="X495" s="32"/>
      <c r="Y495" s="33"/>
      <c r="Z495" s="33"/>
      <c r="AA495" s="33"/>
    </row>
    <row r="496" spans="1:27">
      <c r="A496" s="29"/>
      <c r="B496" s="19">
        <f t="shared" si="15"/>
        <v>46327</v>
      </c>
      <c r="C496" s="27">
        <f>I496+J496+K496+L496+M496+N496+O496+P496+IF(Q496="",0,Q496*サマリー!$B$9)+IF(R496="",0,IF(R496=200,サマリー!$B$10,IF(R496=100,サマリー!$B$11,0)))+IF(S496="",0,S496*サマリー!$B$12)</f>
        <v>0</v>
      </c>
      <c r="D496" s="27">
        <f>T496+U496+V496+W496+X496+IF(Y496="",0,Y496*サマリー!$B$9)+IF(Z496="",0,IF(Z496=200,サマリー!$B$10,IF(Z496=100,サマリー!$B$11,0)))+IF(AA496="",0,AA496*サマリー!$B$12)</f>
        <v>0</v>
      </c>
      <c r="E496" s="27">
        <f t="shared" si="14"/>
        <v>0</v>
      </c>
      <c r="I496" s="30"/>
      <c r="J496" s="30"/>
      <c r="K496" s="30"/>
      <c r="L496" s="30"/>
      <c r="M496" s="30"/>
      <c r="N496" s="30"/>
      <c r="O496" s="30"/>
      <c r="P496" s="30"/>
      <c r="Q496" s="31"/>
      <c r="R496" s="31"/>
      <c r="S496" s="31"/>
      <c r="T496" s="32"/>
      <c r="U496" s="32"/>
      <c r="V496" s="32"/>
      <c r="W496" s="32"/>
      <c r="X496" s="32"/>
      <c r="Y496" s="33"/>
      <c r="Z496" s="33"/>
      <c r="AA496" s="33"/>
    </row>
    <row r="497" spans="1:27">
      <c r="A497" s="29"/>
      <c r="B497" s="19">
        <f t="shared" si="15"/>
        <v>46327</v>
      </c>
      <c r="C497" s="27">
        <f>I497+J497+K497+L497+M497+N497+O497+P497+IF(Q497="",0,Q497*サマリー!$B$9)+IF(R497="",0,IF(R497=200,サマリー!$B$10,IF(R497=100,サマリー!$B$11,0)))+IF(S497="",0,S497*サマリー!$B$12)</f>
        <v>0</v>
      </c>
      <c r="D497" s="27">
        <f>T497+U497+V497+W497+X497+IF(Y497="",0,Y497*サマリー!$B$9)+IF(Z497="",0,IF(Z497=200,サマリー!$B$10,IF(Z497=100,サマリー!$B$11,0)))+IF(AA497="",0,AA497*サマリー!$B$12)</f>
        <v>0</v>
      </c>
      <c r="E497" s="27">
        <f t="shared" si="14"/>
        <v>0</v>
      </c>
      <c r="I497" s="30"/>
      <c r="J497" s="30"/>
      <c r="K497" s="30"/>
      <c r="L497" s="30"/>
      <c r="M497" s="30"/>
      <c r="N497" s="30"/>
      <c r="O497" s="30"/>
      <c r="P497" s="30"/>
      <c r="Q497" s="31"/>
      <c r="R497" s="31"/>
      <c r="S497" s="31"/>
      <c r="T497" s="32"/>
      <c r="U497" s="32"/>
      <c r="V497" s="32"/>
      <c r="W497" s="32"/>
      <c r="X497" s="32"/>
      <c r="Y497" s="33"/>
      <c r="Z497" s="33"/>
      <c r="AA497" s="33"/>
    </row>
    <row r="498" spans="1:27">
      <c r="A498" s="29"/>
      <c r="B498" s="19">
        <f t="shared" si="15"/>
        <v>46327</v>
      </c>
      <c r="C498" s="27">
        <f>I498+J498+K498+L498+M498+N498+O498+P498+IF(Q498="",0,Q498*サマリー!$B$9)+IF(R498="",0,IF(R498=200,サマリー!$B$10,IF(R498=100,サマリー!$B$11,0)))+IF(S498="",0,S498*サマリー!$B$12)</f>
        <v>0</v>
      </c>
      <c r="D498" s="27">
        <f>T498+U498+V498+W498+X498+IF(Y498="",0,Y498*サマリー!$B$9)+IF(Z498="",0,IF(Z498=200,サマリー!$B$10,IF(Z498=100,サマリー!$B$11,0)))+IF(AA498="",0,AA498*サマリー!$B$12)</f>
        <v>0</v>
      </c>
      <c r="E498" s="27">
        <f t="shared" si="14"/>
        <v>0</v>
      </c>
      <c r="I498" s="30"/>
      <c r="J498" s="30"/>
      <c r="K498" s="30"/>
      <c r="L498" s="30"/>
      <c r="M498" s="30"/>
      <c r="N498" s="30"/>
      <c r="O498" s="30"/>
      <c r="P498" s="30"/>
      <c r="Q498" s="31"/>
      <c r="R498" s="31"/>
      <c r="S498" s="31"/>
      <c r="T498" s="32"/>
      <c r="U498" s="32"/>
      <c r="V498" s="32"/>
      <c r="W498" s="32"/>
      <c r="X498" s="32"/>
      <c r="Y498" s="33"/>
      <c r="Z498" s="33"/>
      <c r="AA498" s="33"/>
    </row>
    <row r="499" spans="1:27">
      <c r="A499" s="29"/>
      <c r="B499" s="19">
        <f t="shared" si="15"/>
        <v>46327</v>
      </c>
      <c r="C499" s="27">
        <f>I499+J499+K499+L499+M499+N499+O499+P499+IF(Q499="",0,Q499*サマリー!$B$9)+IF(R499="",0,IF(R499=200,サマリー!$B$10,IF(R499=100,サマリー!$B$11,0)))+IF(S499="",0,S499*サマリー!$B$12)</f>
        <v>0</v>
      </c>
      <c r="D499" s="27">
        <f>T499+U499+V499+W499+X499+IF(Y499="",0,Y499*サマリー!$B$9)+IF(Z499="",0,IF(Z499=200,サマリー!$B$10,IF(Z499=100,サマリー!$B$11,0)))+IF(AA499="",0,AA499*サマリー!$B$12)</f>
        <v>0</v>
      </c>
      <c r="E499" s="27">
        <f t="shared" si="14"/>
        <v>0</v>
      </c>
      <c r="I499" s="30"/>
      <c r="J499" s="30"/>
      <c r="K499" s="30"/>
      <c r="L499" s="30"/>
      <c r="M499" s="30"/>
      <c r="N499" s="30"/>
      <c r="O499" s="30"/>
      <c r="P499" s="30"/>
      <c r="Q499" s="31"/>
      <c r="R499" s="31"/>
      <c r="S499" s="31"/>
      <c r="T499" s="32"/>
      <c r="U499" s="32"/>
      <c r="V499" s="32"/>
      <c r="W499" s="32"/>
      <c r="X499" s="32"/>
      <c r="Y499" s="33"/>
      <c r="Z499" s="33"/>
      <c r="AA499" s="33"/>
    </row>
    <row r="500" spans="1:27">
      <c r="A500" s="29"/>
      <c r="B500" s="19">
        <f t="shared" si="15"/>
        <v>46327</v>
      </c>
      <c r="C500" s="27">
        <f>I500+J500+K500+L500+M500+N500+O500+P500+IF(Q500="",0,Q500*サマリー!$B$9)+IF(R500="",0,IF(R500=200,サマリー!$B$10,IF(R500=100,サマリー!$B$11,0)))+IF(S500="",0,S500*サマリー!$B$12)</f>
        <v>0</v>
      </c>
      <c r="D500" s="27">
        <f>T500+U500+V500+W500+X500+IF(Y500="",0,Y500*サマリー!$B$9)+IF(Z500="",0,IF(Z500=200,サマリー!$B$10,IF(Z500=100,サマリー!$B$11,0)))+IF(AA500="",0,AA500*サマリー!$B$12)</f>
        <v>0</v>
      </c>
      <c r="E500" s="27">
        <f t="shared" si="14"/>
        <v>0</v>
      </c>
      <c r="I500" s="30"/>
      <c r="J500" s="30"/>
      <c r="K500" s="30"/>
      <c r="L500" s="30"/>
      <c r="M500" s="30"/>
      <c r="N500" s="30"/>
      <c r="O500" s="30"/>
      <c r="P500" s="30"/>
      <c r="Q500" s="31"/>
      <c r="R500" s="31"/>
      <c r="S500" s="31"/>
      <c r="T500" s="32"/>
      <c r="U500" s="32"/>
      <c r="V500" s="32"/>
      <c r="W500" s="32"/>
      <c r="X500" s="32"/>
      <c r="Y500" s="33"/>
      <c r="Z500" s="33"/>
      <c r="AA500" s="33"/>
    </row>
    <row r="501" spans="1:27">
      <c r="A501" s="29"/>
      <c r="B501" s="19">
        <f t="shared" si="15"/>
        <v>46327</v>
      </c>
      <c r="C501" s="27">
        <f>I501+J501+K501+L501+M501+N501+O501+P501+IF(Q501="",0,Q501*サマリー!$B$9)+IF(R501="",0,IF(R501=200,サマリー!$B$10,IF(R501=100,サマリー!$B$11,0)))+IF(S501="",0,S501*サマリー!$B$12)</f>
        <v>0</v>
      </c>
      <c r="D501" s="27">
        <f>T501+U501+V501+W501+X501+IF(Y501="",0,Y501*サマリー!$B$9)+IF(Z501="",0,IF(Z501=200,サマリー!$B$10,IF(Z501=100,サマリー!$B$11,0)))+IF(AA501="",0,AA501*サマリー!$B$12)</f>
        <v>0</v>
      </c>
      <c r="E501" s="27">
        <f t="shared" si="14"/>
        <v>0</v>
      </c>
      <c r="I501" s="30"/>
      <c r="J501" s="30"/>
      <c r="K501" s="30"/>
      <c r="L501" s="30"/>
      <c r="M501" s="30"/>
      <c r="N501" s="30"/>
      <c r="O501" s="30"/>
      <c r="P501" s="30"/>
      <c r="Q501" s="31"/>
      <c r="R501" s="31"/>
      <c r="S501" s="31"/>
      <c r="T501" s="32"/>
      <c r="U501" s="32"/>
      <c r="V501" s="32"/>
      <c r="W501" s="32"/>
      <c r="X501" s="32"/>
      <c r="Y501" s="33"/>
      <c r="Z501" s="33"/>
      <c r="AA501" s="33"/>
    </row>
    <row r="502" spans="1:27">
      <c r="A502" s="29"/>
      <c r="B502" s="19">
        <f t="shared" si="15"/>
        <v>46327</v>
      </c>
      <c r="C502" s="27">
        <f>I502+J502+K502+L502+M502+N502+O502+P502+IF(Q502="",0,Q502*サマリー!$B$9)+IF(R502="",0,IF(R502=200,サマリー!$B$10,IF(R502=100,サマリー!$B$11,0)))+IF(S502="",0,S502*サマリー!$B$12)</f>
        <v>0</v>
      </c>
      <c r="D502" s="27">
        <f>T502+U502+V502+W502+X502+IF(Y502="",0,Y502*サマリー!$B$9)+IF(Z502="",0,IF(Z502=200,サマリー!$B$10,IF(Z502=100,サマリー!$B$11,0)))+IF(AA502="",0,AA502*サマリー!$B$12)</f>
        <v>0</v>
      </c>
      <c r="E502" s="27">
        <f t="shared" si="14"/>
        <v>0</v>
      </c>
      <c r="I502" s="30"/>
      <c r="J502" s="30"/>
      <c r="K502" s="30"/>
      <c r="L502" s="30"/>
      <c r="M502" s="30"/>
      <c r="N502" s="30"/>
      <c r="O502" s="30"/>
      <c r="P502" s="30"/>
      <c r="Q502" s="31"/>
      <c r="R502" s="31"/>
      <c r="S502" s="31"/>
      <c r="T502" s="32"/>
      <c r="U502" s="32"/>
      <c r="V502" s="32"/>
      <c r="W502" s="32"/>
      <c r="X502" s="32"/>
      <c r="Y502" s="33"/>
      <c r="Z502" s="33"/>
      <c r="AA502" s="33"/>
    </row>
    <row r="503" spans="1:27">
      <c r="A503" s="29"/>
      <c r="B503" s="19">
        <f t="shared" si="15"/>
        <v>46327</v>
      </c>
      <c r="C503" s="27">
        <f>I503+J503+K503+L503+M503+N503+O503+P503+IF(Q503="",0,Q503*サマリー!$B$9)+IF(R503="",0,IF(R503=200,サマリー!$B$10,IF(R503=100,サマリー!$B$11,0)))+IF(S503="",0,S503*サマリー!$B$12)</f>
        <v>0</v>
      </c>
      <c r="D503" s="27">
        <f>T503+U503+V503+W503+X503+IF(Y503="",0,Y503*サマリー!$B$9)+IF(Z503="",0,IF(Z503=200,サマリー!$B$10,IF(Z503=100,サマリー!$B$11,0)))+IF(AA503="",0,AA503*サマリー!$B$12)</f>
        <v>0</v>
      </c>
      <c r="E503" s="27">
        <f t="shared" si="14"/>
        <v>0</v>
      </c>
      <c r="I503" s="30"/>
      <c r="J503" s="30"/>
      <c r="K503" s="30"/>
      <c r="L503" s="30"/>
      <c r="M503" s="30"/>
      <c r="N503" s="30"/>
      <c r="O503" s="30"/>
      <c r="P503" s="30"/>
      <c r="Q503" s="31"/>
      <c r="R503" s="31"/>
      <c r="S503" s="31"/>
      <c r="T503" s="32"/>
      <c r="U503" s="32"/>
      <c r="V503" s="32"/>
      <c r="W503" s="32"/>
      <c r="X503" s="32"/>
      <c r="Y503" s="33"/>
      <c r="Z503" s="33"/>
      <c r="AA503" s="33"/>
    </row>
    <row r="504" spans="1:27">
      <c r="A504" s="29"/>
      <c r="B504" s="19">
        <f t="shared" si="15"/>
        <v>46327</v>
      </c>
      <c r="C504" s="27">
        <f>I504+J504+K504+L504+M504+N504+O504+P504+IF(Q504="",0,Q504*サマリー!$B$9)+IF(R504="",0,IF(R504=200,サマリー!$B$10,IF(R504=100,サマリー!$B$11,0)))+IF(S504="",0,S504*サマリー!$B$12)</f>
        <v>0</v>
      </c>
      <c r="D504" s="27">
        <f>T504+U504+V504+W504+X504+IF(Y504="",0,Y504*サマリー!$B$9)+IF(Z504="",0,IF(Z504=200,サマリー!$B$10,IF(Z504=100,サマリー!$B$11,0)))+IF(AA504="",0,AA504*サマリー!$B$12)</f>
        <v>0</v>
      </c>
      <c r="E504" s="27">
        <f t="shared" si="14"/>
        <v>0</v>
      </c>
      <c r="I504" s="30"/>
      <c r="J504" s="30"/>
      <c r="K504" s="30"/>
      <c r="L504" s="30"/>
      <c r="M504" s="30"/>
      <c r="N504" s="30"/>
      <c r="O504" s="30"/>
      <c r="P504" s="30"/>
      <c r="Q504" s="31"/>
      <c r="R504" s="31"/>
      <c r="S504" s="31"/>
      <c r="T504" s="32"/>
      <c r="U504" s="32"/>
      <c r="V504" s="32"/>
      <c r="W504" s="32"/>
      <c r="X504" s="32"/>
      <c r="Y504" s="33"/>
      <c r="Z504" s="33"/>
      <c r="AA504" s="33"/>
    </row>
    <row r="505" spans="1:27">
      <c r="A505" s="29"/>
      <c r="B505" s="19">
        <f t="shared" si="15"/>
        <v>46327</v>
      </c>
      <c r="C505" s="27">
        <f>I505+J505+K505+L505+M505+N505+O505+P505+IF(Q505="",0,Q505*サマリー!$B$9)+IF(R505="",0,IF(R505=200,サマリー!$B$10,IF(R505=100,サマリー!$B$11,0)))+IF(S505="",0,S505*サマリー!$B$12)</f>
        <v>0</v>
      </c>
      <c r="D505" s="27">
        <f>T505+U505+V505+W505+X505+IF(Y505="",0,Y505*サマリー!$B$9)+IF(Z505="",0,IF(Z505=200,サマリー!$B$10,IF(Z505=100,サマリー!$B$11,0)))+IF(AA505="",0,AA505*サマリー!$B$12)</f>
        <v>0</v>
      </c>
      <c r="E505" s="27">
        <f t="shared" si="14"/>
        <v>0</v>
      </c>
      <c r="I505" s="30"/>
      <c r="J505" s="30"/>
      <c r="K505" s="30"/>
      <c r="L505" s="30"/>
      <c r="M505" s="30"/>
      <c r="N505" s="30"/>
      <c r="O505" s="30"/>
      <c r="P505" s="30"/>
      <c r="Q505" s="31"/>
      <c r="R505" s="31"/>
      <c r="S505" s="31"/>
      <c r="T505" s="32"/>
      <c r="U505" s="32"/>
      <c r="V505" s="32"/>
      <c r="W505" s="32"/>
      <c r="X505" s="32"/>
      <c r="Y505" s="33"/>
      <c r="Z505" s="33"/>
      <c r="AA505" s="33"/>
    </row>
    <row r="506" spans="1:27">
      <c r="A506" s="29"/>
      <c r="B506" s="19">
        <f t="shared" si="15"/>
        <v>46327</v>
      </c>
      <c r="C506" s="27">
        <f>I506+J506+K506+L506+M506+N506+O506+P506+IF(Q506="",0,Q506*サマリー!$B$9)+IF(R506="",0,IF(R506=200,サマリー!$B$10,IF(R506=100,サマリー!$B$11,0)))+IF(S506="",0,S506*サマリー!$B$12)</f>
        <v>0</v>
      </c>
      <c r="D506" s="27">
        <f>T506+U506+V506+W506+X506+IF(Y506="",0,Y506*サマリー!$B$9)+IF(Z506="",0,IF(Z506=200,サマリー!$B$10,IF(Z506=100,サマリー!$B$11,0)))+IF(AA506="",0,AA506*サマリー!$B$12)</f>
        <v>0</v>
      </c>
      <c r="E506" s="27">
        <f t="shared" si="14"/>
        <v>0</v>
      </c>
      <c r="I506" s="30"/>
      <c r="J506" s="30"/>
      <c r="K506" s="30"/>
      <c r="L506" s="30"/>
      <c r="M506" s="30"/>
      <c r="N506" s="30"/>
      <c r="O506" s="30"/>
      <c r="P506" s="30"/>
      <c r="Q506" s="31"/>
      <c r="R506" s="31"/>
      <c r="S506" s="31"/>
      <c r="T506" s="32"/>
      <c r="U506" s="32"/>
      <c r="V506" s="32"/>
      <c r="W506" s="32"/>
      <c r="X506" s="32"/>
      <c r="Y506" s="33"/>
      <c r="Z506" s="33"/>
      <c r="AA506" s="33"/>
    </row>
    <row r="507" spans="1:27">
      <c r="A507" s="29"/>
      <c r="B507" s="19">
        <f t="shared" si="15"/>
        <v>46327</v>
      </c>
      <c r="C507" s="27">
        <f>I507+J507+K507+L507+M507+N507+O507+P507+IF(Q507="",0,Q507*サマリー!$B$9)+IF(R507="",0,IF(R507=200,サマリー!$B$10,IF(R507=100,サマリー!$B$11,0)))+IF(S507="",0,S507*サマリー!$B$12)</f>
        <v>0</v>
      </c>
      <c r="D507" s="27">
        <f>T507+U507+V507+W507+X507+IF(Y507="",0,Y507*サマリー!$B$9)+IF(Z507="",0,IF(Z507=200,サマリー!$B$10,IF(Z507=100,サマリー!$B$11,0)))+IF(AA507="",0,AA507*サマリー!$B$12)</f>
        <v>0</v>
      </c>
      <c r="E507" s="27">
        <f t="shared" si="14"/>
        <v>0</v>
      </c>
      <c r="I507" s="30"/>
      <c r="J507" s="30"/>
      <c r="K507" s="30"/>
      <c r="L507" s="30"/>
      <c r="M507" s="30"/>
      <c r="N507" s="30"/>
      <c r="O507" s="30"/>
      <c r="P507" s="30"/>
      <c r="Q507" s="31"/>
      <c r="R507" s="31"/>
      <c r="S507" s="31"/>
      <c r="T507" s="32"/>
      <c r="U507" s="32"/>
      <c r="V507" s="32"/>
      <c r="W507" s="32"/>
      <c r="X507" s="32"/>
      <c r="Y507" s="33"/>
      <c r="Z507" s="33"/>
      <c r="AA507" s="33"/>
    </row>
    <row r="508" spans="1:27">
      <c r="A508" s="29"/>
      <c r="B508" s="19">
        <f t="shared" si="15"/>
        <v>46327</v>
      </c>
      <c r="C508" s="27">
        <f>I508+J508+K508+L508+M508+N508+O508+P508+IF(Q508="",0,Q508*サマリー!$B$9)+IF(R508="",0,IF(R508=200,サマリー!$B$10,IF(R508=100,サマリー!$B$11,0)))+IF(S508="",0,S508*サマリー!$B$12)</f>
        <v>0</v>
      </c>
      <c r="D508" s="27">
        <f>T508+U508+V508+W508+X508+IF(Y508="",0,Y508*サマリー!$B$9)+IF(Z508="",0,IF(Z508=200,サマリー!$B$10,IF(Z508=100,サマリー!$B$11,0)))+IF(AA508="",0,AA508*サマリー!$B$12)</f>
        <v>0</v>
      </c>
      <c r="E508" s="27">
        <f t="shared" si="14"/>
        <v>0</v>
      </c>
      <c r="I508" s="30"/>
      <c r="J508" s="30"/>
      <c r="K508" s="30"/>
      <c r="L508" s="30"/>
      <c r="M508" s="30"/>
      <c r="N508" s="30"/>
      <c r="O508" s="30"/>
      <c r="P508" s="30"/>
      <c r="Q508" s="31"/>
      <c r="R508" s="31"/>
      <c r="S508" s="31"/>
      <c r="T508" s="32"/>
      <c r="U508" s="32"/>
      <c r="V508" s="32"/>
      <c r="W508" s="32"/>
      <c r="X508" s="32"/>
      <c r="Y508" s="33"/>
      <c r="Z508" s="33"/>
      <c r="AA508" s="33"/>
    </row>
    <row r="509" spans="1:27">
      <c r="A509" s="29"/>
      <c r="B509" s="19">
        <f t="shared" si="15"/>
        <v>46327</v>
      </c>
      <c r="C509" s="27">
        <f>I509+J509+K509+L509+M509+N509+O509+P509+IF(Q509="",0,Q509*サマリー!$B$9)+IF(R509="",0,IF(R509=200,サマリー!$B$10,IF(R509=100,サマリー!$B$11,0)))+IF(S509="",0,S509*サマリー!$B$12)</f>
        <v>0</v>
      </c>
      <c r="D509" s="27">
        <f>T509+U509+V509+W509+X509+IF(Y509="",0,Y509*サマリー!$B$9)+IF(Z509="",0,IF(Z509=200,サマリー!$B$10,IF(Z509=100,サマリー!$B$11,0)))+IF(AA509="",0,AA509*サマリー!$B$12)</f>
        <v>0</v>
      </c>
      <c r="E509" s="27">
        <f t="shared" si="14"/>
        <v>0</v>
      </c>
      <c r="I509" s="30"/>
      <c r="J509" s="30"/>
      <c r="K509" s="30"/>
      <c r="L509" s="30"/>
      <c r="M509" s="30"/>
      <c r="N509" s="30"/>
      <c r="O509" s="30"/>
      <c r="P509" s="30"/>
      <c r="Q509" s="31"/>
      <c r="R509" s="31"/>
      <c r="S509" s="31"/>
      <c r="T509" s="32"/>
      <c r="U509" s="32"/>
      <c r="V509" s="32"/>
      <c r="W509" s="32"/>
      <c r="X509" s="32"/>
      <c r="Y509" s="33"/>
      <c r="Z509" s="33"/>
      <c r="AA509" s="33"/>
    </row>
    <row r="510" spans="1:27">
      <c r="A510" s="29"/>
      <c r="B510" s="19">
        <f t="shared" si="15"/>
        <v>46327</v>
      </c>
      <c r="C510" s="27">
        <f>I510+J510+K510+L510+M510+N510+O510+P510+IF(Q510="",0,Q510*サマリー!$B$9)+IF(R510="",0,IF(R510=200,サマリー!$B$10,IF(R510=100,サマリー!$B$11,0)))+IF(S510="",0,S510*サマリー!$B$12)</f>
        <v>0</v>
      </c>
      <c r="D510" s="27">
        <f>T510+U510+V510+W510+X510+IF(Y510="",0,Y510*サマリー!$B$9)+IF(Z510="",0,IF(Z510=200,サマリー!$B$10,IF(Z510=100,サマリー!$B$11,0)))+IF(AA510="",0,AA510*サマリー!$B$12)</f>
        <v>0</v>
      </c>
      <c r="E510" s="27">
        <f t="shared" si="14"/>
        <v>0</v>
      </c>
      <c r="I510" s="30"/>
      <c r="J510" s="30"/>
      <c r="K510" s="30"/>
      <c r="L510" s="30"/>
      <c r="M510" s="30"/>
      <c r="N510" s="30"/>
      <c r="O510" s="30"/>
      <c r="P510" s="30"/>
      <c r="Q510" s="31"/>
      <c r="R510" s="31"/>
      <c r="S510" s="31"/>
      <c r="T510" s="32"/>
      <c r="U510" s="32"/>
      <c r="V510" s="32"/>
      <c r="W510" s="32"/>
      <c r="X510" s="32"/>
      <c r="Y510" s="33"/>
      <c r="Z510" s="33"/>
      <c r="AA510" s="33"/>
    </row>
    <row r="511" spans="1:27">
      <c r="A511" s="29"/>
      <c r="B511" s="19">
        <f t="shared" si="15"/>
        <v>46327</v>
      </c>
      <c r="C511" s="27">
        <f>I511+J511+K511+L511+M511+N511+O511+P511+IF(Q511="",0,Q511*サマリー!$B$9)+IF(R511="",0,IF(R511=200,サマリー!$B$10,IF(R511=100,サマリー!$B$11,0)))+IF(S511="",0,S511*サマリー!$B$12)</f>
        <v>0</v>
      </c>
      <c r="D511" s="27">
        <f>T511+U511+V511+W511+X511+IF(Y511="",0,Y511*サマリー!$B$9)+IF(Z511="",0,IF(Z511=200,サマリー!$B$10,IF(Z511=100,サマリー!$B$11,0)))+IF(AA511="",0,AA511*サマリー!$B$12)</f>
        <v>0</v>
      </c>
      <c r="E511" s="27">
        <f t="shared" si="14"/>
        <v>0</v>
      </c>
      <c r="I511" s="30"/>
      <c r="J511" s="30"/>
      <c r="K511" s="30"/>
      <c r="L511" s="30"/>
      <c r="M511" s="30"/>
      <c r="N511" s="30"/>
      <c r="O511" s="30"/>
      <c r="P511" s="30"/>
      <c r="Q511" s="31"/>
      <c r="R511" s="31"/>
      <c r="S511" s="31"/>
      <c r="T511" s="32"/>
      <c r="U511" s="32"/>
      <c r="V511" s="32"/>
      <c r="W511" s="32"/>
      <c r="X511" s="32"/>
      <c r="Y511" s="33"/>
      <c r="Z511" s="33"/>
      <c r="AA511" s="33"/>
    </row>
    <row r="512" spans="1:27">
      <c r="A512" s="29"/>
      <c r="B512" s="19">
        <f t="shared" si="15"/>
        <v>46327</v>
      </c>
      <c r="C512" s="27">
        <f>I512+J512+K512+L512+M512+N512+O512+P512+IF(Q512="",0,Q512*サマリー!$B$9)+IF(R512="",0,IF(R512=200,サマリー!$B$10,IF(R512=100,サマリー!$B$11,0)))+IF(S512="",0,S512*サマリー!$B$12)</f>
        <v>0</v>
      </c>
      <c r="D512" s="27">
        <f>T512+U512+V512+W512+X512+IF(Y512="",0,Y512*サマリー!$B$9)+IF(Z512="",0,IF(Z512=200,サマリー!$B$10,IF(Z512=100,サマリー!$B$11,0)))+IF(AA512="",0,AA512*サマリー!$B$12)</f>
        <v>0</v>
      </c>
      <c r="E512" s="27">
        <f t="shared" si="14"/>
        <v>0</v>
      </c>
      <c r="I512" s="30"/>
      <c r="J512" s="30"/>
      <c r="K512" s="30"/>
      <c r="L512" s="30"/>
      <c r="M512" s="30"/>
      <c r="N512" s="30"/>
      <c r="O512" s="30"/>
      <c r="P512" s="30"/>
      <c r="Q512" s="31"/>
      <c r="R512" s="31"/>
      <c r="S512" s="31"/>
      <c r="T512" s="32"/>
      <c r="U512" s="32"/>
      <c r="V512" s="32"/>
      <c r="W512" s="32"/>
      <c r="X512" s="32"/>
      <c r="Y512" s="33"/>
      <c r="Z512" s="33"/>
      <c r="AA512" s="33"/>
    </row>
    <row r="513" spans="1:27">
      <c r="A513" s="29"/>
      <c r="B513" s="19">
        <f t="shared" si="15"/>
        <v>46327</v>
      </c>
      <c r="C513" s="27">
        <f>I513+J513+K513+L513+M513+N513+O513+P513+IF(Q513="",0,Q513*サマリー!$B$9)+IF(R513="",0,IF(R513=200,サマリー!$B$10,IF(R513=100,サマリー!$B$11,0)))+IF(S513="",0,S513*サマリー!$B$12)</f>
        <v>0</v>
      </c>
      <c r="D513" s="27">
        <f>T513+U513+V513+W513+X513+IF(Y513="",0,Y513*サマリー!$B$9)+IF(Z513="",0,IF(Z513=200,サマリー!$B$10,IF(Z513=100,サマリー!$B$11,0)))+IF(AA513="",0,AA513*サマリー!$B$12)</f>
        <v>0</v>
      </c>
      <c r="E513" s="27">
        <f t="shared" si="14"/>
        <v>0</v>
      </c>
      <c r="I513" s="30"/>
      <c r="J513" s="30"/>
      <c r="K513" s="30"/>
      <c r="L513" s="30"/>
      <c r="M513" s="30"/>
      <c r="N513" s="30"/>
      <c r="O513" s="30"/>
      <c r="P513" s="30"/>
      <c r="Q513" s="31"/>
      <c r="R513" s="31"/>
      <c r="S513" s="31"/>
      <c r="T513" s="32"/>
      <c r="U513" s="32"/>
      <c r="V513" s="32"/>
      <c r="W513" s="32"/>
      <c r="X513" s="32"/>
      <c r="Y513" s="33"/>
      <c r="Z513" s="33"/>
      <c r="AA513" s="33"/>
    </row>
    <row r="514" spans="1:27">
      <c r="A514" s="29"/>
      <c r="B514" s="19">
        <f t="shared" si="15"/>
        <v>46327</v>
      </c>
      <c r="C514" s="27">
        <f>I514+J514+K514+L514+M514+N514+O514+P514+IF(Q514="",0,Q514*サマリー!$B$9)+IF(R514="",0,IF(R514=200,サマリー!$B$10,IF(R514=100,サマリー!$B$11,0)))+IF(S514="",0,S514*サマリー!$B$12)</f>
        <v>0</v>
      </c>
      <c r="D514" s="27">
        <f>T514+U514+V514+W514+X514+IF(Y514="",0,Y514*サマリー!$B$9)+IF(Z514="",0,IF(Z514=200,サマリー!$B$10,IF(Z514=100,サマリー!$B$11,0)))+IF(AA514="",0,AA514*サマリー!$B$12)</f>
        <v>0</v>
      </c>
      <c r="E514" s="27">
        <f t="shared" si="14"/>
        <v>0</v>
      </c>
      <c r="I514" s="30"/>
      <c r="J514" s="30"/>
      <c r="K514" s="30"/>
      <c r="L514" s="30"/>
      <c r="M514" s="30"/>
      <c r="N514" s="30"/>
      <c r="O514" s="30"/>
      <c r="P514" s="30"/>
      <c r="Q514" s="31"/>
      <c r="R514" s="31"/>
      <c r="S514" s="31"/>
      <c r="T514" s="32"/>
      <c r="U514" s="32"/>
      <c r="V514" s="32"/>
      <c r="W514" s="32"/>
      <c r="X514" s="32"/>
      <c r="Y514" s="33"/>
      <c r="Z514" s="33"/>
      <c r="AA514" s="33"/>
    </row>
    <row r="515" spans="1:27">
      <c r="A515" s="29"/>
      <c r="B515" s="19">
        <f t="shared" si="15"/>
        <v>46327</v>
      </c>
      <c r="C515" s="27">
        <f>I515+J515+K515+L515+M515+N515+O515+P515+IF(Q515="",0,Q515*サマリー!$B$9)+IF(R515="",0,IF(R515=200,サマリー!$B$10,IF(R515=100,サマリー!$B$11,0)))+IF(S515="",0,S515*サマリー!$B$12)</f>
        <v>0</v>
      </c>
      <c r="D515" s="27">
        <f>T515+U515+V515+W515+X515+IF(Y515="",0,Y515*サマリー!$B$9)+IF(Z515="",0,IF(Z515=200,サマリー!$B$10,IF(Z515=100,サマリー!$B$11,0)))+IF(AA515="",0,AA515*サマリー!$B$12)</f>
        <v>0</v>
      </c>
      <c r="E515" s="27">
        <f t="shared" si="14"/>
        <v>0</v>
      </c>
      <c r="I515" s="30"/>
      <c r="J515" s="30"/>
      <c r="K515" s="30"/>
      <c r="L515" s="30"/>
      <c r="M515" s="30"/>
      <c r="N515" s="30"/>
      <c r="O515" s="30"/>
      <c r="P515" s="30"/>
      <c r="Q515" s="31"/>
      <c r="R515" s="31"/>
      <c r="S515" s="31"/>
      <c r="T515" s="32"/>
      <c r="U515" s="32"/>
      <c r="V515" s="32"/>
      <c r="W515" s="32"/>
      <c r="X515" s="32"/>
      <c r="Y515" s="33"/>
      <c r="Z515" s="33"/>
      <c r="AA515" s="33"/>
    </row>
    <row r="516" spans="1:27">
      <c r="A516" s="29"/>
      <c r="B516" s="19">
        <f t="shared" si="15"/>
        <v>46327</v>
      </c>
      <c r="C516" s="27">
        <f>I516+J516+K516+L516+M516+N516+O516+P516+IF(Q516="",0,Q516*サマリー!$B$9)+IF(R516="",0,IF(R516=200,サマリー!$B$10,IF(R516=100,サマリー!$B$11,0)))+IF(S516="",0,S516*サマリー!$B$12)</f>
        <v>0</v>
      </c>
      <c r="D516" s="27">
        <f>T516+U516+V516+W516+X516+IF(Y516="",0,Y516*サマリー!$B$9)+IF(Z516="",0,IF(Z516=200,サマリー!$B$10,IF(Z516=100,サマリー!$B$11,0)))+IF(AA516="",0,AA516*サマリー!$B$12)</f>
        <v>0</v>
      </c>
      <c r="E516" s="27">
        <f t="shared" si="14"/>
        <v>0</v>
      </c>
      <c r="I516" s="30"/>
      <c r="J516" s="30"/>
      <c r="K516" s="30"/>
      <c r="L516" s="30"/>
      <c r="M516" s="30"/>
      <c r="N516" s="30"/>
      <c r="O516" s="30"/>
      <c r="P516" s="30"/>
      <c r="Q516" s="31"/>
      <c r="R516" s="31"/>
      <c r="S516" s="31"/>
      <c r="T516" s="32"/>
      <c r="U516" s="32"/>
      <c r="V516" s="32"/>
      <c r="W516" s="32"/>
      <c r="X516" s="32"/>
      <c r="Y516" s="33"/>
      <c r="Z516" s="33"/>
      <c r="AA516" s="33"/>
    </row>
    <row r="517" spans="1:27">
      <c r="A517" s="29"/>
      <c r="B517" s="19">
        <f t="shared" si="15"/>
        <v>46327</v>
      </c>
      <c r="C517" s="27">
        <f>I517+J517+K517+L517+M517+N517+O517+P517+IF(Q517="",0,Q517*サマリー!$B$9)+IF(R517="",0,IF(R517=200,サマリー!$B$10,IF(R517=100,サマリー!$B$11,0)))+IF(S517="",0,S517*サマリー!$B$12)</f>
        <v>0</v>
      </c>
      <c r="D517" s="27">
        <f>T517+U517+V517+W517+X517+IF(Y517="",0,Y517*サマリー!$B$9)+IF(Z517="",0,IF(Z517=200,サマリー!$B$10,IF(Z517=100,サマリー!$B$11,0)))+IF(AA517="",0,AA517*サマリー!$B$12)</f>
        <v>0</v>
      </c>
      <c r="E517" s="27">
        <f t="shared" si="14"/>
        <v>0</v>
      </c>
      <c r="I517" s="30"/>
      <c r="J517" s="30"/>
      <c r="K517" s="30"/>
      <c r="L517" s="30"/>
      <c r="M517" s="30"/>
      <c r="N517" s="30"/>
      <c r="O517" s="30"/>
      <c r="P517" s="30"/>
      <c r="Q517" s="31"/>
      <c r="R517" s="31"/>
      <c r="S517" s="31"/>
      <c r="T517" s="32"/>
      <c r="U517" s="32"/>
      <c r="V517" s="32"/>
      <c r="W517" s="32"/>
      <c r="X517" s="32"/>
      <c r="Y517" s="33"/>
      <c r="Z517" s="33"/>
      <c r="AA517" s="33"/>
    </row>
    <row r="518" spans="1:27">
      <c r="A518" s="29"/>
      <c r="B518" s="19">
        <f t="shared" si="15"/>
        <v>46327</v>
      </c>
      <c r="C518" s="27">
        <f>I518+J518+K518+L518+M518+N518+O518+P518+IF(Q518="",0,Q518*サマリー!$B$9)+IF(R518="",0,IF(R518=200,サマリー!$B$10,IF(R518=100,サマリー!$B$11,0)))+IF(S518="",0,S518*サマリー!$B$12)</f>
        <v>0</v>
      </c>
      <c r="D518" s="27">
        <f>T518+U518+V518+W518+X518+IF(Y518="",0,Y518*サマリー!$B$9)+IF(Z518="",0,IF(Z518=200,サマリー!$B$10,IF(Z518=100,サマリー!$B$11,0)))+IF(AA518="",0,AA518*サマリー!$B$12)</f>
        <v>0</v>
      </c>
      <c r="E518" s="27">
        <f t="shared" ref="E518:E581" si="16">C518+D518</f>
        <v>0</v>
      </c>
      <c r="I518" s="30"/>
      <c r="J518" s="30"/>
      <c r="K518" s="30"/>
      <c r="L518" s="30"/>
      <c r="M518" s="30"/>
      <c r="N518" s="30"/>
      <c r="O518" s="30"/>
      <c r="P518" s="30"/>
      <c r="Q518" s="31"/>
      <c r="R518" s="31"/>
      <c r="S518" s="31"/>
      <c r="T518" s="32"/>
      <c r="U518" s="32"/>
      <c r="V518" s="32"/>
      <c r="W518" s="32"/>
      <c r="X518" s="32"/>
      <c r="Y518" s="33"/>
      <c r="Z518" s="33"/>
      <c r="AA518" s="33"/>
    </row>
    <row r="519" spans="1:27">
      <c r="A519" s="29"/>
      <c r="B519" s="19">
        <f t="shared" ref="B519:B582" si="17">IF(A519="",B518,IF(A519&lt;DAY(B518),DATE(YEAR(B518),MONTH(B518)+1,A519),DATE(YEAR(B518),MONTH(B518),A519)))</f>
        <v>46327</v>
      </c>
      <c r="C519" s="27">
        <f>I519+J519+K519+L519+M519+N519+O519+P519+IF(Q519="",0,Q519*サマリー!$B$9)+IF(R519="",0,IF(R519=200,サマリー!$B$10,IF(R519=100,サマリー!$B$11,0)))+IF(S519="",0,S519*サマリー!$B$12)</f>
        <v>0</v>
      </c>
      <c r="D519" s="27">
        <f>T519+U519+V519+W519+X519+IF(Y519="",0,Y519*サマリー!$B$9)+IF(Z519="",0,IF(Z519=200,サマリー!$B$10,IF(Z519=100,サマリー!$B$11,0)))+IF(AA519="",0,AA519*サマリー!$B$12)</f>
        <v>0</v>
      </c>
      <c r="E519" s="27">
        <f t="shared" si="16"/>
        <v>0</v>
      </c>
      <c r="I519" s="30"/>
      <c r="J519" s="30"/>
      <c r="K519" s="30"/>
      <c r="L519" s="30"/>
      <c r="M519" s="30"/>
      <c r="N519" s="30"/>
      <c r="O519" s="30"/>
      <c r="P519" s="30"/>
      <c r="Q519" s="31"/>
      <c r="R519" s="31"/>
      <c r="S519" s="31"/>
      <c r="T519" s="32"/>
      <c r="U519" s="32"/>
      <c r="V519" s="32"/>
      <c r="W519" s="32"/>
      <c r="X519" s="32"/>
      <c r="Y519" s="33"/>
      <c r="Z519" s="33"/>
      <c r="AA519" s="33"/>
    </row>
    <row r="520" spans="1:27">
      <c r="A520" s="29"/>
      <c r="B520" s="19">
        <f t="shared" si="17"/>
        <v>46327</v>
      </c>
      <c r="C520" s="27">
        <f>I520+J520+K520+L520+M520+N520+O520+P520+IF(Q520="",0,Q520*サマリー!$B$9)+IF(R520="",0,IF(R520=200,サマリー!$B$10,IF(R520=100,サマリー!$B$11,0)))+IF(S520="",0,S520*サマリー!$B$12)</f>
        <v>0</v>
      </c>
      <c r="D520" s="27">
        <f>T520+U520+V520+W520+X520+IF(Y520="",0,Y520*サマリー!$B$9)+IF(Z520="",0,IF(Z520=200,サマリー!$B$10,IF(Z520=100,サマリー!$B$11,0)))+IF(AA520="",0,AA520*サマリー!$B$12)</f>
        <v>0</v>
      </c>
      <c r="E520" s="27">
        <f t="shared" si="16"/>
        <v>0</v>
      </c>
      <c r="I520" s="30"/>
      <c r="J520" s="30"/>
      <c r="K520" s="30"/>
      <c r="L520" s="30"/>
      <c r="M520" s="30"/>
      <c r="N520" s="30"/>
      <c r="O520" s="30"/>
      <c r="P520" s="30"/>
      <c r="Q520" s="31"/>
      <c r="R520" s="31"/>
      <c r="S520" s="31"/>
      <c r="T520" s="32"/>
      <c r="U520" s="32"/>
      <c r="V520" s="32"/>
      <c r="W520" s="32"/>
      <c r="X520" s="32"/>
      <c r="Y520" s="33"/>
      <c r="Z520" s="33"/>
      <c r="AA520" s="33"/>
    </row>
    <row r="521" spans="1:27">
      <c r="A521" s="29"/>
      <c r="B521" s="19">
        <f t="shared" si="17"/>
        <v>46327</v>
      </c>
      <c r="C521" s="27">
        <f>I521+J521+K521+L521+M521+N521+O521+P521+IF(Q521="",0,Q521*サマリー!$B$9)+IF(R521="",0,IF(R521=200,サマリー!$B$10,IF(R521=100,サマリー!$B$11,0)))+IF(S521="",0,S521*サマリー!$B$12)</f>
        <v>0</v>
      </c>
      <c r="D521" s="27">
        <f>T521+U521+V521+W521+X521+IF(Y521="",0,Y521*サマリー!$B$9)+IF(Z521="",0,IF(Z521=200,サマリー!$B$10,IF(Z521=100,サマリー!$B$11,0)))+IF(AA521="",0,AA521*サマリー!$B$12)</f>
        <v>0</v>
      </c>
      <c r="E521" s="27">
        <f t="shared" si="16"/>
        <v>0</v>
      </c>
      <c r="I521" s="30"/>
      <c r="J521" s="30"/>
      <c r="K521" s="30"/>
      <c r="L521" s="30"/>
      <c r="M521" s="30"/>
      <c r="N521" s="30"/>
      <c r="O521" s="30"/>
      <c r="P521" s="30"/>
      <c r="Q521" s="31"/>
      <c r="R521" s="31"/>
      <c r="S521" s="31"/>
      <c r="T521" s="32"/>
      <c r="U521" s="32"/>
      <c r="V521" s="32"/>
      <c r="W521" s="32"/>
      <c r="X521" s="32"/>
      <c r="Y521" s="33"/>
      <c r="Z521" s="33"/>
      <c r="AA521" s="33"/>
    </row>
    <row r="522" spans="1:27">
      <c r="A522" s="29"/>
      <c r="B522" s="19">
        <f t="shared" si="17"/>
        <v>46327</v>
      </c>
      <c r="C522" s="27">
        <f>I522+J522+K522+L522+M522+N522+O522+P522+IF(Q522="",0,Q522*サマリー!$B$9)+IF(R522="",0,IF(R522=200,サマリー!$B$10,IF(R522=100,サマリー!$B$11,0)))+IF(S522="",0,S522*サマリー!$B$12)</f>
        <v>0</v>
      </c>
      <c r="D522" s="27">
        <f>T522+U522+V522+W522+X522+IF(Y522="",0,Y522*サマリー!$B$9)+IF(Z522="",0,IF(Z522=200,サマリー!$B$10,IF(Z522=100,サマリー!$B$11,0)))+IF(AA522="",0,AA522*サマリー!$B$12)</f>
        <v>0</v>
      </c>
      <c r="E522" s="27">
        <f t="shared" si="16"/>
        <v>0</v>
      </c>
      <c r="I522" s="30"/>
      <c r="J522" s="30"/>
      <c r="K522" s="30"/>
      <c r="L522" s="30"/>
      <c r="M522" s="30"/>
      <c r="N522" s="30"/>
      <c r="O522" s="30"/>
      <c r="P522" s="30"/>
      <c r="Q522" s="31"/>
      <c r="R522" s="31"/>
      <c r="S522" s="31"/>
      <c r="T522" s="32"/>
      <c r="U522" s="32"/>
      <c r="V522" s="32"/>
      <c r="W522" s="32"/>
      <c r="X522" s="32"/>
      <c r="Y522" s="33"/>
      <c r="Z522" s="33"/>
      <c r="AA522" s="33"/>
    </row>
    <row r="523" spans="1:27">
      <c r="A523" s="29"/>
      <c r="B523" s="19">
        <f t="shared" si="17"/>
        <v>46327</v>
      </c>
      <c r="C523" s="27">
        <f>I523+J523+K523+L523+M523+N523+O523+P523+IF(Q523="",0,Q523*サマリー!$B$9)+IF(R523="",0,IF(R523=200,サマリー!$B$10,IF(R523=100,サマリー!$B$11,0)))+IF(S523="",0,S523*サマリー!$B$12)</f>
        <v>0</v>
      </c>
      <c r="D523" s="27">
        <f>T523+U523+V523+W523+X523+IF(Y523="",0,Y523*サマリー!$B$9)+IF(Z523="",0,IF(Z523=200,サマリー!$B$10,IF(Z523=100,サマリー!$B$11,0)))+IF(AA523="",0,AA523*サマリー!$B$12)</f>
        <v>0</v>
      </c>
      <c r="E523" s="27">
        <f t="shared" si="16"/>
        <v>0</v>
      </c>
      <c r="I523" s="30"/>
      <c r="J523" s="30"/>
      <c r="K523" s="30"/>
      <c r="L523" s="30"/>
      <c r="M523" s="30"/>
      <c r="N523" s="30"/>
      <c r="O523" s="30"/>
      <c r="P523" s="30"/>
      <c r="Q523" s="31"/>
      <c r="R523" s="31"/>
      <c r="S523" s="31"/>
      <c r="T523" s="32"/>
      <c r="U523" s="32"/>
      <c r="V523" s="32"/>
      <c r="W523" s="32"/>
      <c r="X523" s="32"/>
      <c r="Y523" s="33"/>
      <c r="Z523" s="33"/>
      <c r="AA523" s="33"/>
    </row>
    <row r="524" spans="1:27">
      <c r="A524" s="29"/>
      <c r="B524" s="19">
        <f t="shared" si="17"/>
        <v>46327</v>
      </c>
      <c r="C524" s="27">
        <f>I524+J524+K524+L524+M524+N524+O524+P524+IF(Q524="",0,Q524*サマリー!$B$9)+IF(R524="",0,IF(R524=200,サマリー!$B$10,IF(R524=100,サマリー!$B$11,0)))+IF(S524="",0,S524*サマリー!$B$12)</f>
        <v>0</v>
      </c>
      <c r="D524" s="27">
        <f>T524+U524+V524+W524+X524+IF(Y524="",0,Y524*サマリー!$B$9)+IF(Z524="",0,IF(Z524=200,サマリー!$B$10,IF(Z524=100,サマリー!$B$11,0)))+IF(AA524="",0,AA524*サマリー!$B$12)</f>
        <v>0</v>
      </c>
      <c r="E524" s="27">
        <f t="shared" si="16"/>
        <v>0</v>
      </c>
      <c r="I524" s="30"/>
      <c r="J524" s="30"/>
      <c r="K524" s="30"/>
      <c r="L524" s="30"/>
      <c r="M524" s="30"/>
      <c r="N524" s="30"/>
      <c r="O524" s="30"/>
      <c r="P524" s="30"/>
      <c r="Q524" s="31"/>
      <c r="R524" s="31"/>
      <c r="S524" s="31"/>
      <c r="T524" s="32"/>
      <c r="U524" s="32"/>
      <c r="V524" s="32"/>
      <c r="W524" s="32"/>
      <c r="X524" s="32"/>
      <c r="Y524" s="33"/>
      <c r="Z524" s="33"/>
      <c r="AA524" s="33"/>
    </row>
    <row r="525" spans="1:27">
      <c r="A525" s="29"/>
      <c r="B525" s="19">
        <f t="shared" si="17"/>
        <v>46327</v>
      </c>
      <c r="C525" s="27">
        <f>I525+J525+K525+L525+M525+N525+O525+P525+IF(Q525="",0,Q525*サマリー!$B$9)+IF(R525="",0,IF(R525=200,サマリー!$B$10,IF(R525=100,サマリー!$B$11,0)))+IF(S525="",0,S525*サマリー!$B$12)</f>
        <v>0</v>
      </c>
      <c r="D525" s="27">
        <f>T525+U525+V525+W525+X525+IF(Y525="",0,Y525*サマリー!$B$9)+IF(Z525="",0,IF(Z525=200,サマリー!$B$10,IF(Z525=100,サマリー!$B$11,0)))+IF(AA525="",0,AA525*サマリー!$B$12)</f>
        <v>0</v>
      </c>
      <c r="E525" s="27">
        <f t="shared" si="16"/>
        <v>0</v>
      </c>
      <c r="I525" s="30"/>
      <c r="J525" s="30"/>
      <c r="K525" s="30"/>
      <c r="L525" s="30"/>
      <c r="M525" s="30"/>
      <c r="N525" s="30"/>
      <c r="O525" s="30"/>
      <c r="P525" s="30"/>
      <c r="Q525" s="31"/>
      <c r="R525" s="31"/>
      <c r="S525" s="31"/>
      <c r="T525" s="32"/>
      <c r="U525" s="32"/>
      <c r="V525" s="32"/>
      <c r="W525" s="32"/>
      <c r="X525" s="32"/>
      <c r="Y525" s="33"/>
      <c r="Z525" s="33"/>
      <c r="AA525" s="33"/>
    </row>
    <row r="526" spans="1:27">
      <c r="A526" s="29"/>
      <c r="B526" s="19">
        <f t="shared" si="17"/>
        <v>46327</v>
      </c>
      <c r="C526" s="27">
        <f>I526+J526+K526+L526+M526+N526+O526+P526+IF(Q526="",0,Q526*サマリー!$B$9)+IF(R526="",0,IF(R526=200,サマリー!$B$10,IF(R526=100,サマリー!$B$11,0)))+IF(S526="",0,S526*サマリー!$B$12)</f>
        <v>0</v>
      </c>
      <c r="D526" s="27">
        <f>T526+U526+V526+W526+X526+IF(Y526="",0,Y526*サマリー!$B$9)+IF(Z526="",0,IF(Z526=200,サマリー!$B$10,IF(Z526=100,サマリー!$B$11,0)))+IF(AA526="",0,AA526*サマリー!$B$12)</f>
        <v>0</v>
      </c>
      <c r="E526" s="27">
        <f t="shared" si="16"/>
        <v>0</v>
      </c>
      <c r="I526" s="30"/>
      <c r="J526" s="30"/>
      <c r="K526" s="30"/>
      <c r="L526" s="30"/>
      <c r="M526" s="30"/>
      <c r="N526" s="30"/>
      <c r="O526" s="30"/>
      <c r="P526" s="30"/>
      <c r="Q526" s="31"/>
      <c r="R526" s="31"/>
      <c r="S526" s="31"/>
      <c r="T526" s="32"/>
      <c r="U526" s="32"/>
      <c r="V526" s="32"/>
      <c r="W526" s="32"/>
      <c r="X526" s="32"/>
      <c r="Y526" s="33"/>
      <c r="Z526" s="33"/>
      <c r="AA526" s="33"/>
    </row>
    <row r="527" spans="1:27">
      <c r="A527" s="29"/>
      <c r="B527" s="19">
        <f t="shared" si="17"/>
        <v>46327</v>
      </c>
      <c r="C527" s="27">
        <f>I527+J527+K527+L527+M527+N527+O527+P527+IF(Q527="",0,Q527*サマリー!$B$9)+IF(R527="",0,IF(R527=200,サマリー!$B$10,IF(R527=100,サマリー!$B$11,0)))+IF(S527="",0,S527*サマリー!$B$12)</f>
        <v>0</v>
      </c>
      <c r="D527" s="27">
        <f>T527+U527+V527+W527+X527+IF(Y527="",0,Y527*サマリー!$B$9)+IF(Z527="",0,IF(Z527=200,サマリー!$B$10,IF(Z527=100,サマリー!$B$11,0)))+IF(AA527="",0,AA527*サマリー!$B$12)</f>
        <v>0</v>
      </c>
      <c r="E527" s="27">
        <f t="shared" si="16"/>
        <v>0</v>
      </c>
      <c r="I527" s="30"/>
      <c r="J527" s="30"/>
      <c r="K527" s="30"/>
      <c r="L527" s="30"/>
      <c r="M527" s="30"/>
      <c r="N527" s="30"/>
      <c r="O527" s="30"/>
      <c r="P527" s="30"/>
      <c r="Q527" s="31"/>
      <c r="R527" s="31"/>
      <c r="S527" s="31"/>
      <c r="T527" s="32"/>
      <c r="U527" s="32"/>
      <c r="V527" s="32"/>
      <c r="W527" s="32"/>
      <c r="X527" s="32"/>
      <c r="Y527" s="33"/>
      <c r="Z527" s="33"/>
      <c r="AA527" s="33"/>
    </row>
    <row r="528" spans="1:27">
      <c r="A528" s="29"/>
      <c r="B528" s="19">
        <f t="shared" si="17"/>
        <v>46327</v>
      </c>
      <c r="C528" s="27">
        <f>I528+J528+K528+L528+M528+N528+O528+P528+IF(Q528="",0,Q528*サマリー!$B$9)+IF(R528="",0,IF(R528=200,サマリー!$B$10,IF(R528=100,サマリー!$B$11,0)))+IF(S528="",0,S528*サマリー!$B$12)</f>
        <v>0</v>
      </c>
      <c r="D528" s="27">
        <f>T528+U528+V528+W528+X528+IF(Y528="",0,Y528*サマリー!$B$9)+IF(Z528="",0,IF(Z528=200,サマリー!$B$10,IF(Z528=100,サマリー!$B$11,0)))+IF(AA528="",0,AA528*サマリー!$B$12)</f>
        <v>0</v>
      </c>
      <c r="E528" s="27">
        <f t="shared" si="16"/>
        <v>0</v>
      </c>
      <c r="I528" s="30"/>
      <c r="J528" s="30"/>
      <c r="K528" s="30"/>
      <c r="L528" s="30"/>
      <c r="M528" s="30"/>
      <c r="N528" s="30"/>
      <c r="O528" s="30"/>
      <c r="P528" s="30"/>
      <c r="Q528" s="31"/>
      <c r="R528" s="31"/>
      <c r="S528" s="31"/>
      <c r="T528" s="32"/>
      <c r="U528" s="32"/>
      <c r="V528" s="32"/>
      <c r="W528" s="32"/>
      <c r="X528" s="32"/>
      <c r="Y528" s="33"/>
      <c r="Z528" s="33"/>
      <c r="AA528" s="33"/>
    </row>
    <row r="529" spans="1:27">
      <c r="A529" s="29"/>
      <c r="B529" s="19">
        <f t="shared" si="17"/>
        <v>46327</v>
      </c>
      <c r="C529" s="27">
        <f>I529+J529+K529+L529+M529+N529+O529+P529+IF(Q529="",0,Q529*サマリー!$B$9)+IF(R529="",0,IF(R529=200,サマリー!$B$10,IF(R529=100,サマリー!$B$11,0)))+IF(S529="",0,S529*サマリー!$B$12)</f>
        <v>0</v>
      </c>
      <c r="D529" s="27">
        <f>T529+U529+V529+W529+X529+IF(Y529="",0,Y529*サマリー!$B$9)+IF(Z529="",0,IF(Z529=200,サマリー!$B$10,IF(Z529=100,サマリー!$B$11,0)))+IF(AA529="",0,AA529*サマリー!$B$12)</f>
        <v>0</v>
      </c>
      <c r="E529" s="27">
        <f t="shared" si="16"/>
        <v>0</v>
      </c>
      <c r="I529" s="30"/>
      <c r="J529" s="30"/>
      <c r="K529" s="30"/>
      <c r="L529" s="30"/>
      <c r="M529" s="30"/>
      <c r="N529" s="30"/>
      <c r="O529" s="30"/>
      <c r="P529" s="30"/>
      <c r="Q529" s="31"/>
      <c r="R529" s="31"/>
      <c r="S529" s="31"/>
      <c r="T529" s="32"/>
      <c r="U529" s="32"/>
      <c r="V529" s="32"/>
      <c r="W529" s="32"/>
      <c r="X529" s="32"/>
      <c r="Y529" s="33"/>
      <c r="Z529" s="33"/>
      <c r="AA529" s="33"/>
    </row>
    <row r="530" spans="1:27">
      <c r="A530" s="29"/>
      <c r="B530" s="19">
        <f t="shared" si="17"/>
        <v>46327</v>
      </c>
      <c r="C530" s="27">
        <f>I530+J530+K530+L530+M530+N530+O530+P530+IF(Q530="",0,Q530*サマリー!$B$9)+IF(R530="",0,IF(R530=200,サマリー!$B$10,IF(R530=100,サマリー!$B$11,0)))+IF(S530="",0,S530*サマリー!$B$12)</f>
        <v>0</v>
      </c>
      <c r="D530" s="27">
        <f>T530+U530+V530+W530+X530+IF(Y530="",0,Y530*サマリー!$B$9)+IF(Z530="",0,IF(Z530=200,サマリー!$B$10,IF(Z530=100,サマリー!$B$11,0)))+IF(AA530="",0,AA530*サマリー!$B$12)</f>
        <v>0</v>
      </c>
      <c r="E530" s="27">
        <f t="shared" si="16"/>
        <v>0</v>
      </c>
      <c r="I530" s="30"/>
      <c r="J530" s="30"/>
      <c r="K530" s="30"/>
      <c r="L530" s="30"/>
      <c r="M530" s="30"/>
      <c r="N530" s="30"/>
      <c r="O530" s="30"/>
      <c r="P530" s="30"/>
      <c r="Q530" s="31"/>
      <c r="R530" s="31"/>
      <c r="S530" s="31"/>
      <c r="T530" s="32"/>
      <c r="U530" s="32"/>
      <c r="V530" s="32"/>
      <c r="W530" s="32"/>
      <c r="X530" s="32"/>
      <c r="Y530" s="33"/>
      <c r="Z530" s="33"/>
      <c r="AA530" s="33"/>
    </row>
    <row r="531" spans="1:27">
      <c r="A531" s="29"/>
      <c r="B531" s="19">
        <f t="shared" si="17"/>
        <v>46327</v>
      </c>
      <c r="C531" s="27">
        <f>I531+J531+K531+L531+M531+N531+O531+P531+IF(Q531="",0,Q531*サマリー!$B$9)+IF(R531="",0,IF(R531=200,サマリー!$B$10,IF(R531=100,サマリー!$B$11,0)))+IF(S531="",0,S531*サマリー!$B$12)</f>
        <v>0</v>
      </c>
      <c r="D531" s="27">
        <f>T531+U531+V531+W531+X531+IF(Y531="",0,Y531*サマリー!$B$9)+IF(Z531="",0,IF(Z531=200,サマリー!$B$10,IF(Z531=100,サマリー!$B$11,0)))+IF(AA531="",0,AA531*サマリー!$B$12)</f>
        <v>0</v>
      </c>
      <c r="E531" s="27">
        <f t="shared" si="16"/>
        <v>0</v>
      </c>
      <c r="I531" s="30"/>
      <c r="J531" s="30"/>
      <c r="K531" s="30"/>
      <c r="L531" s="30"/>
      <c r="M531" s="30"/>
      <c r="N531" s="30"/>
      <c r="O531" s="30"/>
      <c r="P531" s="30"/>
      <c r="Q531" s="31"/>
      <c r="R531" s="31"/>
      <c r="S531" s="31"/>
      <c r="T531" s="32"/>
      <c r="U531" s="32"/>
      <c r="V531" s="32"/>
      <c r="W531" s="32"/>
      <c r="X531" s="32"/>
      <c r="Y531" s="33"/>
      <c r="Z531" s="33"/>
      <c r="AA531" s="33"/>
    </row>
    <row r="532" spans="1:27">
      <c r="A532" s="29"/>
      <c r="B532" s="19">
        <f t="shared" si="17"/>
        <v>46327</v>
      </c>
      <c r="C532" s="27">
        <f>I532+J532+K532+L532+M532+N532+O532+P532+IF(Q532="",0,Q532*サマリー!$B$9)+IF(R532="",0,IF(R532=200,サマリー!$B$10,IF(R532=100,サマリー!$B$11,0)))+IF(S532="",0,S532*サマリー!$B$12)</f>
        <v>0</v>
      </c>
      <c r="D532" s="27">
        <f>T532+U532+V532+W532+X532+IF(Y532="",0,Y532*サマリー!$B$9)+IF(Z532="",0,IF(Z532=200,サマリー!$B$10,IF(Z532=100,サマリー!$B$11,0)))+IF(AA532="",0,AA532*サマリー!$B$12)</f>
        <v>0</v>
      </c>
      <c r="E532" s="27">
        <f t="shared" si="16"/>
        <v>0</v>
      </c>
      <c r="I532" s="30"/>
      <c r="J532" s="30"/>
      <c r="K532" s="30"/>
      <c r="L532" s="30"/>
      <c r="M532" s="30"/>
      <c r="N532" s="30"/>
      <c r="O532" s="30"/>
      <c r="P532" s="30"/>
      <c r="Q532" s="31"/>
      <c r="R532" s="31"/>
      <c r="S532" s="31"/>
      <c r="T532" s="32"/>
      <c r="U532" s="32"/>
      <c r="V532" s="32"/>
      <c r="W532" s="32"/>
      <c r="X532" s="32"/>
      <c r="Y532" s="33"/>
      <c r="Z532" s="33"/>
      <c r="AA532" s="33"/>
    </row>
    <row r="533" spans="1:27">
      <c r="A533" s="29"/>
      <c r="B533" s="19">
        <f t="shared" si="17"/>
        <v>46327</v>
      </c>
      <c r="C533" s="27">
        <f>I533+J533+K533+L533+M533+N533+O533+P533+IF(Q533="",0,Q533*サマリー!$B$9)+IF(R533="",0,IF(R533=200,サマリー!$B$10,IF(R533=100,サマリー!$B$11,0)))+IF(S533="",0,S533*サマリー!$B$12)</f>
        <v>0</v>
      </c>
      <c r="D533" s="27">
        <f>T533+U533+V533+W533+X533+IF(Y533="",0,Y533*サマリー!$B$9)+IF(Z533="",0,IF(Z533=200,サマリー!$B$10,IF(Z533=100,サマリー!$B$11,0)))+IF(AA533="",0,AA533*サマリー!$B$12)</f>
        <v>0</v>
      </c>
      <c r="E533" s="27">
        <f t="shared" si="16"/>
        <v>0</v>
      </c>
      <c r="I533" s="30"/>
      <c r="J533" s="30"/>
      <c r="K533" s="30"/>
      <c r="L533" s="30"/>
      <c r="M533" s="30"/>
      <c r="N533" s="30"/>
      <c r="O533" s="30"/>
      <c r="P533" s="30"/>
      <c r="Q533" s="31"/>
      <c r="R533" s="31"/>
      <c r="S533" s="31"/>
      <c r="T533" s="32"/>
      <c r="U533" s="32"/>
      <c r="V533" s="32"/>
      <c r="W533" s="32"/>
      <c r="X533" s="32"/>
      <c r="Y533" s="33"/>
      <c r="Z533" s="33"/>
      <c r="AA533" s="33"/>
    </row>
    <row r="534" spans="1:27">
      <c r="A534" s="29"/>
      <c r="B534" s="19">
        <f t="shared" si="17"/>
        <v>46327</v>
      </c>
      <c r="C534" s="27">
        <f>I534+J534+K534+L534+M534+N534+O534+P534+IF(Q534="",0,Q534*サマリー!$B$9)+IF(R534="",0,IF(R534=200,サマリー!$B$10,IF(R534=100,サマリー!$B$11,0)))+IF(S534="",0,S534*サマリー!$B$12)</f>
        <v>0</v>
      </c>
      <c r="D534" s="27">
        <f>T534+U534+V534+W534+X534+IF(Y534="",0,Y534*サマリー!$B$9)+IF(Z534="",0,IF(Z534=200,サマリー!$B$10,IF(Z534=100,サマリー!$B$11,0)))+IF(AA534="",0,AA534*サマリー!$B$12)</f>
        <v>0</v>
      </c>
      <c r="E534" s="27">
        <f t="shared" si="16"/>
        <v>0</v>
      </c>
      <c r="I534" s="30"/>
      <c r="J534" s="30"/>
      <c r="K534" s="30"/>
      <c r="L534" s="30"/>
      <c r="M534" s="30"/>
      <c r="N534" s="30"/>
      <c r="O534" s="30"/>
      <c r="P534" s="30"/>
      <c r="Q534" s="31"/>
      <c r="R534" s="31"/>
      <c r="S534" s="31"/>
      <c r="T534" s="32"/>
      <c r="U534" s="32"/>
      <c r="V534" s="32"/>
      <c r="W534" s="32"/>
      <c r="X534" s="32"/>
      <c r="Y534" s="33"/>
      <c r="Z534" s="33"/>
      <c r="AA534" s="33"/>
    </row>
    <row r="535" spans="1:27">
      <c r="A535" s="29"/>
      <c r="B535" s="19">
        <f t="shared" si="17"/>
        <v>46327</v>
      </c>
      <c r="C535" s="27">
        <f>I535+J535+K535+L535+M535+N535+O535+P535+IF(Q535="",0,Q535*サマリー!$B$9)+IF(R535="",0,IF(R535=200,サマリー!$B$10,IF(R535=100,サマリー!$B$11,0)))+IF(S535="",0,S535*サマリー!$B$12)</f>
        <v>0</v>
      </c>
      <c r="D535" s="27">
        <f>T535+U535+V535+W535+X535+IF(Y535="",0,Y535*サマリー!$B$9)+IF(Z535="",0,IF(Z535=200,サマリー!$B$10,IF(Z535=100,サマリー!$B$11,0)))+IF(AA535="",0,AA535*サマリー!$B$12)</f>
        <v>0</v>
      </c>
      <c r="E535" s="27">
        <f t="shared" si="16"/>
        <v>0</v>
      </c>
      <c r="I535" s="30"/>
      <c r="J535" s="30"/>
      <c r="K535" s="30"/>
      <c r="L535" s="30"/>
      <c r="M535" s="30"/>
      <c r="N535" s="30"/>
      <c r="O535" s="30"/>
      <c r="P535" s="30"/>
      <c r="Q535" s="31"/>
      <c r="R535" s="31"/>
      <c r="S535" s="31"/>
      <c r="T535" s="32"/>
      <c r="U535" s="32"/>
      <c r="V535" s="32"/>
      <c r="W535" s="32"/>
      <c r="X535" s="32"/>
      <c r="Y535" s="33"/>
      <c r="Z535" s="33"/>
      <c r="AA535" s="33"/>
    </row>
    <row r="536" spans="1:27">
      <c r="A536" s="29"/>
      <c r="B536" s="19">
        <f t="shared" si="17"/>
        <v>46327</v>
      </c>
      <c r="C536" s="27">
        <f>I536+J536+K536+L536+M536+N536+O536+P536+IF(Q536="",0,Q536*サマリー!$B$9)+IF(R536="",0,IF(R536=200,サマリー!$B$10,IF(R536=100,サマリー!$B$11,0)))+IF(S536="",0,S536*サマリー!$B$12)</f>
        <v>0</v>
      </c>
      <c r="D536" s="27">
        <f>T536+U536+V536+W536+X536+IF(Y536="",0,Y536*サマリー!$B$9)+IF(Z536="",0,IF(Z536=200,サマリー!$B$10,IF(Z536=100,サマリー!$B$11,0)))+IF(AA536="",0,AA536*サマリー!$B$12)</f>
        <v>0</v>
      </c>
      <c r="E536" s="27">
        <f t="shared" si="16"/>
        <v>0</v>
      </c>
      <c r="I536" s="30"/>
      <c r="J536" s="30"/>
      <c r="K536" s="30"/>
      <c r="L536" s="30"/>
      <c r="M536" s="30"/>
      <c r="N536" s="30"/>
      <c r="O536" s="30"/>
      <c r="P536" s="30"/>
      <c r="Q536" s="31"/>
      <c r="R536" s="31"/>
      <c r="S536" s="31"/>
      <c r="T536" s="32"/>
      <c r="U536" s="32"/>
      <c r="V536" s="32"/>
      <c r="W536" s="32"/>
      <c r="X536" s="32"/>
      <c r="Y536" s="33"/>
      <c r="Z536" s="33"/>
      <c r="AA536" s="33"/>
    </row>
    <row r="537" spans="1:27">
      <c r="A537" s="29"/>
      <c r="B537" s="19">
        <f t="shared" si="17"/>
        <v>46327</v>
      </c>
      <c r="C537" s="27">
        <f>I537+J537+K537+L537+M537+N537+O537+P537+IF(Q537="",0,Q537*サマリー!$B$9)+IF(R537="",0,IF(R537=200,サマリー!$B$10,IF(R537=100,サマリー!$B$11,0)))+IF(S537="",0,S537*サマリー!$B$12)</f>
        <v>0</v>
      </c>
      <c r="D537" s="27">
        <f>T537+U537+V537+W537+X537+IF(Y537="",0,Y537*サマリー!$B$9)+IF(Z537="",0,IF(Z537=200,サマリー!$B$10,IF(Z537=100,サマリー!$B$11,0)))+IF(AA537="",0,AA537*サマリー!$B$12)</f>
        <v>0</v>
      </c>
      <c r="E537" s="27">
        <f t="shared" si="16"/>
        <v>0</v>
      </c>
      <c r="I537" s="30"/>
      <c r="J537" s="30"/>
      <c r="K537" s="30"/>
      <c r="L537" s="30"/>
      <c r="M537" s="30"/>
      <c r="N537" s="30"/>
      <c r="O537" s="30"/>
      <c r="P537" s="30"/>
      <c r="Q537" s="31"/>
      <c r="R537" s="31"/>
      <c r="S537" s="31"/>
      <c r="T537" s="32"/>
      <c r="U537" s="32"/>
      <c r="V537" s="32"/>
      <c r="W537" s="32"/>
      <c r="X537" s="32"/>
      <c r="Y537" s="33"/>
      <c r="Z537" s="33"/>
      <c r="AA537" s="33"/>
    </row>
    <row r="538" spans="1:27">
      <c r="A538" s="29"/>
      <c r="B538" s="19">
        <f t="shared" si="17"/>
        <v>46327</v>
      </c>
      <c r="C538" s="27">
        <f>I538+J538+K538+L538+M538+N538+O538+P538+IF(Q538="",0,Q538*サマリー!$B$9)+IF(R538="",0,IF(R538=200,サマリー!$B$10,IF(R538=100,サマリー!$B$11,0)))+IF(S538="",0,S538*サマリー!$B$12)</f>
        <v>0</v>
      </c>
      <c r="D538" s="27">
        <f>T538+U538+V538+W538+X538+IF(Y538="",0,Y538*サマリー!$B$9)+IF(Z538="",0,IF(Z538=200,サマリー!$B$10,IF(Z538=100,サマリー!$B$11,0)))+IF(AA538="",0,AA538*サマリー!$B$12)</f>
        <v>0</v>
      </c>
      <c r="E538" s="27">
        <f t="shared" si="16"/>
        <v>0</v>
      </c>
      <c r="I538" s="30"/>
      <c r="J538" s="30"/>
      <c r="K538" s="30"/>
      <c r="L538" s="30"/>
      <c r="M538" s="30"/>
      <c r="N538" s="30"/>
      <c r="O538" s="30"/>
      <c r="P538" s="30"/>
      <c r="Q538" s="31"/>
      <c r="R538" s="31"/>
      <c r="S538" s="31"/>
      <c r="T538" s="32"/>
      <c r="U538" s="32"/>
      <c r="V538" s="32"/>
      <c r="W538" s="32"/>
      <c r="X538" s="32"/>
      <c r="Y538" s="33"/>
      <c r="Z538" s="33"/>
      <c r="AA538" s="33"/>
    </row>
    <row r="539" spans="1:27">
      <c r="A539" s="29"/>
      <c r="B539" s="19">
        <f t="shared" si="17"/>
        <v>46327</v>
      </c>
      <c r="C539" s="27">
        <f>I539+J539+K539+L539+M539+N539+O539+P539+IF(Q539="",0,Q539*サマリー!$B$9)+IF(R539="",0,IF(R539=200,サマリー!$B$10,IF(R539=100,サマリー!$B$11,0)))+IF(S539="",0,S539*サマリー!$B$12)</f>
        <v>0</v>
      </c>
      <c r="D539" s="27">
        <f>T539+U539+V539+W539+X539+IF(Y539="",0,Y539*サマリー!$B$9)+IF(Z539="",0,IF(Z539=200,サマリー!$B$10,IF(Z539=100,サマリー!$B$11,0)))+IF(AA539="",0,AA539*サマリー!$B$12)</f>
        <v>0</v>
      </c>
      <c r="E539" s="27">
        <f t="shared" si="16"/>
        <v>0</v>
      </c>
      <c r="I539" s="30"/>
      <c r="J539" s="30"/>
      <c r="K539" s="30"/>
      <c r="L539" s="30"/>
      <c r="M539" s="30"/>
      <c r="N539" s="30"/>
      <c r="O539" s="30"/>
      <c r="P539" s="30"/>
      <c r="Q539" s="31"/>
      <c r="R539" s="31"/>
      <c r="S539" s="31"/>
      <c r="T539" s="32"/>
      <c r="U539" s="32"/>
      <c r="V539" s="32"/>
      <c r="W539" s="32"/>
      <c r="X539" s="32"/>
      <c r="Y539" s="33"/>
      <c r="Z539" s="33"/>
      <c r="AA539" s="33"/>
    </row>
    <row r="540" spans="1:27">
      <c r="A540" s="29"/>
      <c r="B540" s="19">
        <f t="shared" si="17"/>
        <v>46327</v>
      </c>
      <c r="C540" s="27">
        <f>I540+J540+K540+L540+M540+N540+O540+P540+IF(Q540="",0,Q540*サマリー!$B$9)+IF(R540="",0,IF(R540=200,サマリー!$B$10,IF(R540=100,サマリー!$B$11,0)))+IF(S540="",0,S540*サマリー!$B$12)</f>
        <v>0</v>
      </c>
      <c r="D540" s="27">
        <f>T540+U540+V540+W540+X540+IF(Y540="",0,Y540*サマリー!$B$9)+IF(Z540="",0,IF(Z540=200,サマリー!$B$10,IF(Z540=100,サマリー!$B$11,0)))+IF(AA540="",0,AA540*サマリー!$B$12)</f>
        <v>0</v>
      </c>
      <c r="E540" s="27">
        <f t="shared" si="16"/>
        <v>0</v>
      </c>
      <c r="I540" s="30"/>
      <c r="J540" s="30"/>
      <c r="K540" s="30"/>
      <c r="L540" s="30"/>
      <c r="M540" s="30"/>
      <c r="N540" s="30"/>
      <c r="O540" s="30"/>
      <c r="P540" s="30"/>
      <c r="Q540" s="31"/>
      <c r="R540" s="31"/>
      <c r="S540" s="31"/>
      <c r="T540" s="32"/>
      <c r="U540" s="32"/>
      <c r="V540" s="32"/>
      <c r="W540" s="32"/>
      <c r="X540" s="32"/>
      <c r="Y540" s="33"/>
      <c r="Z540" s="33"/>
      <c r="AA540" s="33"/>
    </row>
    <row r="541" spans="1:27">
      <c r="A541" s="29"/>
      <c r="B541" s="19">
        <f t="shared" si="17"/>
        <v>46327</v>
      </c>
      <c r="C541" s="27">
        <f>I541+J541+K541+L541+M541+N541+O541+P541+IF(Q541="",0,Q541*サマリー!$B$9)+IF(R541="",0,IF(R541=200,サマリー!$B$10,IF(R541=100,サマリー!$B$11,0)))+IF(S541="",0,S541*サマリー!$B$12)</f>
        <v>0</v>
      </c>
      <c r="D541" s="27">
        <f>T541+U541+V541+W541+X541+IF(Y541="",0,Y541*サマリー!$B$9)+IF(Z541="",0,IF(Z541=200,サマリー!$B$10,IF(Z541=100,サマリー!$B$11,0)))+IF(AA541="",0,AA541*サマリー!$B$12)</f>
        <v>0</v>
      </c>
      <c r="E541" s="27">
        <f t="shared" si="16"/>
        <v>0</v>
      </c>
      <c r="I541" s="30"/>
      <c r="J541" s="30"/>
      <c r="K541" s="30"/>
      <c r="L541" s="30"/>
      <c r="M541" s="30"/>
      <c r="N541" s="30"/>
      <c r="O541" s="30"/>
      <c r="P541" s="30"/>
      <c r="Q541" s="31"/>
      <c r="R541" s="31"/>
      <c r="S541" s="31"/>
      <c r="T541" s="32"/>
      <c r="U541" s="32"/>
      <c r="V541" s="32"/>
      <c r="W541" s="32"/>
      <c r="X541" s="32"/>
      <c r="Y541" s="33"/>
      <c r="Z541" s="33"/>
      <c r="AA541" s="33"/>
    </row>
    <row r="542" spans="1:27">
      <c r="A542" s="29"/>
      <c r="B542" s="19">
        <f t="shared" si="17"/>
        <v>46327</v>
      </c>
      <c r="C542" s="27">
        <f>I542+J542+K542+L542+M542+N542+O542+P542+IF(Q542="",0,Q542*サマリー!$B$9)+IF(R542="",0,IF(R542=200,サマリー!$B$10,IF(R542=100,サマリー!$B$11,0)))+IF(S542="",0,S542*サマリー!$B$12)</f>
        <v>0</v>
      </c>
      <c r="D542" s="27">
        <f>T542+U542+V542+W542+X542+IF(Y542="",0,Y542*サマリー!$B$9)+IF(Z542="",0,IF(Z542=200,サマリー!$B$10,IF(Z542=100,サマリー!$B$11,0)))+IF(AA542="",0,AA542*サマリー!$B$12)</f>
        <v>0</v>
      </c>
      <c r="E542" s="27">
        <f t="shared" si="16"/>
        <v>0</v>
      </c>
      <c r="I542" s="30"/>
      <c r="J542" s="30"/>
      <c r="K542" s="30"/>
      <c r="L542" s="30"/>
      <c r="M542" s="30"/>
      <c r="N542" s="30"/>
      <c r="O542" s="30"/>
      <c r="P542" s="30"/>
      <c r="Q542" s="31"/>
      <c r="R542" s="31"/>
      <c r="S542" s="31"/>
      <c r="T542" s="32"/>
      <c r="U542" s="32"/>
      <c r="V542" s="32"/>
      <c r="W542" s="32"/>
      <c r="X542" s="32"/>
      <c r="Y542" s="33"/>
      <c r="Z542" s="33"/>
      <c r="AA542" s="33"/>
    </row>
    <row r="543" spans="1:27">
      <c r="A543" s="29"/>
      <c r="B543" s="19">
        <f t="shared" si="17"/>
        <v>46327</v>
      </c>
      <c r="C543" s="27">
        <f>I543+J543+K543+L543+M543+N543+O543+P543+IF(Q543="",0,Q543*サマリー!$B$9)+IF(R543="",0,IF(R543=200,サマリー!$B$10,IF(R543=100,サマリー!$B$11,0)))+IF(S543="",0,S543*サマリー!$B$12)</f>
        <v>0</v>
      </c>
      <c r="D543" s="27">
        <f>T543+U543+V543+W543+X543+IF(Y543="",0,Y543*サマリー!$B$9)+IF(Z543="",0,IF(Z543=200,サマリー!$B$10,IF(Z543=100,サマリー!$B$11,0)))+IF(AA543="",0,AA543*サマリー!$B$12)</f>
        <v>0</v>
      </c>
      <c r="E543" s="27">
        <f t="shared" si="16"/>
        <v>0</v>
      </c>
      <c r="I543" s="30"/>
      <c r="J543" s="30"/>
      <c r="K543" s="30"/>
      <c r="L543" s="30"/>
      <c r="M543" s="30"/>
      <c r="N543" s="30"/>
      <c r="O543" s="30"/>
      <c r="P543" s="30"/>
      <c r="Q543" s="31"/>
      <c r="R543" s="31"/>
      <c r="S543" s="31"/>
      <c r="T543" s="32"/>
      <c r="U543" s="32"/>
      <c r="V543" s="32"/>
      <c r="W543" s="32"/>
      <c r="X543" s="32"/>
      <c r="Y543" s="33"/>
      <c r="Z543" s="33"/>
      <c r="AA543" s="33"/>
    </row>
    <row r="544" spans="1:27">
      <c r="A544" s="29"/>
      <c r="B544" s="19">
        <f t="shared" si="17"/>
        <v>46327</v>
      </c>
      <c r="C544" s="27">
        <f>I544+J544+K544+L544+M544+N544+O544+P544+IF(Q544="",0,Q544*サマリー!$B$9)+IF(R544="",0,IF(R544=200,サマリー!$B$10,IF(R544=100,サマリー!$B$11,0)))+IF(S544="",0,S544*サマリー!$B$12)</f>
        <v>0</v>
      </c>
      <c r="D544" s="27">
        <f>T544+U544+V544+W544+X544+IF(Y544="",0,Y544*サマリー!$B$9)+IF(Z544="",0,IF(Z544=200,サマリー!$B$10,IF(Z544=100,サマリー!$B$11,0)))+IF(AA544="",0,AA544*サマリー!$B$12)</f>
        <v>0</v>
      </c>
      <c r="E544" s="27">
        <f t="shared" si="16"/>
        <v>0</v>
      </c>
      <c r="I544" s="30"/>
      <c r="J544" s="30"/>
      <c r="K544" s="30"/>
      <c r="L544" s="30"/>
      <c r="M544" s="30"/>
      <c r="N544" s="30"/>
      <c r="O544" s="30"/>
      <c r="P544" s="30"/>
      <c r="Q544" s="31"/>
      <c r="R544" s="31"/>
      <c r="S544" s="31"/>
      <c r="T544" s="32"/>
      <c r="U544" s="32"/>
      <c r="V544" s="32"/>
      <c r="W544" s="32"/>
      <c r="X544" s="32"/>
      <c r="Y544" s="33"/>
      <c r="Z544" s="33"/>
      <c r="AA544" s="33"/>
    </row>
    <row r="545" spans="1:27">
      <c r="A545" s="29"/>
      <c r="B545" s="19">
        <f t="shared" si="17"/>
        <v>46327</v>
      </c>
      <c r="C545" s="27">
        <f>I545+J545+K545+L545+M545+N545+O545+P545+IF(Q545="",0,Q545*サマリー!$B$9)+IF(R545="",0,IF(R545=200,サマリー!$B$10,IF(R545=100,サマリー!$B$11,0)))+IF(S545="",0,S545*サマリー!$B$12)</f>
        <v>0</v>
      </c>
      <c r="D545" s="27">
        <f>T545+U545+V545+W545+X545+IF(Y545="",0,Y545*サマリー!$B$9)+IF(Z545="",0,IF(Z545=200,サマリー!$B$10,IF(Z545=100,サマリー!$B$11,0)))+IF(AA545="",0,AA545*サマリー!$B$12)</f>
        <v>0</v>
      </c>
      <c r="E545" s="27">
        <f t="shared" si="16"/>
        <v>0</v>
      </c>
      <c r="I545" s="30"/>
      <c r="J545" s="30"/>
      <c r="K545" s="30"/>
      <c r="L545" s="30"/>
      <c r="M545" s="30"/>
      <c r="N545" s="30"/>
      <c r="O545" s="30"/>
      <c r="P545" s="30"/>
      <c r="Q545" s="31"/>
      <c r="R545" s="31"/>
      <c r="S545" s="31"/>
      <c r="T545" s="32"/>
      <c r="U545" s="32"/>
      <c r="V545" s="32"/>
      <c r="W545" s="32"/>
      <c r="X545" s="32"/>
      <c r="Y545" s="33"/>
      <c r="Z545" s="33"/>
      <c r="AA545" s="33"/>
    </row>
    <row r="546" spans="1:27">
      <c r="A546" s="29"/>
      <c r="B546" s="19">
        <f t="shared" si="17"/>
        <v>46327</v>
      </c>
      <c r="C546" s="27">
        <f>I546+J546+K546+L546+M546+N546+O546+P546+IF(Q546="",0,Q546*サマリー!$B$9)+IF(R546="",0,IF(R546=200,サマリー!$B$10,IF(R546=100,サマリー!$B$11,0)))+IF(S546="",0,S546*サマリー!$B$12)</f>
        <v>0</v>
      </c>
      <c r="D546" s="27">
        <f>T546+U546+V546+W546+X546+IF(Y546="",0,Y546*サマリー!$B$9)+IF(Z546="",0,IF(Z546=200,サマリー!$B$10,IF(Z546=100,サマリー!$B$11,0)))+IF(AA546="",0,AA546*サマリー!$B$12)</f>
        <v>0</v>
      </c>
      <c r="E546" s="27">
        <f t="shared" si="16"/>
        <v>0</v>
      </c>
      <c r="I546" s="30"/>
      <c r="J546" s="30"/>
      <c r="K546" s="30"/>
      <c r="L546" s="30"/>
      <c r="M546" s="30"/>
      <c r="N546" s="30"/>
      <c r="O546" s="30"/>
      <c r="P546" s="30"/>
      <c r="Q546" s="31"/>
      <c r="R546" s="31"/>
      <c r="S546" s="31"/>
      <c r="T546" s="32"/>
      <c r="U546" s="32"/>
      <c r="V546" s="32"/>
      <c r="W546" s="32"/>
      <c r="X546" s="32"/>
      <c r="Y546" s="33"/>
      <c r="Z546" s="33"/>
      <c r="AA546" s="33"/>
    </row>
    <row r="547" spans="1:27">
      <c r="A547" s="29"/>
      <c r="B547" s="19">
        <f t="shared" si="17"/>
        <v>46327</v>
      </c>
      <c r="C547" s="27">
        <f>I547+J547+K547+L547+M547+N547+O547+P547+IF(Q547="",0,Q547*サマリー!$B$9)+IF(R547="",0,IF(R547=200,サマリー!$B$10,IF(R547=100,サマリー!$B$11,0)))+IF(S547="",0,S547*サマリー!$B$12)</f>
        <v>0</v>
      </c>
      <c r="D547" s="27">
        <f>T547+U547+V547+W547+X547+IF(Y547="",0,Y547*サマリー!$B$9)+IF(Z547="",0,IF(Z547=200,サマリー!$B$10,IF(Z547=100,サマリー!$B$11,0)))+IF(AA547="",0,AA547*サマリー!$B$12)</f>
        <v>0</v>
      </c>
      <c r="E547" s="27">
        <f t="shared" si="16"/>
        <v>0</v>
      </c>
      <c r="I547" s="30"/>
      <c r="J547" s="30"/>
      <c r="K547" s="30"/>
      <c r="L547" s="30"/>
      <c r="M547" s="30"/>
      <c r="N547" s="30"/>
      <c r="O547" s="30"/>
      <c r="P547" s="30"/>
      <c r="Q547" s="31"/>
      <c r="R547" s="31"/>
      <c r="S547" s="31"/>
      <c r="T547" s="32"/>
      <c r="U547" s="32"/>
      <c r="V547" s="32"/>
      <c r="W547" s="32"/>
      <c r="X547" s="32"/>
      <c r="Y547" s="33"/>
      <c r="Z547" s="33"/>
      <c r="AA547" s="33"/>
    </row>
    <row r="548" spans="1:27">
      <c r="A548" s="29"/>
      <c r="B548" s="19">
        <f t="shared" si="17"/>
        <v>46327</v>
      </c>
      <c r="C548" s="27">
        <f>I548+J548+K548+L548+M548+N548+O548+P548+IF(Q548="",0,Q548*サマリー!$B$9)+IF(R548="",0,IF(R548=200,サマリー!$B$10,IF(R548=100,サマリー!$B$11,0)))+IF(S548="",0,S548*サマリー!$B$12)</f>
        <v>0</v>
      </c>
      <c r="D548" s="27">
        <f>T548+U548+V548+W548+X548+IF(Y548="",0,Y548*サマリー!$B$9)+IF(Z548="",0,IF(Z548=200,サマリー!$B$10,IF(Z548=100,サマリー!$B$11,0)))+IF(AA548="",0,AA548*サマリー!$B$12)</f>
        <v>0</v>
      </c>
      <c r="E548" s="27">
        <f t="shared" si="16"/>
        <v>0</v>
      </c>
      <c r="I548" s="30"/>
      <c r="J548" s="30"/>
      <c r="K548" s="30"/>
      <c r="L548" s="30"/>
      <c r="M548" s="30"/>
      <c r="N548" s="30"/>
      <c r="O548" s="30"/>
      <c r="P548" s="30"/>
      <c r="Q548" s="31"/>
      <c r="R548" s="31"/>
      <c r="S548" s="31"/>
      <c r="T548" s="32"/>
      <c r="U548" s="32"/>
      <c r="V548" s="32"/>
      <c r="W548" s="32"/>
      <c r="X548" s="32"/>
      <c r="Y548" s="33"/>
      <c r="Z548" s="33"/>
      <c r="AA548" s="33"/>
    </row>
    <row r="549" spans="1:27">
      <c r="A549" s="29"/>
      <c r="B549" s="19">
        <f t="shared" si="17"/>
        <v>46327</v>
      </c>
      <c r="C549" s="27">
        <f>I549+J549+K549+L549+M549+N549+O549+P549+IF(Q549="",0,Q549*サマリー!$B$9)+IF(R549="",0,IF(R549=200,サマリー!$B$10,IF(R549=100,サマリー!$B$11,0)))+IF(S549="",0,S549*サマリー!$B$12)</f>
        <v>0</v>
      </c>
      <c r="D549" s="27">
        <f>T549+U549+V549+W549+X549+IF(Y549="",0,Y549*サマリー!$B$9)+IF(Z549="",0,IF(Z549=200,サマリー!$B$10,IF(Z549=100,サマリー!$B$11,0)))+IF(AA549="",0,AA549*サマリー!$B$12)</f>
        <v>0</v>
      </c>
      <c r="E549" s="27">
        <f t="shared" si="16"/>
        <v>0</v>
      </c>
      <c r="I549" s="30"/>
      <c r="J549" s="30"/>
      <c r="K549" s="30"/>
      <c r="L549" s="30"/>
      <c r="M549" s="30"/>
      <c r="N549" s="30"/>
      <c r="O549" s="30"/>
      <c r="P549" s="30"/>
      <c r="Q549" s="31"/>
      <c r="R549" s="31"/>
      <c r="S549" s="31"/>
      <c r="T549" s="32"/>
      <c r="U549" s="32"/>
      <c r="V549" s="32"/>
      <c r="W549" s="32"/>
      <c r="X549" s="32"/>
      <c r="Y549" s="33"/>
      <c r="Z549" s="33"/>
      <c r="AA549" s="33"/>
    </row>
    <row r="550" spans="1:27">
      <c r="A550" s="29"/>
      <c r="B550" s="19">
        <f t="shared" si="17"/>
        <v>46327</v>
      </c>
      <c r="C550" s="27">
        <f>I550+J550+K550+L550+M550+N550+O550+P550+IF(Q550="",0,Q550*サマリー!$B$9)+IF(R550="",0,IF(R550=200,サマリー!$B$10,IF(R550=100,サマリー!$B$11,0)))+IF(S550="",0,S550*サマリー!$B$12)</f>
        <v>0</v>
      </c>
      <c r="D550" s="27">
        <f>T550+U550+V550+W550+X550+IF(Y550="",0,Y550*サマリー!$B$9)+IF(Z550="",0,IF(Z550=200,サマリー!$B$10,IF(Z550=100,サマリー!$B$11,0)))+IF(AA550="",0,AA550*サマリー!$B$12)</f>
        <v>0</v>
      </c>
      <c r="E550" s="27">
        <f t="shared" si="16"/>
        <v>0</v>
      </c>
      <c r="I550" s="30"/>
      <c r="J550" s="30"/>
      <c r="K550" s="30"/>
      <c r="L550" s="30"/>
      <c r="M550" s="30"/>
      <c r="N550" s="30"/>
      <c r="O550" s="30"/>
      <c r="P550" s="30"/>
      <c r="Q550" s="31"/>
      <c r="R550" s="31"/>
      <c r="S550" s="31"/>
      <c r="T550" s="32"/>
      <c r="U550" s="32"/>
      <c r="V550" s="32"/>
      <c r="W550" s="32"/>
      <c r="X550" s="32"/>
      <c r="Y550" s="33"/>
      <c r="Z550" s="33"/>
      <c r="AA550" s="33"/>
    </row>
    <row r="551" spans="1:27">
      <c r="A551" s="29"/>
      <c r="B551" s="19">
        <f t="shared" si="17"/>
        <v>46327</v>
      </c>
      <c r="C551" s="27">
        <f>I551+J551+K551+L551+M551+N551+O551+P551+IF(Q551="",0,Q551*サマリー!$B$9)+IF(R551="",0,IF(R551=200,サマリー!$B$10,IF(R551=100,サマリー!$B$11,0)))+IF(S551="",0,S551*サマリー!$B$12)</f>
        <v>0</v>
      </c>
      <c r="D551" s="27">
        <f>T551+U551+V551+W551+X551+IF(Y551="",0,Y551*サマリー!$B$9)+IF(Z551="",0,IF(Z551=200,サマリー!$B$10,IF(Z551=100,サマリー!$B$11,0)))+IF(AA551="",0,AA551*サマリー!$B$12)</f>
        <v>0</v>
      </c>
      <c r="E551" s="27">
        <f t="shared" si="16"/>
        <v>0</v>
      </c>
      <c r="I551" s="30"/>
      <c r="J551" s="30"/>
      <c r="K551" s="30"/>
      <c r="L551" s="30"/>
      <c r="M551" s="30"/>
      <c r="N551" s="30"/>
      <c r="O551" s="30"/>
      <c r="P551" s="30"/>
      <c r="Q551" s="31"/>
      <c r="R551" s="31"/>
      <c r="S551" s="31"/>
      <c r="T551" s="32"/>
      <c r="U551" s="32"/>
      <c r="V551" s="32"/>
      <c r="W551" s="32"/>
      <c r="X551" s="32"/>
      <c r="Y551" s="33"/>
      <c r="Z551" s="33"/>
      <c r="AA551" s="33"/>
    </row>
    <row r="552" spans="1:27">
      <c r="A552" s="29"/>
      <c r="B552" s="19">
        <f t="shared" si="17"/>
        <v>46327</v>
      </c>
      <c r="C552" s="27">
        <f>I552+J552+K552+L552+M552+N552+O552+P552+IF(Q552="",0,Q552*サマリー!$B$9)+IF(R552="",0,IF(R552=200,サマリー!$B$10,IF(R552=100,サマリー!$B$11,0)))+IF(S552="",0,S552*サマリー!$B$12)</f>
        <v>0</v>
      </c>
      <c r="D552" s="27">
        <f>T552+U552+V552+W552+X552+IF(Y552="",0,Y552*サマリー!$B$9)+IF(Z552="",0,IF(Z552=200,サマリー!$B$10,IF(Z552=100,サマリー!$B$11,0)))+IF(AA552="",0,AA552*サマリー!$B$12)</f>
        <v>0</v>
      </c>
      <c r="E552" s="27">
        <f t="shared" si="16"/>
        <v>0</v>
      </c>
      <c r="I552" s="30"/>
      <c r="J552" s="30"/>
      <c r="K552" s="30"/>
      <c r="L552" s="30"/>
      <c r="M552" s="30"/>
      <c r="N552" s="30"/>
      <c r="O552" s="30"/>
      <c r="P552" s="30"/>
      <c r="Q552" s="31"/>
      <c r="R552" s="31"/>
      <c r="S552" s="31"/>
      <c r="T552" s="32"/>
      <c r="U552" s="32"/>
      <c r="V552" s="32"/>
      <c r="W552" s="32"/>
      <c r="X552" s="32"/>
      <c r="Y552" s="33"/>
      <c r="Z552" s="33"/>
      <c r="AA552" s="33"/>
    </row>
    <row r="553" spans="1:27">
      <c r="A553" s="29"/>
      <c r="B553" s="19">
        <f t="shared" si="17"/>
        <v>46327</v>
      </c>
      <c r="C553" s="27">
        <f>I553+J553+K553+L553+M553+N553+O553+P553+IF(Q553="",0,Q553*サマリー!$B$9)+IF(R553="",0,IF(R553=200,サマリー!$B$10,IF(R553=100,サマリー!$B$11,0)))+IF(S553="",0,S553*サマリー!$B$12)</f>
        <v>0</v>
      </c>
      <c r="D553" s="27">
        <f>T553+U553+V553+W553+X553+IF(Y553="",0,Y553*サマリー!$B$9)+IF(Z553="",0,IF(Z553=200,サマリー!$B$10,IF(Z553=100,サマリー!$B$11,0)))+IF(AA553="",0,AA553*サマリー!$B$12)</f>
        <v>0</v>
      </c>
      <c r="E553" s="27">
        <f t="shared" si="16"/>
        <v>0</v>
      </c>
      <c r="I553" s="30"/>
      <c r="J553" s="30"/>
      <c r="K553" s="30"/>
      <c r="L553" s="30"/>
      <c r="M553" s="30"/>
      <c r="N553" s="30"/>
      <c r="O553" s="30"/>
      <c r="P553" s="30"/>
      <c r="Q553" s="31"/>
      <c r="R553" s="31"/>
      <c r="S553" s="31"/>
      <c r="T553" s="32"/>
      <c r="U553" s="32"/>
      <c r="V553" s="32"/>
      <c r="W553" s="32"/>
      <c r="X553" s="32"/>
      <c r="Y553" s="33"/>
      <c r="Z553" s="33"/>
      <c r="AA553" s="33"/>
    </row>
    <row r="554" spans="1:27">
      <c r="A554" s="29"/>
      <c r="B554" s="19">
        <f t="shared" si="17"/>
        <v>46327</v>
      </c>
      <c r="C554" s="27">
        <f>I554+J554+K554+L554+M554+N554+O554+P554+IF(Q554="",0,Q554*サマリー!$B$9)+IF(R554="",0,IF(R554=200,サマリー!$B$10,IF(R554=100,サマリー!$B$11,0)))+IF(S554="",0,S554*サマリー!$B$12)</f>
        <v>0</v>
      </c>
      <c r="D554" s="27">
        <f>T554+U554+V554+W554+X554+IF(Y554="",0,Y554*サマリー!$B$9)+IF(Z554="",0,IF(Z554=200,サマリー!$B$10,IF(Z554=100,サマリー!$B$11,0)))+IF(AA554="",0,AA554*サマリー!$B$12)</f>
        <v>0</v>
      </c>
      <c r="E554" s="27">
        <f t="shared" si="16"/>
        <v>0</v>
      </c>
      <c r="I554" s="30"/>
      <c r="J554" s="30"/>
      <c r="K554" s="30"/>
      <c r="L554" s="30"/>
      <c r="M554" s="30"/>
      <c r="N554" s="30"/>
      <c r="O554" s="30"/>
      <c r="P554" s="30"/>
      <c r="Q554" s="31"/>
      <c r="R554" s="31"/>
      <c r="S554" s="31"/>
      <c r="T554" s="32"/>
      <c r="U554" s="32"/>
      <c r="V554" s="32"/>
      <c r="W554" s="32"/>
      <c r="X554" s="32"/>
      <c r="Y554" s="33"/>
      <c r="Z554" s="33"/>
      <c r="AA554" s="33"/>
    </row>
    <row r="555" spans="1:27">
      <c r="A555" s="29"/>
      <c r="B555" s="19">
        <f t="shared" si="17"/>
        <v>46327</v>
      </c>
      <c r="C555" s="27">
        <f>I555+J555+K555+L555+M555+N555+O555+P555+IF(Q555="",0,Q555*サマリー!$B$9)+IF(R555="",0,IF(R555=200,サマリー!$B$10,IF(R555=100,サマリー!$B$11,0)))+IF(S555="",0,S555*サマリー!$B$12)</f>
        <v>0</v>
      </c>
      <c r="D555" s="27">
        <f>T555+U555+V555+W555+X555+IF(Y555="",0,Y555*サマリー!$B$9)+IF(Z555="",0,IF(Z555=200,サマリー!$B$10,IF(Z555=100,サマリー!$B$11,0)))+IF(AA555="",0,AA555*サマリー!$B$12)</f>
        <v>0</v>
      </c>
      <c r="E555" s="27">
        <f t="shared" si="16"/>
        <v>0</v>
      </c>
      <c r="I555" s="30"/>
      <c r="J555" s="30"/>
      <c r="K555" s="30"/>
      <c r="L555" s="30"/>
      <c r="M555" s="30"/>
      <c r="N555" s="30"/>
      <c r="O555" s="30"/>
      <c r="P555" s="30"/>
      <c r="Q555" s="31"/>
      <c r="R555" s="31"/>
      <c r="S555" s="31"/>
      <c r="T555" s="32"/>
      <c r="U555" s="32"/>
      <c r="V555" s="32"/>
      <c r="W555" s="32"/>
      <c r="X555" s="32"/>
      <c r="Y555" s="33"/>
      <c r="Z555" s="33"/>
      <c r="AA555" s="33"/>
    </row>
    <row r="556" spans="1:27">
      <c r="A556" s="29"/>
      <c r="B556" s="19">
        <f t="shared" si="17"/>
        <v>46327</v>
      </c>
      <c r="C556" s="27">
        <f>I556+J556+K556+L556+M556+N556+O556+P556+IF(Q556="",0,Q556*サマリー!$B$9)+IF(R556="",0,IF(R556=200,サマリー!$B$10,IF(R556=100,サマリー!$B$11,0)))+IF(S556="",0,S556*サマリー!$B$12)</f>
        <v>0</v>
      </c>
      <c r="D556" s="27">
        <f>T556+U556+V556+W556+X556+IF(Y556="",0,Y556*サマリー!$B$9)+IF(Z556="",0,IF(Z556=200,サマリー!$B$10,IF(Z556=100,サマリー!$B$11,0)))+IF(AA556="",0,AA556*サマリー!$B$12)</f>
        <v>0</v>
      </c>
      <c r="E556" s="27">
        <f t="shared" si="16"/>
        <v>0</v>
      </c>
      <c r="I556" s="30"/>
      <c r="J556" s="30"/>
      <c r="K556" s="30"/>
      <c r="L556" s="30"/>
      <c r="M556" s="30"/>
      <c r="N556" s="30"/>
      <c r="O556" s="30"/>
      <c r="P556" s="30"/>
      <c r="Q556" s="31"/>
      <c r="R556" s="31"/>
      <c r="S556" s="31"/>
      <c r="T556" s="32"/>
      <c r="U556" s="32"/>
      <c r="V556" s="32"/>
      <c r="W556" s="32"/>
      <c r="X556" s="32"/>
      <c r="Y556" s="33"/>
      <c r="Z556" s="33"/>
      <c r="AA556" s="33"/>
    </row>
    <row r="557" spans="1:27">
      <c r="A557" s="29"/>
      <c r="B557" s="19">
        <f t="shared" si="17"/>
        <v>46327</v>
      </c>
      <c r="C557" s="27">
        <f>I557+J557+K557+L557+M557+N557+O557+P557+IF(Q557="",0,Q557*サマリー!$B$9)+IF(R557="",0,IF(R557=200,サマリー!$B$10,IF(R557=100,サマリー!$B$11,0)))+IF(S557="",0,S557*サマリー!$B$12)</f>
        <v>0</v>
      </c>
      <c r="D557" s="27">
        <f>T557+U557+V557+W557+X557+IF(Y557="",0,Y557*サマリー!$B$9)+IF(Z557="",0,IF(Z557=200,サマリー!$B$10,IF(Z557=100,サマリー!$B$11,0)))+IF(AA557="",0,AA557*サマリー!$B$12)</f>
        <v>0</v>
      </c>
      <c r="E557" s="27">
        <f t="shared" si="16"/>
        <v>0</v>
      </c>
      <c r="I557" s="30"/>
      <c r="J557" s="30"/>
      <c r="K557" s="30"/>
      <c r="L557" s="30"/>
      <c r="M557" s="30"/>
      <c r="N557" s="30"/>
      <c r="O557" s="30"/>
      <c r="P557" s="30"/>
      <c r="Q557" s="31"/>
      <c r="R557" s="31"/>
      <c r="S557" s="31"/>
      <c r="T557" s="32"/>
      <c r="U557" s="32"/>
      <c r="V557" s="32"/>
      <c r="W557" s="32"/>
      <c r="X557" s="32"/>
      <c r="Y557" s="33"/>
      <c r="Z557" s="33"/>
      <c r="AA557" s="33"/>
    </row>
    <row r="558" spans="1:27">
      <c r="A558" s="29"/>
      <c r="B558" s="19">
        <f t="shared" si="17"/>
        <v>46327</v>
      </c>
      <c r="C558" s="27">
        <f>I558+J558+K558+L558+M558+N558+O558+P558+IF(Q558="",0,Q558*サマリー!$B$9)+IF(R558="",0,IF(R558=200,サマリー!$B$10,IF(R558=100,サマリー!$B$11,0)))+IF(S558="",0,S558*サマリー!$B$12)</f>
        <v>0</v>
      </c>
      <c r="D558" s="27">
        <f>T558+U558+V558+W558+X558+IF(Y558="",0,Y558*サマリー!$B$9)+IF(Z558="",0,IF(Z558=200,サマリー!$B$10,IF(Z558=100,サマリー!$B$11,0)))+IF(AA558="",0,AA558*サマリー!$B$12)</f>
        <v>0</v>
      </c>
      <c r="E558" s="27">
        <f t="shared" si="16"/>
        <v>0</v>
      </c>
      <c r="I558" s="30"/>
      <c r="J558" s="30"/>
      <c r="K558" s="30"/>
      <c r="L558" s="30"/>
      <c r="M558" s="30"/>
      <c r="N558" s="30"/>
      <c r="O558" s="30"/>
      <c r="P558" s="30"/>
      <c r="Q558" s="31"/>
      <c r="R558" s="31"/>
      <c r="S558" s="31"/>
      <c r="T558" s="32"/>
      <c r="U558" s="32"/>
      <c r="V558" s="32"/>
      <c r="W558" s="32"/>
      <c r="X558" s="32"/>
      <c r="Y558" s="33"/>
      <c r="Z558" s="33"/>
      <c r="AA558" s="33"/>
    </row>
    <row r="559" spans="1:27">
      <c r="A559" s="29"/>
      <c r="B559" s="19">
        <f t="shared" si="17"/>
        <v>46327</v>
      </c>
      <c r="C559" s="27">
        <f>I559+J559+K559+L559+M559+N559+O559+P559+IF(Q559="",0,Q559*サマリー!$B$9)+IF(R559="",0,IF(R559=200,サマリー!$B$10,IF(R559=100,サマリー!$B$11,0)))+IF(S559="",0,S559*サマリー!$B$12)</f>
        <v>0</v>
      </c>
      <c r="D559" s="27">
        <f>T559+U559+V559+W559+X559+IF(Y559="",0,Y559*サマリー!$B$9)+IF(Z559="",0,IF(Z559=200,サマリー!$B$10,IF(Z559=100,サマリー!$B$11,0)))+IF(AA559="",0,AA559*サマリー!$B$12)</f>
        <v>0</v>
      </c>
      <c r="E559" s="27">
        <f t="shared" si="16"/>
        <v>0</v>
      </c>
      <c r="I559" s="30"/>
      <c r="J559" s="30"/>
      <c r="K559" s="30"/>
      <c r="L559" s="30"/>
      <c r="M559" s="30"/>
      <c r="N559" s="30"/>
      <c r="O559" s="30"/>
      <c r="P559" s="30"/>
      <c r="Q559" s="31"/>
      <c r="R559" s="31"/>
      <c r="S559" s="31"/>
      <c r="T559" s="32"/>
      <c r="U559" s="32"/>
      <c r="V559" s="32"/>
      <c r="W559" s="32"/>
      <c r="X559" s="32"/>
      <c r="Y559" s="33"/>
      <c r="Z559" s="33"/>
      <c r="AA559" s="33"/>
    </row>
    <row r="560" spans="1:27">
      <c r="A560" s="29"/>
      <c r="B560" s="19">
        <f t="shared" si="17"/>
        <v>46327</v>
      </c>
      <c r="C560" s="27">
        <f>I560+J560+K560+L560+M560+N560+O560+P560+IF(Q560="",0,Q560*サマリー!$B$9)+IF(R560="",0,IF(R560=200,サマリー!$B$10,IF(R560=100,サマリー!$B$11,0)))+IF(S560="",0,S560*サマリー!$B$12)</f>
        <v>0</v>
      </c>
      <c r="D560" s="27">
        <f>T560+U560+V560+W560+X560+IF(Y560="",0,Y560*サマリー!$B$9)+IF(Z560="",0,IF(Z560=200,サマリー!$B$10,IF(Z560=100,サマリー!$B$11,0)))+IF(AA560="",0,AA560*サマリー!$B$12)</f>
        <v>0</v>
      </c>
      <c r="E560" s="27">
        <f t="shared" si="16"/>
        <v>0</v>
      </c>
      <c r="I560" s="30"/>
      <c r="J560" s="30"/>
      <c r="K560" s="30"/>
      <c r="L560" s="30"/>
      <c r="M560" s="30"/>
      <c r="N560" s="30"/>
      <c r="O560" s="30"/>
      <c r="P560" s="30"/>
      <c r="Q560" s="31"/>
      <c r="R560" s="31"/>
      <c r="S560" s="31"/>
      <c r="T560" s="32"/>
      <c r="U560" s="32"/>
      <c r="V560" s="32"/>
      <c r="W560" s="32"/>
      <c r="X560" s="32"/>
      <c r="Y560" s="33"/>
      <c r="Z560" s="33"/>
      <c r="AA560" s="33"/>
    </row>
    <row r="561" spans="1:27">
      <c r="A561" s="29"/>
      <c r="B561" s="19">
        <f t="shared" si="17"/>
        <v>46327</v>
      </c>
      <c r="C561" s="27">
        <f>I561+J561+K561+L561+M561+N561+O561+P561+IF(Q561="",0,Q561*サマリー!$B$9)+IF(R561="",0,IF(R561=200,サマリー!$B$10,IF(R561=100,サマリー!$B$11,0)))+IF(S561="",0,S561*サマリー!$B$12)</f>
        <v>0</v>
      </c>
      <c r="D561" s="27">
        <f>T561+U561+V561+W561+X561+IF(Y561="",0,Y561*サマリー!$B$9)+IF(Z561="",0,IF(Z561=200,サマリー!$B$10,IF(Z561=100,サマリー!$B$11,0)))+IF(AA561="",0,AA561*サマリー!$B$12)</f>
        <v>0</v>
      </c>
      <c r="E561" s="27">
        <f t="shared" si="16"/>
        <v>0</v>
      </c>
      <c r="I561" s="30"/>
      <c r="J561" s="30"/>
      <c r="K561" s="30"/>
      <c r="L561" s="30"/>
      <c r="M561" s="30"/>
      <c r="N561" s="30"/>
      <c r="O561" s="30"/>
      <c r="P561" s="30"/>
      <c r="Q561" s="31"/>
      <c r="R561" s="31"/>
      <c r="S561" s="31"/>
      <c r="T561" s="32"/>
      <c r="U561" s="32"/>
      <c r="V561" s="32"/>
      <c r="W561" s="32"/>
      <c r="X561" s="32"/>
      <c r="Y561" s="33"/>
      <c r="Z561" s="33"/>
      <c r="AA561" s="33"/>
    </row>
    <row r="562" spans="1:27">
      <c r="A562" s="29"/>
      <c r="B562" s="19">
        <f t="shared" si="17"/>
        <v>46327</v>
      </c>
      <c r="C562" s="27">
        <f>I562+J562+K562+L562+M562+N562+O562+P562+IF(Q562="",0,Q562*サマリー!$B$9)+IF(R562="",0,IF(R562=200,サマリー!$B$10,IF(R562=100,サマリー!$B$11,0)))+IF(S562="",0,S562*サマリー!$B$12)</f>
        <v>0</v>
      </c>
      <c r="D562" s="27">
        <f>T562+U562+V562+W562+X562+IF(Y562="",0,Y562*サマリー!$B$9)+IF(Z562="",0,IF(Z562=200,サマリー!$B$10,IF(Z562=100,サマリー!$B$11,0)))+IF(AA562="",0,AA562*サマリー!$B$12)</f>
        <v>0</v>
      </c>
      <c r="E562" s="27">
        <f t="shared" si="16"/>
        <v>0</v>
      </c>
      <c r="I562" s="30"/>
      <c r="J562" s="30"/>
      <c r="K562" s="30"/>
      <c r="L562" s="30"/>
      <c r="M562" s="30"/>
      <c r="N562" s="30"/>
      <c r="O562" s="30"/>
      <c r="P562" s="30"/>
      <c r="Q562" s="31"/>
      <c r="R562" s="31"/>
      <c r="S562" s="31"/>
      <c r="T562" s="32"/>
      <c r="U562" s="32"/>
      <c r="V562" s="32"/>
      <c r="W562" s="32"/>
      <c r="X562" s="32"/>
      <c r="Y562" s="33"/>
      <c r="Z562" s="33"/>
      <c r="AA562" s="33"/>
    </row>
    <row r="563" spans="1:27">
      <c r="A563" s="29"/>
      <c r="B563" s="19">
        <f t="shared" si="17"/>
        <v>46327</v>
      </c>
      <c r="C563" s="27">
        <f>I563+J563+K563+L563+M563+N563+O563+P563+IF(Q563="",0,Q563*サマリー!$B$9)+IF(R563="",0,IF(R563=200,サマリー!$B$10,IF(R563=100,サマリー!$B$11,0)))+IF(S563="",0,S563*サマリー!$B$12)</f>
        <v>0</v>
      </c>
      <c r="D563" s="27">
        <f>T563+U563+V563+W563+X563+IF(Y563="",0,Y563*サマリー!$B$9)+IF(Z563="",0,IF(Z563=200,サマリー!$B$10,IF(Z563=100,サマリー!$B$11,0)))+IF(AA563="",0,AA563*サマリー!$B$12)</f>
        <v>0</v>
      </c>
      <c r="E563" s="27">
        <f t="shared" si="16"/>
        <v>0</v>
      </c>
      <c r="I563" s="30"/>
      <c r="J563" s="30"/>
      <c r="K563" s="30"/>
      <c r="L563" s="30"/>
      <c r="M563" s="30"/>
      <c r="N563" s="30"/>
      <c r="O563" s="30"/>
      <c r="P563" s="30"/>
      <c r="Q563" s="31"/>
      <c r="R563" s="31"/>
      <c r="S563" s="31"/>
      <c r="T563" s="32"/>
      <c r="U563" s="32"/>
      <c r="V563" s="32"/>
      <c r="W563" s="32"/>
      <c r="X563" s="32"/>
      <c r="Y563" s="33"/>
      <c r="Z563" s="33"/>
      <c r="AA563" s="33"/>
    </row>
    <row r="564" spans="1:27">
      <c r="A564" s="29"/>
      <c r="B564" s="19">
        <f t="shared" si="17"/>
        <v>46327</v>
      </c>
      <c r="C564" s="27">
        <f>I564+J564+K564+L564+M564+N564+O564+P564+IF(Q564="",0,Q564*サマリー!$B$9)+IF(R564="",0,IF(R564=200,サマリー!$B$10,IF(R564=100,サマリー!$B$11,0)))+IF(S564="",0,S564*サマリー!$B$12)</f>
        <v>0</v>
      </c>
      <c r="D564" s="27">
        <f>T564+U564+V564+W564+X564+IF(Y564="",0,Y564*サマリー!$B$9)+IF(Z564="",0,IF(Z564=200,サマリー!$B$10,IF(Z564=100,サマリー!$B$11,0)))+IF(AA564="",0,AA564*サマリー!$B$12)</f>
        <v>0</v>
      </c>
      <c r="E564" s="27">
        <f t="shared" si="16"/>
        <v>0</v>
      </c>
      <c r="I564" s="30"/>
      <c r="J564" s="30"/>
      <c r="K564" s="30"/>
      <c r="L564" s="30"/>
      <c r="M564" s="30"/>
      <c r="N564" s="30"/>
      <c r="O564" s="30"/>
      <c r="P564" s="30"/>
      <c r="Q564" s="31"/>
      <c r="R564" s="31"/>
      <c r="S564" s="31"/>
      <c r="T564" s="32"/>
      <c r="U564" s="32"/>
      <c r="V564" s="32"/>
      <c r="W564" s="32"/>
      <c r="X564" s="32"/>
      <c r="Y564" s="33"/>
      <c r="Z564" s="33"/>
      <c r="AA564" s="33"/>
    </row>
    <row r="565" spans="1:27">
      <c r="A565" s="29"/>
      <c r="B565" s="19">
        <f t="shared" si="17"/>
        <v>46327</v>
      </c>
      <c r="C565" s="27">
        <f>I565+J565+K565+L565+M565+N565+O565+P565+IF(Q565="",0,Q565*サマリー!$B$9)+IF(R565="",0,IF(R565=200,サマリー!$B$10,IF(R565=100,サマリー!$B$11,0)))+IF(S565="",0,S565*サマリー!$B$12)</f>
        <v>0</v>
      </c>
      <c r="D565" s="27">
        <f>T565+U565+V565+W565+X565+IF(Y565="",0,Y565*サマリー!$B$9)+IF(Z565="",0,IF(Z565=200,サマリー!$B$10,IF(Z565=100,サマリー!$B$11,0)))+IF(AA565="",0,AA565*サマリー!$B$12)</f>
        <v>0</v>
      </c>
      <c r="E565" s="27">
        <f t="shared" si="16"/>
        <v>0</v>
      </c>
      <c r="I565" s="30"/>
      <c r="J565" s="30"/>
      <c r="K565" s="30"/>
      <c r="L565" s="30"/>
      <c r="M565" s="30"/>
      <c r="N565" s="30"/>
      <c r="O565" s="30"/>
      <c r="P565" s="30"/>
      <c r="Q565" s="31"/>
      <c r="R565" s="31"/>
      <c r="S565" s="31"/>
      <c r="T565" s="32"/>
      <c r="U565" s="32"/>
      <c r="V565" s="32"/>
      <c r="W565" s="32"/>
      <c r="X565" s="32"/>
      <c r="Y565" s="33"/>
      <c r="Z565" s="33"/>
      <c r="AA565" s="33"/>
    </row>
    <row r="566" spans="1:27">
      <c r="A566" s="29"/>
      <c r="B566" s="19">
        <f t="shared" si="17"/>
        <v>46327</v>
      </c>
      <c r="C566" s="27">
        <f>I566+J566+K566+L566+M566+N566+O566+P566+IF(Q566="",0,Q566*サマリー!$B$9)+IF(R566="",0,IF(R566=200,サマリー!$B$10,IF(R566=100,サマリー!$B$11,0)))+IF(S566="",0,S566*サマリー!$B$12)</f>
        <v>0</v>
      </c>
      <c r="D566" s="27">
        <f>T566+U566+V566+W566+X566+IF(Y566="",0,Y566*サマリー!$B$9)+IF(Z566="",0,IF(Z566=200,サマリー!$B$10,IF(Z566=100,サマリー!$B$11,0)))+IF(AA566="",0,AA566*サマリー!$B$12)</f>
        <v>0</v>
      </c>
      <c r="E566" s="27">
        <f t="shared" si="16"/>
        <v>0</v>
      </c>
      <c r="I566" s="30"/>
      <c r="J566" s="30"/>
      <c r="K566" s="30"/>
      <c r="L566" s="30"/>
      <c r="M566" s="30"/>
      <c r="N566" s="30"/>
      <c r="O566" s="30"/>
      <c r="P566" s="30"/>
      <c r="Q566" s="31"/>
      <c r="R566" s="31"/>
      <c r="S566" s="31"/>
      <c r="T566" s="32"/>
      <c r="U566" s="32"/>
      <c r="V566" s="32"/>
      <c r="W566" s="32"/>
      <c r="X566" s="32"/>
      <c r="Y566" s="33"/>
      <c r="Z566" s="33"/>
      <c r="AA566" s="33"/>
    </row>
    <row r="567" spans="1:27">
      <c r="A567" s="29"/>
      <c r="B567" s="19">
        <f t="shared" si="17"/>
        <v>46327</v>
      </c>
      <c r="C567" s="27">
        <f>I567+J567+K567+L567+M567+N567+O567+P567+IF(Q567="",0,Q567*サマリー!$B$9)+IF(R567="",0,IF(R567=200,サマリー!$B$10,IF(R567=100,サマリー!$B$11,0)))+IF(S567="",0,S567*サマリー!$B$12)</f>
        <v>0</v>
      </c>
      <c r="D567" s="27">
        <f>T567+U567+V567+W567+X567+IF(Y567="",0,Y567*サマリー!$B$9)+IF(Z567="",0,IF(Z567=200,サマリー!$B$10,IF(Z567=100,サマリー!$B$11,0)))+IF(AA567="",0,AA567*サマリー!$B$12)</f>
        <v>0</v>
      </c>
      <c r="E567" s="27">
        <f t="shared" si="16"/>
        <v>0</v>
      </c>
      <c r="I567" s="30"/>
      <c r="J567" s="30"/>
      <c r="K567" s="30"/>
      <c r="L567" s="30"/>
      <c r="M567" s="30"/>
      <c r="N567" s="30"/>
      <c r="O567" s="30"/>
      <c r="P567" s="30"/>
      <c r="Q567" s="31"/>
      <c r="R567" s="31"/>
      <c r="S567" s="31"/>
      <c r="T567" s="32"/>
      <c r="U567" s="32"/>
      <c r="V567" s="32"/>
      <c r="W567" s="32"/>
      <c r="X567" s="32"/>
      <c r="Y567" s="33"/>
      <c r="Z567" s="33"/>
      <c r="AA567" s="33"/>
    </row>
    <row r="568" spans="1:27">
      <c r="A568" s="29"/>
      <c r="B568" s="19">
        <f t="shared" si="17"/>
        <v>46327</v>
      </c>
      <c r="C568" s="27">
        <f>I568+J568+K568+L568+M568+N568+O568+P568+IF(Q568="",0,Q568*サマリー!$B$9)+IF(R568="",0,IF(R568=200,サマリー!$B$10,IF(R568=100,サマリー!$B$11,0)))+IF(S568="",0,S568*サマリー!$B$12)</f>
        <v>0</v>
      </c>
      <c r="D568" s="27">
        <f>T568+U568+V568+W568+X568+IF(Y568="",0,Y568*サマリー!$B$9)+IF(Z568="",0,IF(Z568=200,サマリー!$B$10,IF(Z568=100,サマリー!$B$11,0)))+IF(AA568="",0,AA568*サマリー!$B$12)</f>
        <v>0</v>
      </c>
      <c r="E568" s="27">
        <f t="shared" si="16"/>
        <v>0</v>
      </c>
      <c r="I568" s="30"/>
      <c r="J568" s="30"/>
      <c r="K568" s="30"/>
      <c r="L568" s="30"/>
      <c r="M568" s="30"/>
      <c r="N568" s="30"/>
      <c r="O568" s="30"/>
      <c r="P568" s="30"/>
      <c r="Q568" s="31"/>
      <c r="R568" s="31"/>
      <c r="S568" s="31"/>
      <c r="T568" s="32"/>
      <c r="U568" s="32"/>
      <c r="V568" s="32"/>
      <c r="W568" s="32"/>
      <c r="X568" s="32"/>
      <c r="Y568" s="33"/>
      <c r="Z568" s="33"/>
      <c r="AA568" s="33"/>
    </row>
    <row r="569" spans="1:27">
      <c r="A569" s="29"/>
      <c r="B569" s="19">
        <f t="shared" si="17"/>
        <v>46327</v>
      </c>
      <c r="C569" s="27">
        <f>I569+J569+K569+L569+M569+N569+O569+P569+IF(Q569="",0,Q569*サマリー!$B$9)+IF(R569="",0,IF(R569=200,サマリー!$B$10,IF(R569=100,サマリー!$B$11,0)))+IF(S569="",0,S569*サマリー!$B$12)</f>
        <v>0</v>
      </c>
      <c r="D569" s="27">
        <f>T569+U569+V569+W569+X569+IF(Y569="",0,Y569*サマリー!$B$9)+IF(Z569="",0,IF(Z569=200,サマリー!$B$10,IF(Z569=100,サマリー!$B$11,0)))+IF(AA569="",0,AA569*サマリー!$B$12)</f>
        <v>0</v>
      </c>
      <c r="E569" s="27">
        <f t="shared" si="16"/>
        <v>0</v>
      </c>
      <c r="I569" s="30"/>
      <c r="J569" s="30"/>
      <c r="K569" s="30"/>
      <c r="L569" s="30"/>
      <c r="M569" s="30"/>
      <c r="N569" s="30"/>
      <c r="O569" s="30"/>
      <c r="P569" s="30"/>
      <c r="Q569" s="31"/>
      <c r="R569" s="31"/>
      <c r="S569" s="31"/>
      <c r="T569" s="32"/>
      <c r="U569" s="32"/>
      <c r="V569" s="32"/>
      <c r="W569" s="32"/>
      <c r="X569" s="32"/>
      <c r="Y569" s="33"/>
      <c r="Z569" s="33"/>
      <c r="AA569" s="33"/>
    </row>
    <row r="570" spans="1:27">
      <c r="A570" s="29"/>
      <c r="B570" s="19">
        <f t="shared" si="17"/>
        <v>46327</v>
      </c>
      <c r="C570" s="27">
        <f>I570+J570+K570+L570+M570+N570+O570+P570+IF(Q570="",0,Q570*サマリー!$B$9)+IF(R570="",0,IF(R570=200,サマリー!$B$10,IF(R570=100,サマリー!$B$11,0)))+IF(S570="",0,S570*サマリー!$B$12)</f>
        <v>0</v>
      </c>
      <c r="D570" s="27">
        <f>T570+U570+V570+W570+X570+IF(Y570="",0,Y570*サマリー!$B$9)+IF(Z570="",0,IF(Z570=200,サマリー!$B$10,IF(Z570=100,サマリー!$B$11,0)))+IF(AA570="",0,AA570*サマリー!$B$12)</f>
        <v>0</v>
      </c>
      <c r="E570" s="27">
        <f t="shared" si="16"/>
        <v>0</v>
      </c>
      <c r="I570" s="30"/>
      <c r="J570" s="30"/>
      <c r="K570" s="30"/>
      <c r="L570" s="30"/>
      <c r="M570" s="30"/>
      <c r="N570" s="30"/>
      <c r="O570" s="30"/>
      <c r="P570" s="30"/>
      <c r="Q570" s="31"/>
      <c r="R570" s="31"/>
      <c r="S570" s="31"/>
      <c r="T570" s="32"/>
      <c r="U570" s="32"/>
      <c r="V570" s="32"/>
      <c r="W570" s="32"/>
      <c r="X570" s="32"/>
      <c r="Y570" s="33"/>
      <c r="Z570" s="33"/>
      <c r="AA570" s="33"/>
    </row>
    <row r="571" spans="1:27">
      <c r="A571" s="29"/>
      <c r="B571" s="19">
        <f t="shared" si="17"/>
        <v>46327</v>
      </c>
      <c r="C571" s="27">
        <f>I571+J571+K571+L571+M571+N571+O571+P571+IF(Q571="",0,Q571*サマリー!$B$9)+IF(R571="",0,IF(R571=200,サマリー!$B$10,IF(R571=100,サマリー!$B$11,0)))+IF(S571="",0,S571*サマリー!$B$12)</f>
        <v>0</v>
      </c>
      <c r="D571" s="27">
        <f>T571+U571+V571+W571+X571+IF(Y571="",0,Y571*サマリー!$B$9)+IF(Z571="",0,IF(Z571=200,サマリー!$B$10,IF(Z571=100,サマリー!$B$11,0)))+IF(AA571="",0,AA571*サマリー!$B$12)</f>
        <v>0</v>
      </c>
      <c r="E571" s="27">
        <f t="shared" si="16"/>
        <v>0</v>
      </c>
      <c r="I571" s="30"/>
      <c r="J571" s="30"/>
      <c r="K571" s="30"/>
      <c r="L571" s="30"/>
      <c r="M571" s="30"/>
      <c r="N571" s="30"/>
      <c r="O571" s="30"/>
      <c r="P571" s="30"/>
      <c r="Q571" s="31"/>
      <c r="R571" s="31"/>
      <c r="S571" s="31"/>
      <c r="T571" s="32"/>
      <c r="U571" s="32"/>
      <c r="V571" s="32"/>
      <c r="W571" s="32"/>
      <c r="X571" s="32"/>
      <c r="Y571" s="33"/>
      <c r="Z571" s="33"/>
      <c r="AA571" s="33"/>
    </row>
    <row r="572" spans="1:27">
      <c r="A572" s="29"/>
      <c r="B572" s="19">
        <f t="shared" si="17"/>
        <v>46327</v>
      </c>
      <c r="C572" s="27">
        <f>I572+J572+K572+L572+M572+N572+O572+P572+IF(Q572="",0,Q572*サマリー!$B$9)+IF(R572="",0,IF(R572=200,サマリー!$B$10,IF(R572=100,サマリー!$B$11,0)))+IF(S572="",0,S572*サマリー!$B$12)</f>
        <v>0</v>
      </c>
      <c r="D572" s="27">
        <f>T572+U572+V572+W572+X572+IF(Y572="",0,Y572*サマリー!$B$9)+IF(Z572="",0,IF(Z572=200,サマリー!$B$10,IF(Z572=100,サマリー!$B$11,0)))+IF(AA572="",0,AA572*サマリー!$B$12)</f>
        <v>0</v>
      </c>
      <c r="E572" s="27">
        <f t="shared" si="16"/>
        <v>0</v>
      </c>
      <c r="I572" s="30"/>
      <c r="J572" s="30"/>
      <c r="K572" s="30"/>
      <c r="L572" s="30"/>
      <c r="M572" s="30"/>
      <c r="N572" s="30"/>
      <c r="O572" s="30"/>
      <c r="P572" s="30"/>
      <c r="Q572" s="31"/>
      <c r="R572" s="31"/>
      <c r="S572" s="31"/>
      <c r="T572" s="32"/>
      <c r="U572" s="32"/>
      <c r="V572" s="32"/>
      <c r="W572" s="32"/>
      <c r="X572" s="32"/>
      <c r="Y572" s="33"/>
      <c r="Z572" s="33"/>
      <c r="AA572" s="33"/>
    </row>
    <row r="573" spans="1:27">
      <c r="A573" s="29"/>
      <c r="B573" s="19">
        <f t="shared" si="17"/>
        <v>46327</v>
      </c>
      <c r="C573" s="27">
        <f>I573+J573+K573+L573+M573+N573+O573+P573+IF(Q573="",0,Q573*サマリー!$B$9)+IF(R573="",0,IF(R573=200,サマリー!$B$10,IF(R573=100,サマリー!$B$11,0)))+IF(S573="",0,S573*サマリー!$B$12)</f>
        <v>0</v>
      </c>
      <c r="D573" s="27">
        <f>T573+U573+V573+W573+X573+IF(Y573="",0,Y573*サマリー!$B$9)+IF(Z573="",0,IF(Z573=200,サマリー!$B$10,IF(Z573=100,サマリー!$B$11,0)))+IF(AA573="",0,AA573*サマリー!$B$12)</f>
        <v>0</v>
      </c>
      <c r="E573" s="27">
        <f t="shared" si="16"/>
        <v>0</v>
      </c>
      <c r="I573" s="30"/>
      <c r="J573" s="30"/>
      <c r="K573" s="30"/>
      <c r="L573" s="30"/>
      <c r="M573" s="30"/>
      <c r="N573" s="30"/>
      <c r="O573" s="30"/>
      <c r="P573" s="30"/>
      <c r="Q573" s="31"/>
      <c r="R573" s="31"/>
      <c r="S573" s="31"/>
      <c r="T573" s="32"/>
      <c r="U573" s="32"/>
      <c r="V573" s="32"/>
      <c r="W573" s="32"/>
      <c r="X573" s="32"/>
      <c r="Y573" s="33"/>
      <c r="Z573" s="33"/>
      <c r="AA573" s="33"/>
    </row>
    <row r="574" spans="1:27">
      <c r="A574" s="29"/>
      <c r="B574" s="19">
        <f t="shared" si="17"/>
        <v>46327</v>
      </c>
      <c r="C574" s="27">
        <f>I574+J574+K574+L574+M574+N574+O574+P574+IF(Q574="",0,Q574*サマリー!$B$9)+IF(R574="",0,IF(R574=200,サマリー!$B$10,IF(R574=100,サマリー!$B$11,0)))+IF(S574="",0,S574*サマリー!$B$12)</f>
        <v>0</v>
      </c>
      <c r="D574" s="27">
        <f>T574+U574+V574+W574+X574+IF(Y574="",0,Y574*サマリー!$B$9)+IF(Z574="",0,IF(Z574=200,サマリー!$B$10,IF(Z574=100,サマリー!$B$11,0)))+IF(AA574="",0,AA574*サマリー!$B$12)</f>
        <v>0</v>
      </c>
      <c r="E574" s="27">
        <f t="shared" si="16"/>
        <v>0</v>
      </c>
      <c r="I574" s="30"/>
      <c r="J574" s="30"/>
      <c r="K574" s="30"/>
      <c r="L574" s="30"/>
      <c r="M574" s="30"/>
      <c r="N574" s="30"/>
      <c r="O574" s="30"/>
      <c r="P574" s="30"/>
      <c r="Q574" s="31"/>
      <c r="R574" s="31"/>
      <c r="S574" s="31"/>
      <c r="T574" s="32"/>
      <c r="U574" s="32"/>
      <c r="V574" s="32"/>
      <c r="W574" s="32"/>
      <c r="X574" s="32"/>
      <c r="Y574" s="33"/>
      <c r="Z574" s="33"/>
      <c r="AA574" s="33"/>
    </row>
    <row r="575" spans="1:27">
      <c r="A575" s="29"/>
      <c r="B575" s="19">
        <f t="shared" si="17"/>
        <v>46327</v>
      </c>
      <c r="C575" s="27">
        <f>I575+J575+K575+L575+M575+N575+O575+P575+IF(Q575="",0,Q575*サマリー!$B$9)+IF(R575="",0,IF(R575=200,サマリー!$B$10,IF(R575=100,サマリー!$B$11,0)))+IF(S575="",0,S575*サマリー!$B$12)</f>
        <v>0</v>
      </c>
      <c r="D575" s="27">
        <f>T575+U575+V575+W575+X575+IF(Y575="",0,Y575*サマリー!$B$9)+IF(Z575="",0,IF(Z575=200,サマリー!$B$10,IF(Z575=100,サマリー!$B$11,0)))+IF(AA575="",0,AA575*サマリー!$B$12)</f>
        <v>0</v>
      </c>
      <c r="E575" s="27">
        <f t="shared" si="16"/>
        <v>0</v>
      </c>
      <c r="I575" s="30"/>
      <c r="J575" s="30"/>
      <c r="K575" s="30"/>
      <c r="L575" s="30"/>
      <c r="M575" s="30"/>
      <c r="N575" s="30"/>
      <c r="O575" s="30"/>
      <c r="P575" s="30"/>
      <c r="Q575" s="31"/>
      <c r="R575" s="31"/>
      <c r="S575" s="31"/>
      <c r="T575" s="32"/>
      <c r="U575" s="32"/>
      <c r="V575" s="32"/>
      <c r="W575" s="32"/>
      <c r="X575" s="32"/>
      <c r="Y575" s="33"/>
      <c r="Z575" s="33"/>
      <c r="AA575" s="33"/>
    </row>
    <row r="576" spans="1:27">
      <c r="A576" s="29"/>
      <c r="B576" s="19">
        <f t="shared" si="17"/>
        <v>46327</v>
      </c>
      <c r="C576" s="27">
        <f>I576+J576+K576+L576+M576+N576+O576+P576+IF(Q576="",0,Q576*サマリー!$B$9)+IF(R576="",0,IF(R576=200,サマリー!$B$10,IF(R576=100,サマリー!$B$11,0)))+IF(S576="",0,S576*サマリー!$B$12)</f>
        <v>0</v>
      </c>
      <c r="D576" s="27">
        <f>T576+U576+V576+W576+X576+IF(Y576="",0,Y576*サマリー!$B$9)+IF(Z576="",0,IF(Z576=200,サマリー!$B$10,IF(Z576=100,サマリー!$B$11,0)))+IF(AA576="",0,AA576*サマリー!$B$12)</f>
        <v>0</v>
      </c>
      <c r="E576" s="27">
        <f t="shared" si="16"/>
        <v>0</v>
      </c>
      <c r="I576" s="30"/>
      <c r="J576" s="30"/>
      <c r="K576" s="30"/>
      <c r="L576" s="30"/>
      <c r="M576" s="30"/>
      <c r="N576" s="30"/>
      <c r="O576" s="30"/>
      <c r="P576" s="30"/>
      <c r="Q576" s="31"/>
      <c r="R576" s="31"/>
      <c r="S576" s="31"/>
      <c r="T576" s="32"/>
      <c r="U576" s="32"/>
      <c r="V576" s="32"/>
      <c r="W576" s="32"/>
      <c r="X576" s="32"/>
      <c r="Y576" s="33"/>
      <c r="Z576" s="33"/>
      <c r="AA576" s="33"/>
    </row>
    <row r="577" spans="1:27">
      <c r="A577" s="29"/>
      <c r="B577" s="19">
        <f t="shared" si="17"/>
        <v>46327</v>
      </c>
      <c r="C577" s="27">
        <f>I577+J577+K577+L577+M577+N577+O577+P577+IF(Q577="",0,Q577*サマリー!$B$9)+IF(R577="",0,IF(R577=200,サマリー!$B$10,IF(R577=100,サマリー!$B$11,0)))+IF(S577="",0,S577*サマリー!$B$12)</f>
        <v>0</v>
      </c>
      <c r="D577" s="27">
        <f>T577+U577+V577+W577+X577+IF(Y577="",0,Y577*サマリー!$B$9)+IF(Z577="",0,IF(Z577=200,サマリー!$B$10,IF(Z577=100,サマリー!$B$11,0)))+IF(AA577="",0,AA577*サマリー!$B$12)</f>
        <v>0</v>
      </c>
      <c r="E577" s="27">
        <f t="shared" si="16"/>
        <v>0</v>
      </c>
      <c r="I577" s="30"/>
      <c r="J577" s="30"/>
      <c r="K577" s="30"/>
      <c r="L577" s="30"/>
      <c r="M577" s="30"/>
      <c r="N577" s="30"/>
      <c r="O577" s="30"/>
      <c r="P577" s="30"/>
      <c r="Q577" s="31"/>
      <c r="R577" s="31"/>
      <c r="S577" s="31"/>
      <c r="T577" s="32"/>
      <c r="U577" s="32"/>
      <c r="V577" s="32"/>
      <c r="W577" s="32"/>
      <c r="X577" s="32"/>
      <c r="Y577" s="33"/>
      <c r="Z577" s="33"/>
      <c r="AA577" s="33"/>
    </row>
    <row r="578" spans="1:27">
      <c r="A578" s="29"/>
      <c r="B578" s="19">
        <f t="shared" si="17"/>
        <v>46327</v>
      </c>
      <c r="C578" s="27">
        <f>I578+J578+K578+L578+M578+N578+O578+P578+IF(Q578="",0,Q578*サマリー!$B$9)+IF(R578="",0,IF(R578=200,サマリー!$B$10,IF(R578=100,サマリー!$B$11,0)))+IF(S578="",0,S578*サマリー!$B$12)</f>
        <v>0</v>
      </c>
      <c r="D578" s="27">
        <f>T578+U578+V578+W578+X578+IF(Y578="",0,Y578*サマリー!$B$9)+IF(Z578="",0,IF(Z578=200,サマリー!$B$10,IF(Z578=100,サマリー!$B$11,0)))+IF(AA578="",0,AA578*サマリー!$B$12)</f>
        <v>0</v>
      </c>
      <c r="E578" s="27">
        <f t="shared" si="16"/>
        <v>0</v>
      </c>
      <c r="I578" s="30"/>
      <c r="J578" s="30"/>
      <c r="K578" s="30"/>
      <c r="L578" s="30"/>
      <c r="M578" s="30"/>
      <c r="N578" s="30"/>
      <c r="O578" s="30"/>
      <c r="P578" s="30"/>
      <c r="Q578" s="31"/>
      <c r="R578" s="31"/>
      <c r="S578" s="31"/>
      <c r="T578" s="32"/>
      <c r="U578" s="32"/>
      <c r="V578" s="32"/>
      <c r="W578" s="32"/>
      <c r="X578" s="32"/>
      <c r="Y578" s="33"/>
      <c r="Z578" s="33"/>
      <c r="AA578" s="33"/>
    </row>
    <row r="579" spans="1:27">
      <c r="A579" s="29"/>
      <c r="B579" s="19">
        <f t="shared" si="17"/>
        <v>46327</v>
      </c>
      <c r="C579" s="27">
        <f>I579+J579+K579+L579+M579+N579+O579+P579+IF(Q579="",0,Q579*サマリー!$B$9)+IF(R579="",0,IF(R579=200,サマリー!$B$10,IF(R579=100,サマリー!$B$11,0)))+IF(S579="",0,S579*サマリー!$B$12)</f>
        <v>0</v>
      </c>
      <c r="D579" s="27">
        <f>T579+U579+V579+W579+X579+IF(Y579="",0,Y579*サマリー!$B$9)+IF(Z579="",0,IF(Z579=200,サマリー!$B$10,IF(Z579=100,サマリー!$B$11,0)))+IF(AA579="",0,AA579*サマリー!$B$12)</f>
        <v>0</v>
      </c>
      <c r="E579" s="27">
        <f t="shared" si="16"/>
        <v>0</v>
      </c>
      <c r="I579" s="30"/>
      <c r="J579" s="30"/>
      <c r="K579" s="30"/>
      <c r="L579" s="30"/>
      <c r="M579" s="30"/>
      <c r="N579" s="30"/>
      <c r="O579" s="30"/>
      <c r="P579" s="30"/>
      <c r="Q579" s="31"/>
      <c r="R579" s="31"/>
      <c r="S579" s="31"/>
      <c r="T579" s="32"/>
      <c r="U579" s="32"/>
      <c r="V579" s="32"/>
      <c r="W579" s="32"/>
      <c r="X579" s="32"/>
      <c r="Y579" s="33"/>
      <c r="Z579" s="33"/>
      <c r="AA579" s="33"/>
    </row>
    <row r="580" spans="1:27">
      <c r="A580" s="29"/>
      <c r="B580" s="19">
        <f t="shared" si="17"/>
        <v>46327</v>
      </c>
      <c r="C580" s="27">
        <f>I580+J580+K580+L580+M580+N580+O580+P580+IF(Q580="",0,Q580*サマリー!$B$9)+IF(R580="",0,IF(R580=200,サマリー!$B$10,IF(R580=100,サマリー!$B$11,0)))+IF(S580="",0,S580*サマリー!$B$12)</f>
        <v>0</v>
      </c>
      <c r="D580" s="27">
        <f>T580+U580+V580+W580+X580+IF(Y580="",0,Y580*サマリー!$B$9)+IF(Z580="",0,IF(Z580=200,サマリー!$B$10,IF(Z580=100,サマリー!$B$11,0)))+IF(AA580="",0,AA580*サマリー!$B$12)</f>
        <v>0</v>
      </c>
      <c r="E580" s="27">
        <f t="shared" si="16"/>
        <v>0</v>
      </c>
      <c r="I580" s="30"/>
      <c r="J580" s="30"/>
      <c r="K580" s="30"/>
      <c r="L580" s="30"/>
      <c r="M580" s="30"/>
      <c r="N580" s="30"/>
      <c r="O580" s="30"/>
      <c r="P580" s="30"/>
      <c r="Q580" s="31"/>
      <c r="R580" s="31"/>
      <c r="S580" s="31"/>
      <c r="T580" s="32"/>
      <c r="U580" s="32"/>
      <c r="V580" s="32"/>
      <c r="W580" s="32"/>
      <c r="X580" s="32"/>
      <c r="Y580" s="33"/>
      <c r="Z580" s="33"/>
      <c r="AA580" s="33"/>
    </row>
    <row r="581" spans="1:27">
      <c r="A581" s="29"/>
      <c r="B581" s="19">
        <f t="shared" si="17"/>
        <v>46327</v>
      </c>
      <c r="C581" s="27">
        <f>I581+J581+K581+L581+M581+N581+O581+P581+IF(Q581="",0,Q581*サマリー!$B$9)+IF(R581="",0,IF(R581=200,サマリー!$B$10,IF(R581=100,サマリー!$B$11,0)))+IF(S581="",0,S581*サマリー!$B$12)</f>
        <v>0</v>
      </c>
      <c r="D581" s="27">
        <f>T581+U581+V581+W581+X581+IF(Y581="",0,Y581*サマリー!$B$9)+IF(Z581="",0,IF(Z581=200,サマリー!$B$10,IF(Z581=100,サマリー!$B$11,0)))+IF(AA581="",0,AA581*サマリー!$B$12)</f>
        <v>0</v>
      </c>
      <c r="E581" s="27">
        <f t="shared" si="16"/>
        <v>0</v>
      </c>
      <c r="I581" s="30"/>
      <c r="J581" s="30"/>
      <c r="K581" s="30"/>
      <c r="L581" s="30"/>
      <c r="M581" s="30"/>
      <c r="N581" s="30"/>
      <c r="O581" s="30"/>
      <c r="P581" s="30"/>
      <c r="Q581" s="31"/>
      <c r="R581" s="31"/>
      <c r="S581" s="31"/>
      <c r="T581" s="32"/>
      <c r="U581" s="32"/>
      <c r="V581" s="32"/>
      <c r="W581" s="32"/>
      <c r="X581" s="32"/>
      <c r="Y581" s="33"/>
      <c r="Z581" s="33"/>
      <c r="AA581" s="33"/>
    </row>
    <row r="582" spans="1:27">
      <c r="A582" s="29"/>
      <c r="B582" s="19">
        <f t="shared" si="17"/>
        <v>46327</v>
      </c>
      <c r="C582" s="27">
        <f>I582+J582+K582+L582+M582+N582+O582+P582+IF(Q582="",0,Q582*サマリー!$B$9)+IF(R582="",0,IF(R582=200,サマリー!$B$10,IF(R582=100,サマリー!$B$11,0)))+IF(S582="",0,S582*サマリー!$B$12)</f>
        <v>0</v>
      </c>
      <c r="D582" s="27">
        <f>T582+U582+V582+W582+X582+IF(Y582="",0,Y582*サマリー!$B$9)+IF(Z582="",0,IF(Z582=200,サマリー!$B$10,IF(Z582=100,サマリー!$B$11,0)))+IF(AA582="",0,AA582*サマリー!$B$12)</f>
        <v>0</v>
      </c>
      <c r="E582" s="27">
        <f t="shared" ref="E582:E645" si="18">C582+D582</f>
        <v>0</v>
      </c>
      <c r="I582" s="30"/>
      <c r="J582" s="30"/>
      <c r="K582" s="30"/>
      <c r="L582" s="30"/>
      <c r="M582" s="30"/>
      <c r="N582" s="30"/>
      <c r="O582" s="30"/>
      <c r="P582" s="30"/>
      <c r="Q582" s="31"/>
      <c r="R582" s="31"/>
      <c r="S582" s="31"/>
      <c r="T582" s="32"/>
      <c r="U582" s="32"/>
      <c r="V582" s="32"/>
      <c r="W582" s="32"/>
      <c r="X582" s="32"/>
      <c r="Y582" s="33"/>
      <c r="Z582" s="33"/>
      <c r="AA582" s="33"/>
    </row>
    <row r="583" spans="1:27">
      <c r="A583" s="29"/>
      <c r="B583" s="19">
        <f t="shared" ref="B583:B646" si="19">IF(A583="",B582,IF(A583&lt;DAY(B582),DATE(YEAR(B582),MONTH(B582)+1,A583),DATE(YEAR(B582),MONTH(B582),A583)))</f>
        <v>46327</v>
      </c>
      <c r="C583" s="27">
        <f>I583+J583+K583+L583+M583+N583+O583+P583+IF(Q583="",0,Q583*サマリー!$B$9)+IF(R583="",0,IF(R583=200,サマリー!$B$10,IF(R583=100,サマリー!$B$11,0)))+IF(S583="",0,S583*サマリー!$B$12)</f>
        <v>0</v>
      </c>
      <c r="D583" s="27">
        <f>T583+U583+V583+W583+X583+IF(Y583="",0,Y583*サマリー!$B$9)+IF(Z583="",0,IF(Z583=200,サマリー!$B$10,IF(Z583=100,サマリー!$B$11,0)))+IF(AA583="",0,AA583*サマリー!$B$12)</f>
        <v>0</v>
      </c>
      <c r="E583" s="27">
        <f t="shared" si="18"/>
        <v>0</v>
      </c>
      <c r="I583" s="30"/>
      <c r="J583" s="30"/>
      <c r="K583" s="30"/>
      <c r="L583" s="30"/>
      <c r="M583" s="30"/>
      <c r="N583" s="30"/>
      <c r="O583" s="30"/>
      <c r="P583" s="30"/>
      <c r="Q583" s="31"/>
      <c r="R583" s="31"/>
      <c r="S583" s="31"/>
      <c r="T583" s="32"/>
      <c r="U583" s="32"/>
      <c r="V583" s="32"/>
      <c r="W583" s="32"/>
      <c r="X583" s="32"/>
      <c r="Y583" s="33"/>
      <c r="Z583" s="33"/>
      <c r="AA583" s="33"/>
    </row>
    <row r="584" spans="1:27">
      <c r="A584" s="29"/>
      <c r="B584" s="19">
        <f t="shared" si="19"/>
        <v>46327</v>
      </c>
      <c r="C584" s="27">
        <f>I584+J584+K584+L584+M584+N584+O584+P584+IF(Q584="",0,Q584*サマリー!$B$9)+IF(R584="",0,IF(R584=200,サマリー!$B$10,IF(R584=100,サマリー!$B$11,0)))+IF(S584="",0,S584*サマリー!$B$12)</f>
        <v>0</v>
      </c>
      <c r="D584" s="27">
        <f>T584+U584+V584+W584+X584+IF(Y584="",0,Y584*サマリー!$B$9)+IF(Z584="",0,IF(Z584=200,サマリー!$B$10,IF(Z584=100,サマリー!$B$11,0)))+IF(AA584="",0,AA584*サマリー!$B$12)</f>
        <v>0</v>
      </c>
      <c r="E584" s="27">
        <f t="shared" si="18"/>
        <v>0</v>
      </c>
      <c r="I584" s="30"/>
      <c r="J584" s="30"/>
      <c r="K584" s="30"/>
      <c r="L584" s="30"/>
      <c r="M584" s="30"/>
      <c r="N584" s="30"/>
      <c r="O584" s="30"/>
      <c r="P584" s="30"/>
      <c r="Q584" s="31"/>
      <c r="R584" s="31"/>
      <c r="S584" s="31"/>
      <c r="T584" s="32"/>
      <c r="U584" s="32"/>
      <c r="V584" s="32"/>
      <c r="W584" s="32"/>
      <c r="X584" s="32"/>
      <c r="Y584" s="33"/>
      <c r="Z584" s="33"/>
      <c r="AA584" s="33"/>
    </row>
    <row r="585" spans="1:27">
      <c r="A585" s="29"/>
      <c r="B585" s="19">
        <f t="shared" si="19"/>
        <v>46327</v>
      </c>
      <c r="C585" s="27">
        <f>I585+J585+K585+L585+M585+N585+O585+P585+IF(Q585="",0,Q585*サマリー!$B$9)+IF(R585="",0,IF(R585=200,サマリー!$B$10,IF(R585=100,サマリー!$B$11,0)))+IF(S585="",0,S585*サマリー!$B$12)</f>
        <v>0</v>
      </c>
      <c r="D585" s="27">
        <f>T585+U585+V585+W585+X585+IF(Y585="",0,Y585*サマリー!$B$9)+IF(Z585="",0,IF(Z585=200,サマリー!$B$10,IF(Z585=100,サマリー!$B$11,0)))+IF(AA585="",0,AA585*サマリー!$B$12)</f>
        <v>0</v>
      </c>
      <c r="E585" s="27">
        <f t="shared" si="18"/>
        <v>0</v>
      </c>
      <c r="I585" s="30"/>
      <c r="J585" s="30"/>
      <c r="K585" s="30"/>
      <c r="L585" s="30"/>
      <c r="M585" s="30"/>
      <c r="N585" s="30"/>
      <c r="O585" s="30"/>
      <c r="P585" s="30"/>
      <c r="Q585" s="31"/>
      <c r="R585" s="31"/>
      <c r="S585" s="31"/>
      <c r="T585" s="32"/>
      <c r="U585" s="32"/>
      <c r="V585" s="32"/>
      <c r="W585" s="32"/>
      <c r="X585" s="32"/>
      <c r="Y585" s="33"/>
      <c r="Z585" s="33"/>
      <c r="AA585" s="33"/>
    </row>
    <row r="586" spans="1:27">
      <c r="A586" s="29"/>
      <c r="B586" s="19">
        <f t="shared" si="19"/>
        <v>46327</v>
      </c>
      <c r="C586" s="27">
        <f>I586+J586+K586+L586+M586+N586+O586+P586+IF(Q586="",0,Q586*サマリー!$B$9)+IF(R586="",0,IF(R586=200,サマリー!$B$10,IF(R586=100,サマリー!$B$11,0)))+IF(S586="",0,S586*サマリー!$B$12)</f>
        <v>0</v>
      </c>
      <c r="D586" s="27">
        <f>T586+U586+V586+W586+X586+IF(Y586="",0,Y586*サマリー!$B$9)+IF(Z586="",0,IF(Z586=200,サマリー!$B$10,IF(Z586=100,サマリー!$B$11,0)))+IF(AA586="",0,AA586*サマリー!$B$12)</f>
        <v>0</v>
      </c>
      <c r="E586" s="27">
        <f t="shared" si="18"/>
        <v>0</v>
      </c>
      <c r="I586" s="30"/>
      <c r="J586" s="30"/>
      <c r="K586" s="30"/>
      <c r="L586" s="30"/>
      <c r="M586" s="30"/>
      <c r="N586" s="30"/>
      <c r="O586" s="30"/>
      <c r="P586" s="30"/>
      <c r="Q586" s="31"/>
      <c r="R586" s="31"/>
      <c r="S586" s="31"/>
      <c r="T586" s="32"/>
      <c r="U586" s="32"/>
      <c r="V586" s="32"/>
      <c r="W586" s="32"/>
      <c r="X586" s="32"/>
      <c r="Y586" s="33"/>
      <c r="Z586" s="33"/>
      <c r="AA586" s="33"/>
    </row>
    <row r="587" spans="1:27">
      <c r="A587" s="29"/>
      <c r="B587" s="19">
        <f t="shared" si="19"/>
        <v>46327</v>
      </c>
      <c r="C587" s="27">
        <f>I587+J587+K587+L587+M587+N587+O587+P587+IF(Q587="",0,Q587*サマリー!$B$9)+IF(R587="",0,IF(R587=200,サマリー!$B$10,IF(R587=100,サマリー!$B$11,0)))+IF(S587="",0,S587*サマリー!$B$12)</f>
        <v>0</v>
      </c>
      <c r="D587" s="27">
        <f>T587+U587+V587+W587+X587+IF(Y587="",0,Y587*サマリー!$B$9)+IF(Z587="",0,IF(Z587=200,サマリー!$B$10,IF(Z587=100,サマリー!$B$11,0)))+IF(AA587="",0,AA587*サマリー!$B$12)</f>
        <v>0</v>
      </c>
      <c r="E587" s="27">
        <f t="shared" si="18"/>
        <v>0</v>
      </c>
      <c r="I587" s="30"/>
      <c r="J587" s="30"/>
      <c r="K587" s="30"/>
      <c r="L587" s="30"/>
      <c r="M587" s="30"/>
      <c r="N587" s="30"/>
      <c r="O587" s="30"/>
      <c r="P587" s="30"/>
      <c r="Q587" s="31"/>
      <c r="R587" s="31"/>
      <c r="S587" s="31"/>
      <c r="T587" s="32"/>
      <c r="U587" s="32"/>
      <c r="V587" s="32"/>
      <c r="W587" s="32"/>
      <c r="X587" s="32"/>
      <c r="Y587" s="33"/>
      <c r="Z587" s="33"/>
      <c r="AA587" s="33"/>
    </row>
    <row r="588" spans="1:27">
      <c r="A588" s="29"/>
      <c r="B588" s="19">
        <f t="shared" si="19"/>
        <v>46327</v>
      </c>
      <c r="C588" s="27">
        <f>I588+J588+K588+L588+M588+N588+O588+P588+IF(Q588="",0,Q588*サマリー!$B$9)+IF(R588="",0,IF(R588=200,サマリー!$B$10,IF(R588=100,サマリー!$B$11,0)))+IF(S588="",0,S588*サマリー!$B$12)</f>
        <v>0</v>
      </c>
      <c r="D588" s="27">
        <f>T588+U588+V588+W588+X588+IF(Y588="",0,Y588*サマリー!$B$9)+IF(Z588="",0,IF(Z588=200,サマリー!$B$10,IF(Z588=100,サマリー!$B$11,0)))+IF(AA588="",0,AA588*サマリー!$B$12)</f>
        <v>0</v>
      </c>
      <c r="E588" s="27">
        <f t="shared" si="18"/>
        <v>0</v>
      </c>
      <c r="I588" s="30"/>
      <c r="J588" s="30"/>
      <c r="K588" s="30"/>
      <c r="L588" s="30"/>
      <c r="M588" s="30"/>
      <c r="N588" s="30"/>
      <c r="O588" s="30"/>
      <c r="P588" s="30"/>
      <c r="Q588" s="31"/>
      <c r="R588" s="31"/>
      <c r="S588" s="31"/>
      <c r="T588" s="32"/>
      <c r="U588" s="32"/>
      <c r="V588" s="32"/>
      <c r="W588" s="32"/>
      <c r="X588" s="32"/>
      <c r="Y588" s="33"/>
      <c r="Z588" s="33"/>
      <c r="AA588" s="33"/>
    </row>
    <row r="589" spans="1:27">
      <c r="A589" s="29"/>
      <c r="B589" s="19">
        <f t="shared" si="19"/>
        <v>46327</v>
      </c>
      <c r="C589" s="27">
        <f>I589+J589+K589+L589+M589+N589+O589+P589+IF(Q589="",0,Q589*サマリー!$B$9)+IF(R589="",0,IF(R589=200,サマリー!$B$10,IF(R589=100,サマリー!$B$11,0)))+IF(S589="",0,S589*サマリー!$B$12)</f>
        <v>0</v>
      </c>
      <c r="D589" s="27">
        <f>T589+U589+V589+W589+X589+IF(Y589="",0,Y589*サマリー!$B$9)+IF(Z589="",0,IF(Z589=200,サマリー!$B$10,IF(Z589=100,サマリー!$B$11,0)))+IF(AA589="",0,AA589*サマリー!$B$12)</f>
        <v>0</v>
      </c>
      <c r="E589" s="27">
        <f t="shared" si="18"/>
        <v>0</v>
      </c>
      <c r="I589" s="30"/>
      <c r="J589" s="30"/>
      <c r="K589" s="30"/>
      <c r="L589" s="30"/>
      <c r="M589" s="30"/>
      <c r="N589" s="30"/>
      <c r="O589" s="30"/>
      <c r="P589" s="30"/>
      <c r="Q589" s="31"/>
      <c r="R589" s="31"/>
      <c r="S589" s="31"/>
      <c r="T589" s="32"/>
      <c r="U589" s="32"/>
      <c r="V589" s="32"/>
      <c r="W589" s="32"/>
      <c r="X589" s="32"/>
      <c r="Y589" s="33"/>
      <c r="Z589" s="33"/>
      <c r="AA589" s="33"/>
    </row>
    <row r="590" spans="1:27">
      <c r="A590" s="29"/>
      <c r="B590" s="19">
        <f t="shared" si="19"/>
        <v>46327</v>
      </c>
      <c r="C590" s="27">
        <f>I590+J590+K590+L590+M590+N590+O590+P590+IF(Q590="",0,Q590*サマリー!$B$9)+IF(R590="",0,IF(R590=200,サマリー!$B$10,IF(R590=100,サマリー!$B$11,0)))+IF(S590="",0,S590*サマリー!$B$12)</f>
        <v>0</v>
      </c>
      <c r="D590" s="27">
        <f>T590+U590+V590+W590+X590+IF(Y590="",0,Y590*サマリー!$B$9)+IF(Z590="",0,IF(Z590=200,サマリー!$B$10,IF(Z590=100,サマリー!$B$11,0)))+IF(AA590="",0,AA590*サマリー!$B$12)</f>
        <v>0</v>
      </c>
      <c r="E590" s="27">
        <f t="shared" si="18"/>
        <v>0</v>
      </c>
      <c r="I590" s="30"/>
      <c r="J590" s="30"/>
      <c r="K590" s="30"/>
      <c r="L590" s="30"/>
      <c r="M590" s="30"/>
      <c r="N590" s="30"/>
      <c r="O590" s="30"/>
      <c r="P590" s="30"/>
      <c r="Q590" s="31"/>
      <c r="R590" s="31"/>
      <c r="S590" s="31"/>
      <c r="T590" s="32"/>
      <c r="U590" s="32"/>
      <c r="V590" s="32"/>
      <c r="W590" s="32"/>
      <c r="X590" s="32"/>
      <c r="Y590" s="33"/>
      <c r="Z590" s="33"/>
      <c r="AA590" s="33"/>
    </row>
    <row r="591" spans="1:27">
      <c r="A591" s="29"/>
      <c r="B591" s="19">
        <f t="shared" si="19"/>
        <v>46327</v>
      </c>
      <c r="C591" s="27">
        <f>I591+J591+K591+L591+M591+N591+O591+P591+IF(Q591="",0,Q591*サマリー!$B$9)+IF(R591="",0,IF(R591=200,サマリー!$B$10,IF(R591=100,サマリー!$B$11,0)))+IF(S591="",0,S591*サマリー!$B$12)</f>
        <v>0</v>
      </c>
      <c r="D591" s="27">
        <f>T591+U591+V591+W591+X591+IF(Y591="",0,Y591*サマリー!$B$9)+IF(Z591="",0,IF(Z591=200,サマリー!$B$10,IF(Z591=100,サマリー!$B$11,0)))+IF(AA591="",0,AA591*サマリー!$B$12)</f>
        <v>0</v>
      </c>
      <c r="E591" s="27">
        <f t="shared" si="18"/>
        <v>0</v>
      </c>
      <c r="I591" s="30"/>
      <c r="J591" s="30"/>
      <c r="K591" s="30"/>
      <c r="L591" s="30"/>
      <c r="M591" s="30"/>
      <c r="N591" s="30"/>
      <c r="O591" s="30"/>
      <c r="P591" s="30"/>
      <c r="Q591" s="31"/>
      <c r="R591" s="31"/>
      <c r="S591" s="31"/>
      <c r="T591" s="32"/>
      <c r="U591" s="32"/>
      <c r="V591" s="32"/>
      <c r="W591" s="32"/>
      <c r="X591" s="32"/>
      <c r="Y591" s="33"/>
      <c r="Z591" s="33"/>
      <c r="AA591" s="33"/>
    </row>
    <row r="592" spans="1:27">
      <c r="A592" s="29"/>
      <c r="B592" s="19">
        <f t="shared" si="19"/>
        <v>46327</v>
      </c>
      <c r="C592" s="27">
        <f>I592+J592+K592+L592+M592+N592+O592+P592+IF(Q592="",0,Q592*サマリー!$B$9)+IF(R592="",0,IF(R592=200,サマリー!$B$10,IF(R592=100,サマリー!$B$11,0)))+IF(S592="",0,S592*サマリー!$B$12)</f>
        <v>0</v>
      </c>
      <c r="D592" s="27">
        <f>T592+U592+V592+W592+X592+IF(Y592="",0,Y592*サマリー!$B$9)+IF(Z592="",0,IF(Z592=200,サマリー!$B$10,IF(Z592=100,サマリー!$B$11,0)))+IF(AA592="",0,AA592*サマリー!$B$12)</f>
        <v>0</v>
      </c>
      <c r="E592" s="27">
        <f t="shared" si="18"/>
        <v>0</v>
      </c>
      <c r="I592" s="30"/>
      <c r="J592" s="30"/>
      <c r="K592" s="30"/>
      <c r="L592" s="30"/>
      <c r="M592" s="30"/>
      <c r="N592" s="30"/>
      <c r="O592" s="30"/>
      <c r="P592" s="30"/>
      <c r="Q592" s="31"/>
      <c r="R592" s="31"/>
      <c r="S592" s="31"/>
      <c r="T592" s="32"/>
      <c r="U592" s="32"/>
      <c r="V592" s="32"/>
      <c r="W592" s="32"/>
      <c r="X592" s="32"/>
      <c r="Y592" s="33"/>
      <c r="Z592" s="33"/>
      <c r="AA592" s="33"/>
    </row>
    <row r="593" spans="1:27">
      <c r="A593" s="29"/>
      <c r="B593" s="19">
        <f t="shared" si="19"/>
        <v>46327</v>
      </c>
      <c r="C593" s="27">
        <f>I593+J593+K593+L593+M593+N593+O593+P593+IF(Q593="",0,Q593*サマリー!$B$9)+IF(R593="",0,IF(R593=200,サマリー!$B$10,IF(R593=100,サマリー!$B$11,0)))+IF(S593="",0,S593*サマリー!$B$12)</f>
        <v>0</v>
      </c>
      <c r="D593" s="27">
        <f>T593+U593+V593+W593+X593+IF(Y593="",0,Y593*サマリー!$B$9)+IF(Z593="",0,IF(Z593=200,サマリー!$B$10,IF(Z593=100,サマリー!$B$11,0)))+IF(AA593="",0,AA593*サマリー!$B$12)</f>
        <v>0</v>
      </c>
      <c r="E593" s="27">
        <f t="shared" si="18"/>
        <v>0</v>
      </c>
      <c r="I593" s="30"/>
      <c r="J593" s="30"/>
      <c r="K593" s="30"/>
      <c r="L593" s="30"/>
      <c r="M593" s="30"/>
      <c r="N593" s="30"/>
      <c r="O593" s="30"/>
      <c r="P593" s="30"/>
      <c r="Q593" s="31"/>
      <c r="R593" s="31"/>
      <c r="S593" s="31"/>
      <c r="T593" s="32"/>
      <c r="U593" s="32"/>
      <c r="V593" s="32"/>
      <c r="W593" s="32"/>
      <c r="X593" s="32"/>
      <c r="Y593" s="33"/>
      <c r="Z593" s="33"/>
      <c r="AA593" s="33"/>
    </row>
    <row r="594" spans="1:27">
      <c r="A594" s="29"/>
      <c r="B594" s="19">
        <f t="shared" si="19"/>
        <v>46327</v>
      </c>
      <c r="C594" s="27">
        <f>I594+J594+K594+L594+M594+N594+O594+P594+IF(Q594="",0,Q594*サマリー!$B$9)+IF(R594="",0,IF(R594=200,サマリー!$B$10,IF(R594=100,サマリー!$B$11,0)))+IF(S594="",0,S594*サマリー!$B$12)</f>
        <v>0</v>
      </c>
      <c r="D594" s="27">
        <f>T594+U594+V594+W594+X594+IF(Y594="",0,Y594*サマリー!$B$9)+IF(Z594="",0,IF(Z594=200,サマリー!$B$10,IF(Z594=100,サマリー!$B$11,0)))+IF(AA594="",0,AA594*サマリー!$B$12)</f>
        <v>0</v>
      </c>
      <c r="E594" s="27">
        <f t="shared" si="18"/>
        <v>0</v>
      </c>
      <c r="I594" s="30"/>
      <c r="J594" s="30"/>
      <c r="K594" s="30"/>
      <c r="L594" s="30"/>
      <c r="M594" s="30"/>
      <c r="N594" s="30"/>
      <c r="O594" s="30"/>
      <c r="P594" s="30"/>
      <c r="Q594" s="31"/>
      <c r="R594" s="31"/>
      <c r="S594" s="31"/>
      <c r="T594" s="32"/>
      <c r="U594" s="32"/>
      <c r="V594" s="32"/>
      <c r="W594" s="32"/>
      <c r="X594" s="32"/>
      <c r="Y594" s="33"/>
      <c r="Z594" s="33"/>
      <c r="AA594" s="33"/>
    </row>
    <row r="595" spans="1:27">
      <c r="A595" s="29"/>
      <c r="B595" s="19">
        <f t="shared" si="19"/>
        <v>46327</v>
      </c>
      <c r="C595" s="27">
        <f>I595+J595+K595+L595+M595+N595+O595+P595+IF(Q595="",0,Q595*サマリー!$B$9)+IF(R595="",0,IF(R595=200,サマリー!$B$10,IF(R595=100,サマリー!$B$11,0)))+IF(S595="",0,S595*サマリー!$B$12)</f>
        <v>0</v>
      </c>
      <c r="D595" s="27">
        <f>T595+U595+V595+W595+X595+IF(Y595="",0,Y595*サマリー!$B$9)+IF(Z595="",0,IF(Z595=200,サマリー!$B$10,IF(Z595=100,サマリー!$B$11,0)))+IF(AA595="",0,AA595*サマリー!$B$12)</f>
        <v>0</v>
      </c>
      <c r="E595" s="27">
        <f t="shared" si="18"/>
        <v>0</v>
      </c>
      <c r="I595" s="30"/>
      <c r="J595" s="30"/>
      <c r="K595" s="30"/>
      <c r="L595" s="30"/>
      <c r="M595" s="30"/>
      <c r="N595" s="30"/>
      <c r="O595" s="30"/>
      <c r="P595" s="30"/>
      <c r="Q595" s="31"/>
      <c r="R595" s="31"/>
      <c r="S595" s="31"/>
      <c r="T595" s="32"/>
      <c r="U595" s="32"/>
      <c r="V595" s="32"/>
      <c r="W595" s="32"/>
      <c r="X595" s="32"/>
      <c r="Y595" s="33"/>
      <c r="Z595" s="33"/>
      <c r="AA595" s="33"/>
    </row>
    <row r="596" spans="1:27">
      <c r="A596" s="29"/>
      <c r="B596" s="19">
        <f t="shared" si="19"/>
        <v>46327</v>
      </c>
      <c r="C596" s="27">
        <f>I596+J596+K596+L596+M596+N596+O596+P596+IF(Q596="",0,Q596*サマリー!$B$9)+IF(R596="",0,IF(R596=200,サマリー!$B$10,IF(R596=100,サマリー!$B$11,0)))+IF(S596="",0,S596*サマリー!$B$12)</f>
        <v>0</v>
      </c>
      <c r="D596" s="27">
        <f>T596+U596+V596+W596+X596+IF(Y596="",0,Y596*サマリー!$B$9)+IF(Z596="",0,IF(Z596=200,サマリー!$B$10,IF(Z596=100,サマリー!$B$11,0)))+IF(AA596="",0,AA596*サマリー!$B$12)</f>
        <v>0</v>
      </c>
      <c r="E596" s="27">
        <f t="shared" si="18"/>
        <v>0</v>
      </c>
      <c r="I596" s="30"/>
      <c r="J596" s="30"/>
      <c r="K596" s="30"/>
      <c r="L596" s="30"/>
      <c r="M596" s="30"/>
      <c r="N596" s="30"/>
      <c r="O596" s="30"/>
      <c r="P596" s="30"/>
      <c r="Q596" s="31"/>
      <c r="R596" s="31"/>
      <c r="S596" s="31"/>
      <c r="T596" s="32"/>
      <c r="U596" s="32"/>
      <c r="V596" s="32"/>
      <c r="W596" s="32"/>
      <c r="X596" s="32"/>
      <c r="Y596" s="33"/>
      <c r="Z596" s="33"/>
      <c r="AA596" s="33"/>
    </row>
    <row r="597" spans="1:27">
      <c r="A597" s="29"/>
      <c r="B597" s="19">
        <f t="shared" si="19"/>
        <v>46327</v>
      </c>
      <c r="C597" s="27">
        <f>I597+J597+K597+L597+M597+N597+O597+P597+IF(Q597="",0,Q597*サマリー!$B$9)+IF(R597="",0,IF(R597=200,サマリー!$B$10,IF(R597=100,サマリー!$B$11,0)))+IF(S597="",0,S597*サマリー!$B$12)</f>
        <v>0</v>
      </c>
      <c r="D597" s="27">
        <f>T597+U597+V597+W597+X597+IF(Y597="",0,Y597*サマリー!$B$9)+IF(Z597="",0,IF(Z597=200,サマリー!$B$10,IF(Z597=100,サマリー!$B$11,0)))+IF(AA597="",0,AA597*サマリー!$B$12)</f>
        <v>0</v>
      </c>
      <c r="E597" s="27">
        <f t="shared" si="18"/>
        <v>0</v>
      </c>
      <c r="I597" s="30"/>
      <c r="J597" s="30"/>
      <c r="K597" s="30"/>
      <c r="L597" s="30"/>
      <c r="M597" s="30"/>
      <c r="N597" s="30"/>
      <c r="O597" s="30"/>
      <c r="P597" s="30"/>
      <c r="Q597" s="31"/>
      <c r="R597" s="31"/>
      <c r="S597" s="31"/>
      <c r="T597" s="32"/>
      <c r="U597" s="32"/>
      <c r="V597" s="32"/>
      <c r="W597" s="32"/>
      <c r="X597" s="32"/>
      <c r="Y597" s="33"/>
      <c r="Z597" s="33"/>
      <c r="AA597" s="33"/>
    </row>
    <row r="598" spans="1:27">
      <c r="A598" s="29"/>
      <c r="B598" s="19">
        <f t="shared" si="19"/>
        <v>46327</v>
      </c>
      <c r="C598" s="27">
        <f>I598+J598+K598+L598+M598+N598+O598+P598+IF(Q598="",0,Q598*サマリー!$B$9)+IF(R598="",0,IF(R598=200,サマリー!$B$10,IF(R598=100,サマリー!$B$11,0)))+IF(S598="",0,S598*サマリー!$B$12)</f>
        <v>0</v>
      </c>
      <c r="D598" s="27">
        <f>T598+U598+V598+W598+X598+IF(Y598="",0,Y598*サマリー!$B$9)+IF(Z598="",0,IF(Z598=200,サマリー!$B$10,IF(Z598=100,サマリー!$B$11,0)))+IF(AA598="",0,AA598*サマリー!$B$12)</f>
        <v>0</v>
      </c>
      <c r="E598" s="27">
        <f t="shared" si="18"/>
        <v>0</v>
      </c>
      <c r="I598" s="30"/>
      <c r="J598" s="30"/>
      <c r="K598" s="30"/>
      <c r="L598" s="30"/>
      <c r="M598" s="30"/>
      <c r="N598" s="30"/>
      <c r="O598" s="30"/>
      <c r="P598" s="30"/>
      <c r="Q598" s="31"/>
      <c r="R598" s="31"/>
      <c r="S598" s="31"/>
      <c r="T598" s="32"/>
      <c r="U598" s="32"/>
      <c r="V598" s="32"/>
      <c r="W598" s="32"/>
      <c r="X598" s="32"/>
      <c r="Y598" s="33"/>
      <c r="Z598" s="33"/>
      <c r="AA598" s="33"/>
    </row>
    <row r="599" spans="1:27">
      <c r="A599" s="29"/>
      <c r="B599" s="19">
        <f t="shared" si="19"/>
        <v>46327</v>
      </c>
      <c r="C599" s="27">
        <f>I599+J599+K599+L599+M599+N599+O599+P599+IF(Q599="",0,Q599*サマリー!$B$9)+IF(R599="",0,IF(R599=200,サマリー!$B$10,IF(R599=100,サマリー!$B$11,0)))+IF(S599="",0,S599*サマリー!$B$12)</f>
        <v>0</v>
      </c>
      <c r="D599" s="27">
        <f>T599+U599+V599+W599+X599+IF(Y599="",0,Y599*サマリー!$B$9)+IF(Z599="",0,IF(Z599=200,サマリー!$B$10,IF(Z599=100,サマリー!$B$11,0)))+IF(AA599="",0,AA599*サマリー!$B$12)</f>
        <v>0</v>
      </c>
      <c r="E599" s="27">
        <f t="shared" si="18"/>
        <v>0</v>
      </c>
      <c r="I599" s="30"/>
      <c r="J599" s="30"/>
      <c r="K599" s="30"/>
      <c r="L599" s="30"/>
      <c r="M599" s="30"/>
      <c r="N599" s="30"/>
      <c r="O599" s="30"/>
      <c r="P599" s="30"/>
      <c r="Q599" s="31"/>
      <c r="R599" s="31"/>
      <c r="S599" s="31"/>
      <c r="T599" s="32"/>
      <c r="U599" s="32"/>
      <c r="V599" s="32"/>
      <c r="W599" s="32"/>
      <c r="X599" s="32"/>
      <c r="Y599" s="33"/>
      <c r="Z599" s="33"/>
      <c r="AA599" s="33"/>
    </row>
    <row r="600" spans="1:27">
      <c r="A600" s="29"/>
      <c r="B600" s="19">
        <f t="shared" si="19"/>
        <v>46327</v>
      </c>
      <c r="C600" s="27">
        <f>I600+J600+K600+L600+M600+N600+O600+P600+IF(Q600="",0,Q600*サマリー!$B$9)+IF(R600="",0,IF(R600=200,サマリー!$B$10,IF(R600=100,サマリー!$B$11,0)))+IF(S600="",0,S600*サマリー!$B$12)</f>
        <v>0</v>
      </c>
      <c r="D600" s="27">
        <f>T600+U600+V600+W600+X600+IF(Y600="",0,Y600*サマリー!$B$9)+IF(Z600="",0,IF(Z600=200,サマリー!$B$10,IF(Z600=100,サマリー!$B$11,0)))+IF(AA600="",0,AA600*サマリー!$B$12)</f>
        <v>0</v>
      </c>
      <c r="E600" s="27">
        <f t="shared" si="18"/>
        <v>0</v>
      </c>
      <c r="I600" s="30"/>
      <c r="J600" s="30"/>
      <c r="K600" s="30"/>
      <c r="L600" s="30"/>
      <c r="M600" s="30"/>
      <c r="N600" s="30"/>
      <c r="O600" s="30"/>
      <c r="P600" s="30"/>
      <c r="Q600" s="31"/>
      <c r="R600" s="31"/>
      <c r="S600" s="31"/>
      <c r="T600" s="32"/>
      <c r="U600" s="32"/>
      <c r="V600" s="32"/>
      <c r="W600" s="32"/>
      <c r="X600" s="32"/>
      <c r="Y600" s="33"/>
      <c r="Z600" s="33"/>
      <c r="AA600" s="33"/>
    </row>
    <row r="601" spans="1:27">
      <c r="A601" s="29"/>
      <c r="B601" s="19">
        <f t="shared" si="19"/>
        <v>46327</v>
      </c>
      <c r="C601" s="27">
        <f>I601+J601+K601+L601+M601+N601+O601+P601+IF(Q601="",0,Q601*サマリー!$B$9)+IF(R601="",0,IF(R601=200,サマリー!$B$10,IF(R601=100,サマリー!$B$11,0)))+IF(S601="",0,S601*サマリー!$B$12)</f>
        <v>0</v>
      </c>
      <c r="D601" s="27">
        <f>T601+U601+V601+W601+X601+IF(Y601="",0,Y601*サマリー!$B$9)+IF(Z601="",0,IF(Z601=200,サマリー!$B$10,IF(Z601=100,サマリー!$B$11,0)))+IF(AA601="",0,AA601*サマリー!$B$12)</f>
        <v>0</v>
      </c>
      <c r="E601" s="27">
        <f t="shared" si="18"/>
        <v>0</v>
      </c>
      <c r="I601" s="30"/>
      <c r="J601" s="30"/>
      <c r="K601" s="30"/>
      <c r="L601" s="30"/>
      <c r="M601" s="30"/>
      <c r="N601" s="30"/>
      <c r="O601" s="30"/>
      <c r="P601" s="30"/>
      <c r="Q601" s="31"/>
      <c r="R601" s="31"/>
      <c r="S601" s="31"/>
      <c r="T601" s="32"/>
      <c r="U601" s="32"/>
      <c r="V601" s="32"/>
      <c r="W601" s="32"/>
      <c r="X601" s="32"/>
      <c r="Y601" s="33"/>
      <c r="Z601" s="33"/>
      <c r="AA601" s="33"/>
    </row>
    <row r="602" spans="1:27">
      <c r="A602" s="29"/>
      <c r="B602" s="19">
        <f t="shared" si="19"/>
        <v>46327</v>
      </c>
      <c r="C602" s="27">
        <f>I602+J602+K602+L602+M602+N602+O602+P602+IF(Q602="",0,Q602*サマリー!$B$9)+IF(R602="",0,IF(R602=200,サマリー!$B$10,IF(R602=100,サマリー!$B$11,0)))+IF(S602="",0,S602*サマリー!$B$12)</f>
        <v>0</v>
      </c>
      <c r="D602" s="27">
        <f>T602+U602+V602+W602+X602+IF(Y602="",0,Y602*サマリー!$B$9)+IF(Z602="",0,IF(Z602=200,サマリー!$B$10,IF(Z602=100,サマリー!$B$11,0)))+IF(AA602="",0,AA602*サマリー!$B$12)</f>
        <v>0</v>
      </c>
      <c r="E602" s="27">
        <f t="shared" si="18"/>
        <v>0</v>
      </c>
      <c r="I602" s="30"/>
      <c r="J602" s="30"/>
      <c r="K602" s="30"/>
      <c r="L602" s="30"/>
      <c r="M602" s="30"/>
      <c r="N602" s="30"/>
      <c r="O602" s="30"/>
      <c r="P602" s="30"/>
      <c r="Q602" s="31"/>
      <c r="R602" s="31"/>
      <c r="S602" s="31"/>
      <c r="T602" s="32"/>
      <c r="U602" s="32"/>
      <c r="V602" s="32"/>
      <c r="W602" s="32"/>
      <c r="X602" s="32"/>
      <c r="Y602" s="33"/>
      <c r="Z602" s="33"/>
      <c r="AA602" s="33"/>
    </row>
    <row r="603" spans="1:27">
      <c r="A603" s="29"/>
      <c r="B603" s="19">
        <f t="shared" si="19"/>
        <v>46327</v>
      </c>
      <c r="C603" s="27">
        <f>I603+J603+K603+L603+M603+N603+O603+P603+IF(Q603="",0,Q603*サマリー!$B$9)+IF(R603="",0,IF(R603=200,サマリー!$B$10,IF(R603=100,サマリー!$B$11,0)))+IF(S603="",0,S603*サマリー!$B$12)</f>
        <v>0</v>
      </c>
      <c r="D603" s="27">
        <f>T603+U603+V603+W603+X603+IF(Y603="",0,Y603*サマリー!$B$9)+IF(Z603="",0,IF(Z603=200,サマリー!$B$10,IF(Z603=100,サマリー!$B$11,0)))+IF(AA603="",0,AA603*サマリー!$B$12)</f>
        <v>0</v>
      </c>
      <c r="E603" s="27">
        <f t="shared" si="18"/>
        <v>0</v>
      </c>
      <c r="I603" s="30"/>
      <c r="J603" s="30"/>
      <c r="K603" s="30"/>
      <c r="L603" s="30"/>
      <c r="M603" s="30"/>
      <c r="N603" s="30"/>
      <c r="O603" s="30"/>
      <c r="P603" s="30"/>
      <c r="Q603" s="31"/>
      <c r="R603" s="31"/>
      <c r="S603" s="31"/>
      <c r="T603" s="32"/>
      <c r="U603" s="32"/>
      <c r="V603" s="32"/>
      <c r="W603" s="32"/>
      <c r="X603" s="32"/>
      <c r="Y603" s="33"/>
      <c r="Z603" s="33"/>
      <c r="AA603" s="33"/>
    </row>
    <row r="604" spans="1:27">
      <c r="A604" s="29"/>
      <c r="B604" s="19">
        <f t="shared" si="19"/>
        <v>46327</v>
      </c>
      <c r="C604" s="27">
        <f>I604+J604+K604+L604+M604+N604+O604+P604+IF(Q604="",0,Q604*サマリー!$B$9)+IF(R604="",0,IF(R604=200,サマリー!$B$10,IF(R604=100,サマリー!$B$11,0)))+IF(S604="",0,S604*サマリー!$B$12)</f>
        <v>0</v>
      </c>
      <c r="D604" s="27">
        <f>T604+U604+V604+W604+X604+IF(Y604="",0,Y604*サマリー!$B$9)+IF(Z604="",0,IF(Z604=200,サマリー!$B$10,IF(Z604=100,サマリー!$B$11,0)))+IF(AA604="",0,AA604*サマリー!$B$12)</f>
        <v>0</v>
      </c>
      <c r="E604" s="27">
        <f t="shared" si="18"/>
        <v>0</v>
      </c>
      <c r="I604" s="30"/>
      <c r="J604" s="30"/>
      <c r="K604" s="30"/>
      <c r="L604" s="30"/>
      <c r="M604" s="30"/>
      <c r="N604" s="30"/>
      <c r="O604" s="30"/>
      <c r="P604" s="30"/>
      <c r="Q604" s="31"/>
      <c r="R604" s="31"/>
      <c r="S604" s="31"/>
      <c r="T604" s="32"/>
      <c r="U604" s="32"/>
      <c r="V604" s="32"/>
      <c r="W604" s="32"/>
      <c r="X604" s="32"/>
      <c r="Y604" s="33"/>
      <c r="Z604" s="33"/>
      <c r="AA604" s="33"/>
    </row>
    <row r="605" spans="1:27">
      <c r="A605" s="29"/>
      <c r="B605" s="19">
        <f t="shared" si="19"/>
        <v>46327</v>
      </c>
      <c r="C605" s="27">
        <f>I605+J605+K605+L605+M605+N605+O605+P605+IF(Q605="",0,Q605*サマリー!$B$9)+IF(R605="",0,IF(R605=200,サマリー!$B$10,IF(R605=100,サマリー!$B$11,0)))+IF(S605="",0,S605*サマリー!$B$12)</f>
        <v>0</v>
      </c>
      <c r="D605" s="27">
        <f>T605+U605+V605+W605+X605+IF(Y605="",0,Y605*サマリー!$B$9)+IF(Z605="",0,IF(Z605=200,サマリー!$B$10,IF(Z605=100,サマリー!$B$11,0)))+IF(AA605="",0,AA605*サマリー!$B$12)</f>
        <v>0</v>
      </c>
      <c r="E605" s="27">
        <f t="shared" si="18"/>
        <v>0</v>
      </c>
      <c r="I605" s="30"/>
      <c r="J605" s="30"/>
      <c r="K605" s="30"/>
      <c r="L605" s="30"/>
      <c r="M605" s="30"/>
      <c r="N605" s="30"/>
      <c r="O605" s="30"/>
      <c r="P605" s="30"/>
      <c r="Q605" s="31"/>
      <c r="R605" s="31"/>
      <c r="S605" s="31"/>
      <c r="T605" s="32"/>
      <c r="U605" s="32"/>
      <c r="V605" s="32"/>
      <c r="W605" s="32"/>
      <c r="X605" s="32"/>
      <c r="Y605" s="33"/>
      <c r="Z605" s="33"/>
      <c r="AA605" s="33"/>
    </row>
    <row r="606" spans="1:27">
      <c r="A606" s="29"/>
      <c r="B606" s="19">
        <f t="shared" si="19"/>
        <v>46327</v>
      </c>
      <c r="C606" s="27">
        <f>I606+J606+K606+L606+M606+N606+O606+P606+IF(Q606="",0,Q606*サマリー!$B$9)+IF(R606="",0,IF(R606=200,サマリー!$B$10,IF(R606=100,サマリー!$B$11,0)))+IF(S606="",0,S606*サマリー!$B$12)</f>
        <v>0</v>
      </c>
      <c r="D606" s="27">
        <f>T606+U606+V606+W606+X606+IF(Y606="",0,Y606*サマリー!$B$9)+IF(Z606="",0,IF(Z606=200,サマリー!$B$10,IF(Z606=100,サマリー!$B$11,0)))+IF(AA606="",0,AA606*サマリー!$B$12)</f>
        <v>0</v>
      </c>
      <c r="E606" s="27">
        <f t="shared" si="18"/>
        <v>0</v>
      </c>
      <c r="I606" s="30"/>
      <c r="J606" s="30"/>
      <c r="K606" s="30"/>
      <c r="L606" s="30"/>
      <c r="M606" s="30"/>
      <c r="N606" s="30"/>
      <c r="O606" s="30"/>
      <c r="P606" s="30"/>
      <c r="Q606" s="31"/>
      <c r="R606" s="31"/>
      <c r="S606" s="31"/>
      <c r="T606" s="32"/>
      <c r="U606" s="32"/>
      <c r="V606" s="32"/>
      <c r="W606" s="32"/>
      <c r="X606" s="32"/>
      <c r="Y606" s="33"/>
      <c r="Z606" s="33"/>
      <c r="AA606" s="33"/>
    </row>
    <row r="607" spans="1:27">
      <c r="A607" s="29"/>
      <c r="B607" s="19">
        <f t="shared" si="19"/>
        <v>46327</v>
      </c>
      <c r="C607" s="27">
        <f>I607+J607+K607+L607+M607+N607+O607+P607+IF(Q607="",0,Q607*サマリー!$B$9)+IF(R607="",0,IF(R607=200,サマリー!$B$10,IF(R607=100,サマリー!$B$11,0)))+IF(S607="",0,S607*サマリー!$B$12)</f>
        <v>0</v>
      </c>
      <c r="D607" s="27">
        <f>T607+U607+V607+W607+X607+IF(Y607="",0,Y607*サマリー!$B$9)+IF(Z607="",0,IF(Z607=200,サマリー!$B$10,IF(Z607=100,サマリー!$B$11,0)))+IF(AA607="",0,AA607*サマリー!$B$12)</f>
        <v>0</v>
      </c>
      <c r="E607" s="27">
        <f t="shared" si="18"/>
        <v>0</v>
      </c>
      <c r="I607" s="30"/>
      <c r="J607" s="30"/>
      <c r="K607" s="30"/>
      <c r="L607" s="30"/>
      <c r="M607" s="30"/>
      <c r="N607" s="30"/>
      <c r="O607" s="30"/>
      <c r="P607" s="30"/>
      <c r="Q607" s="31"/>
      <c r="R607" s="31"/>
      <c r="S607" s="31"/>
      <c r="T607" s="32"/>
      <c r="U607" s="32"/>
      <c r="V607" s="32"/>
      <c r="W607" s="32"/>
      <c r="X607" s="32"/>
      <c r="Y607" s="33"/>
      <c r="Z607" s="33"/>
      <c r="AA607" s="33"/>
    </row>
    <row r="608" spans="1:27">
      <c r="A608" s="29"/>
      <c r="B608" s="19">
        <f t="shared" si="19"/>
        <v>46327</v>
      </c>
      <c r="C608" s="27">
        <f>I608+J608+K608+L608+M608+N608+O608+P608+IF(Q608="",0,Q608*サマリー!$B$9)+IF(R608="",0,IF(R608=200,サマリー!$B$10,IF(R608=100,サマリー!$B$11,0)))+IF(S608="",0,S608*サマリー!$B$12)</f>
        <v>0</v>
      </c>
      <c r="D608" s="27">
        <f>T608+U608+V608+W608+X608+IF(Y608="",0,Y608*サマリー!$B$9)+IF(Z608="",0,IF(Z608=200,サマリー!$B$10,IF(Z608=100,サマリー!$B$11,0)))+IF(AA608="",0,AA608*サマリー!$B$12)</f>
        <v>0</v>
      </c>
      <c r="E608" s="27">
        <f t="shared" si="18"/>
        <v>0</v>
      </c>
      <c r="I608" s="30"/>
      <c r="J608" s="30"/>
      <c r="K608" s="30"/>
      <c r="L608" s="30"/>
      <c r="M608" s="30"/>
      <c r="N608" s="30"/>
      <c r="O608" s="30"/>
      <c r="P608" s="30"/>
      <c r="Q608" s="31"/>
      <c r="R608" s="31"/>
      <c r="S608" s="31"/>
      <c r="T608" s="32"/>
      <c r="U608" s="32"/>
      <c r="V608" s="32"/>
      <c r="W608" s="32"/>
      <c r="X608" s="32"/>
      <c r="Y608" s="33"/>
      <c r="Z608" s="33"/>
      <c r="AA608" s="33"/>
    </row>
    <row r="609" spans="1:27">
      <c r="A609" s="29"/>
      <c r="B609" s="19">
        <f t="shared" si="19"/>
        <v>46327</v>
      </c>
      <c r="C609" s="27">
        <f>I609+J609+K609+L609+M609+N609+O609+P609+IF(Q609="",0,Q609*サマリー!$B$9)+IF(R609="",0,IF(R609=200,サマリー!$B$10,IF(R609=100,サマリー!$B$11,0)))+IF(S609="",0,S609*サマリー!$B$12)</f>
        <v>0</v>
      </c>
      <c r="D609" s="27">
        <f>T609+U609+V609+W609+X609+IF(Y609="",0,Y609*サマリー!$B$9)+IF(Z609="",0,IF(Z609=200,サマリー!$B$10,IF(Z609=100,サマリー!$B$11,0)))+IF(AA609="",0,AA609*サマリー!$B$12)</f>
        <v>0</v>
      </c>
      <c r="E609" s="27">
        <f t="shared" si="18"/>
        <v>0</v>
      </c>
      <c r="I609" s="30"/>
      <c r="J609" s="30"/>
      <c r="K609" s="30"/>
      <c r="L609" s="30"/>
      <c r="M609" s="30"/>
      <c r="N609" s="30"/>
      <c r="O609" s="30"/>
      <c r="P609" s="30"/>
      <c r="Q609" s="31"/>
      <c r="R609" s="31"/>
      <c r="S609" s="31"/>
      <c r="T609" s="32"/>
      <c r="U609" s="32"/>
      <c r="V609" s="32"/>
      <c r="W609" s="32"/>
      <c r="X609" s="32"/>
      <c r="Y609" s="33"/>
      <c r="Z609" s="33"/>
      <c r="AA609" s="33"/>
    </row>
    <row r="610" spans="1:27">
      <c r="A610" s="29"/>
      <c r="B610" s="19">
        <f t="shared" si="19"/>
        <v>46327</v>
      </c>
      <c r="C610" s="27">
        <f>I610+J610+K610+L610+M610+N610+O610+P610+IF(Q610="",0,Q610*サマリー!$B$9)+IF(R610="",0,IF(R610=200,サマリー!$B$10,IF(R610=100,サマリー!$B$11,0)))+IF(S610="",0,S610*サマリー!$B$12)</f>
        <v>0</v>
      </c>
      <c r="D610" s="27">
        <f>T610+U610+V610+W610+X610+IF(Y610="",0,Y610*サマリー!$B$9)+IF(Z610="",0,IF(Z610=200,サマリー!$B$10,IF(Z610=100,サマリー!$B$11,0)))+IF(AA610="",0,AA610*サマリー!$B$12)</f>
        <v>0</v>
      </c>
      <c r="E610" s="27">
        <f t="shared" si="18"/>
        <v>0</v>
      </c>
      <c r="I610" s="30"/>
      <c r="J610" s="30"/>
      <c r="K610" s="30"/>
      <c r="L610" s="30"/>
      <c r="M610" s="30"/>
      <c r="N610" s="30"/>
      <c r="O610" s="30"/>
      <c r="P610" s="30"/>
      <c r="Q610" s="31"/>
      <c r="R610" s="31"/>
      <c r="S610" s="31"/>
      <c r="T610" s="32"/>
      <c r="U610" s="32"/>
      <c r="V610" s="32"/>
      <c r="W610" s="32"/>
      <c r="X610" s="32"/>
      <c r="Y610" s="33"/>
      <c r="Z610" s="33"/>
      <c r="AA610" s="33"/>
    </row>
    <row r="611" spans="1:27">
      <c r="A611" s="29"/>
      <c r="B611" s="19">
        <f t="shared" si="19"/>
        <v>46327</v>
      </c>
      <c r="C611" s="27">
        <f>I611+J611+K611+L611+M611+N611+O611+P611+IF(Q611="",0,Q611*サマリー!$B$9)+IF(R611="",0,IF(R611=200,サマリー!$B$10,IF(R611=100,サマリー!$B$11,0)))+IF(S611="",0,S611*サマリー!$B$12)</f>
        <v>0</v>
      </c>
      <c r="D611" s="27">
        <f>T611+U611+V611+W611+X611+IF(Y611="",0,Y611*サマリー!$B$9)+IF(Z611="",0,IF(Z611=200,サマリー!$B$10,IF(Z611=100,サマリー!$B$11,0)))+IF(AA611="",0,AA611*サマリー!$B$12)</f>
        <v>0</v>
      </c>
      <c r="E611" s="27">
        <f t="shared" si="18"/>
        <v>0</v>
      </c>
      <c r="I611" s="30"/>
      <c r="J611" s="30"/>
      <c r="K611" s="30"/>
      <c r="L611" s="30"/>
      <c r="M611" s="30"/>
      <c r="N611" s="30"/>
      <c r="O611" s="30"/>
      <c r="P611" s="30"/>
      <c r="Q611" s="31"/>
      <c r="R611" s="31"/>
      <c r="S611" s="31"/>
      <c r="T611" s="32"/>
      <c r="U611" s="32"/>
      <c r="V611" s="32"/>
      <c r="W611" s="32"/>
      <c r="X611" s="32"/>
      <c r="Y611" s="33"/>
      <c r="Z611" s="33"/>
      <c r="AA611" s="33"/>
    </row>
    <row r="612" spans="1:27">
      <c r="A612" s="29"/>
      <c r="B612" s="19">
        <f t="shared" si="19"/>
        <v>46327</v>
      </c>
      <c r="C612" s="27">
        <f>I612+J612+K612+L612+M612+N612+O612+P612+IF(Q612="",0,Q612*サマリー!$B$9)+IF(R612="",0,IF(R612=200,サマリー!$B$10,IF(R612=100,サマリー!$B$11,0)))+IF(S612="",0,S612*サマリー!$B$12)</f>
        <v>0</v>
      </c>
      <c r="D612" s="27">
        <f>T612+U612+V612+W612+X612+IF(Y612="",0,Y612*サマリー!$B$9)+IF(Z612="",0,IF(Z612=200,サマリー!$B$10,IF(Z612=100,サマリー!$B$11,0)))+IF(AA612="",0,AA612*サマリー!$B$12)</f>
        <v>0</v>
      </c>
      <c r="E612" s="27">
        <f t="shared" si="18"/>
        <v>0</v>
      </c>
      <c r="I612" s="30"/>
      <c r="J612" s="30"/>
      <c r="K612" s="30"/>
      <c r="L612" s="30"/>
      <c r="M612" s="30"/>
      <c r="N612" s="30"/>
      <c r="O612" s="30"/>
      <c r="P612" s="30"/>
      <c r="Q612" s="31"/>
      <c r="R612" s="31"/>
      <c r="S612" s="31"/>
      <c r="T612" s="32"/>
      <c r="U612" s="32"/>
      <c r="V612" s="32"/>
      <c r="W612" s="32"/>
      <c r="X612" s="32"/>
      <c r="Y612" s="33"/>
      <c r="Z612" s="33"/>
      <c r="AA612" s="33"/>
    </row>
    <row r="613" spans="1:27">
      <c r="A613" s="29"/>
      <c r="B613" s="19">
        <f t="shared" si="19"/>
        <v>46327</v>
      </c>
      <c r="C613" s="27">
        <f>I613+J613+K613+L613+M613+N613+O613+P613+IF(Q613="",0,Q613*サマリー!$B$9)+IF(R613="",0,IF(R613=200,サマリー!$B$10,IF(R613=100,サマリー!$B$11,0)))+IF(S613="",0,S613*サマリー!$B$12)</f>
        <v>0</v>
      </c>
      <c r="D613" s="27">
        <f>T613+U613+V613+W613+X613+IF(Y613="",0,Y613*サマリー!$B$9)+IF(Z613="",0,IF(Z613=200,サマリー!$B$10,IF(Z613=100,サマリー!$B$11,0)))+IF(AA613="",0,AA613*サマリー!$B$12)</f>
        <v>0</v>
      </c>
      <c r="E613" s="27">
        <f t="shared" si="18"/>
        <v>0</v>
      </c>
      <c r="I613" s="30"/>
      <c r="J613" s="30"/>
      <c r="K613" s="30"/>
      <c r="L613" s="30"/>
      <c r="M613" s="30"/>
      <c r="N613" s="30"/>
      <c r="O613" s="30"/>
      <c r="P613" s="30"/>
      <c r="Q613" s="31"/>
      <c r="R613" s="31"/>
      <c r="S613" s="31"/>
      <c r="T613" s="32"/>
      <c r="U613" s="32"/>
      <c r="V613" s="32"/>
      <c r="W613" s="32"/>
      <c r="X613" s="32"/>
      <c r="Y613" s="33"/>
      <c r="Z613" s="33"/>
      <c r="AA613" s="33"/>
    </row>
    <row r="614" spans="1:27">
      <c r="A614" s="29"/>
      <c r="B614" s="19">
        <f t="shared" si="19"/>
        <v>46327</v>
      </c>
      <c r="C614" s="27">
        <f>I614+J614+K614+L614+M614+N614+O614+P614+IF(Q614="",0,Q614*サマリー!$B$9)+IF(R614="",0,IF(R614=200,サマリー!$B$10,IF(R614=100,サマリー!$B$11,0)))+IF(S614="",0,S614*サマリー!$B$12)</f>
        <v>0</v>
      </c>
      <c r="D614" s="27">
        <f>T614+U614+V614+W614+X614+IF(Y614="",0,Y614*サマリー!$B$9)+IF(Z614="",0,IF(Z614=200,サマリー!$B$10,IF(Z614=100,サマリー!$B$11,0)))+IF(AA614="",0,AA614*サマリー!$B$12)</f>
        <v>0</v>
      </c>
      <c r="E614" s="27">
        <f t="shared" si="18"/>
        <v>0</v>
      </c>
      <c r="I614" s="30"/>
      <c r="J614" s="30"/>
      <c r="K614" s="30"/>
      <c r="L614" s="30"/>
      <c r="M614" s="30"/>
      <c r="N614" s="30"/>
      <c r="O614" s="30"/>
      <c r="P614" s="30"/>
      <c r="Q614" s="31"/>
      <c r="R614" s="31"/>
      <c r="S614" s="31"/>
      <c r="T614" s="32"/>
      <c r="U614" s="32"/>
      <c r="V614" s="32"/>
      <c r="W614" s="32"/>
      <c r="X614" s="32"/>
      <c r="Y614" s="33"/>
      <c r="Z614" s="33"/>
      <c r="AA614" s="33"/>
    </row>
    <row r="615" spans="1:27">
      <c r="A615" s="29"/>
      <c r="B615" s="19">
        <f t="shared" si="19"/>
        <v>46327</v>
      </c>
      <c r="C615" s="27">
        <f>I615+J615+K615+L615+M615+N615+O615+P615+IF(Q615="",0,Q615*サマリー!$B$9)+IF(R615="",0,IF(R615=200,サマリー!$B$10,IF(R615=100,サマリー!$B$11,0)))+IF(S615="",0,S615*サマリー!$B$12)</f>
        <v>0</v>
      </c>
      <c r="D615" s="27">
        <f>T615+U615+V615+W615+X615+IF(Y615="",0,Y615*サマリー!$B$9)+IF(Z615="",0,IF(Z615=200,サマリー!$B$10,IF(Z615=100,サマリー!$B$11,0)))+IF(AA615="",0,AA615*サマリー!$B$12)</f>
        <v>0</v>
      </c>
      <c r="E615" s="27">
        <f t="shared" si="18"/>
        <v>0</v>
      </c>
      <c r="I615" s="30"/>
      <c r="J615" s="30"/>
      <c r="K615" s="30"/>
      <c r="L615" s="30"/>
      <c r="M615" s="30"/>
      <c r="N615" s="30"/>
      <c r="O615" s="30"/>
      <c r="P615" s="30"/>
      <c r="Q615" s="31"/>
      <c r="R615" s="31"/>
      <c r="S615" s="31"/>
      <c r="T615" s="32"/>
      <c r="U615" s="32"/>
      <c r="V615" s="32"/>
      <c r="W615" s="32"/>
      <c r="X615" s="32"/>
      <c r="Y615" s="33"/>
      <c r="Z615" s="33"/>
      <c r="AA615" s="33"/>
    </row>
    <row r="616" spans="1:27">
      <c r="A616" s="29"/>
      <c r="B616" s="19">
        <f t="shared" si="19"/>
        <v>46327</v>
      </c>
      <c r="C616" s="27">
        <f>I616+J616+K616+L616+M616+N616+O616+P616+IF(Q616="",0,Q616*サマリー!$B$9)+IF(R616="",0,IF(R616=200,サマリー!$B$10,IF(R616=100,サマリー!$B$11,0)))+IF(S616="",0,S616*サマリー!$B$12)</f>
        <v>0</v>
      </c>
      <c r="D616" s="27">
        <f>T616+U616+V616+W616+X616+IF(Y616="",0,Y616*サマリー!$B$9)+IF(Z616="",0,IF(Z616=200,サマリー!$B$10,IF(Z616=100,サマリー!$B$11,0)))+IF(AA616="",0,AA616*サマリー!$B$12)</f>
        <v>0</v>
      </c>
      <c r="E616" s="27">
        <f t="shared" si="18"/>
        <v>0</v>
      </c>
      <c r="I616" s="30"/>
      <c r="J616" s="30"/>
      <c r="K616" s="30"/>
      <c r="L616" s="30"/>
      <c r="M616" s="30"/>
      <c r="N616" s="30"/>
      <c r="O616" s="30"/>
      <c r="P616" s="30"/>
      <c r="Q616" s="31"/>
      <c r="R616" s="31"/>
      <c r="S616" s="31"/>
      <c r="T616" s="32"/>
      <c r="U616" s="32"/>
      <c r="V616" s="32"/>
      <c r="W616" s="32"/>
      <c r="X616" s="32"/>
      <c r="Y616" s="33"/>
      <c r="Z616" s="33"/>
      <c r="AA616" s="33"/>
    </row>
    <row r="617" spans="1:27">
      <c r="A617" s="29"/>
      <c r="B617" s="19">
        <f t="shared" si="19"/>
        <v>46327</v>
      </c>
      <c r="C617" s="27">
        <f>I617+J617+K617+L617+M617+N617+O617+P617+IF(Q617="",0,Q617*サマリー!$B$9)+IF(R617="",0,IF(R617=200,サマリー!$B$10,IF(R617=100,サマリー!$B$11,0)))+IF(S617="",0,S617*サマリー!$B$12)</f>
        <v>0</v>
      </c>
      <c r="D617" s="27">
        <f>T617+U617+V617+W617+X617+IF(Y617="",0,Y617*サマリー!$B$9)+IF(Z617="",0,IF(Z617=200,サマリー!$B$10,IF(Z617=100,サマリー!$B$11,0)))+IF(AA617="",0,AA617*サマリー!$B$12)</f>
        <v>0</v>
      </c>
      <c r="E617" s="27">
        <f t="shared" si="18"/>
        <v>0</v>
      </c>
      <c r="I617" s="30"/>
      <c r="J617" s="30"/>
      <c r="K617" s="30"/>
      <c r="L617" s="30"/>
      <c r="M617" s="30"/>
      <c r="N617" s="30"/>
      <c r="O617" s="30"/>
      <c r="P617" s="30"/>
      <c r="Q617" s="31"/>
      <c r="R617" s="31"/>
      <c r="S617" s="31"/>
      <c r="T617" s="32"/>
      <c r="U617" s="32"/>
      <c r="V617" s="32"/>
      <c r="W617" s="32"/>
      <c r="X617" s="32"/>
      <c r="Y617" s="33"/>
      <c r="Z617" s="33"/>
      <c r="AA617" s="33"/>
    </row>
    <row r="618" spans="1:27">
      <c r="A618" s="29"/>
      <c r="B618" s="19">
        <f t="shared" si="19"/>
        <v>46327</v>
      </c>
      <c r="C618" s="27">
        <f>I618+J618+K618+L618+M618+N618+O618+P618+IF(Q618="",0,Q618*サマリー!$B$9)+IF(R618="",0,IF(R618=200,サマリー!$B$10,IF(R618=100,サマリー!$B$11,0)))+IF(S618="",0,S618*サマリー!$B$12)</f>
        <v>0</v>
      </c>
      <c r="D618" s="27">
        <f>T618+U618+V618+W618+X618+IF(Y618="",0,Y618*サマリー!$B$9)+IF(Z618="",0,IF(Z618=200,サマリー!$B$10,IF(Z618=100,サマリー!$B$11,0)))+IF(AA618="",0,AA618*サマリー!$B$12)</f>
        <v>0</v>
      </c>
      <c r="E618" s="27">
        <f t="shared" si="18"/>
        <v>0</v>
      </c>
      <c r="I618" s="30"/>
      <c r="J618" s="30"/>
      <c r="K618" s="30"/>
      <c r="L618" s="30"/>
      <c r="M618" s="30"/>
      <c r="N618" s="30"/>
      <c r="O618" s="30"/>
      <c r="P618" s="30"/>
      <c r="Q618" s="31"/>
      <c r="R618" s="31"/>
      <c r="S618" s="31"/>
      <c r="T618" s="32"/>
      <c r="U618" s="32"/>
      <c r="V618" s="32"/>
      <c r="W618" s="32"/>
      <c r="X618" s="32"/>
      <c r="Y618" s="33"/>
      <c r="Z618" s="33"/>
      <c r="AA618" s="33"/>
    </row>
    <row r="619" spans="1:27">
      <c r="A619" s="29"/>
      <c r="B619" s="19">
        <f t="shared" si="19"/>
        <v>46327</v>
      </c>
      <c r="C619" s="27">
        <f>I619+J619+K619+L619+M619+N619+O619+P619+IF(Q619="",0,Q619*サマリー!$B$9)+IF(R619="",0,IF(R619=200,サマリー!$B$10,IF(R619=100,サマリー!$B$11,0)))+IF(S619="",0,S619*サマリー!$B$12)</f>
        <v>0</v>
      </c>
      <c r="D619" s="27">
        <f>T619+U619+V619+W619+X619+IF(Y619="",0,Y619*サマリー!$B$9)+IF(Z619="",0,IF(Z619=200,サマリー!$B$10,IF(Z619=100,サマリー!$B$11,0)))+IF(AA619="",0,AA619*サマリー!$B$12)</f>
        <v>0</v>
      </c>
      <c r="E619" s="27">
        <f t="shared" si="18"/>
        <v>0</v>
      </c>
      <c r="I619" s="30"/>
      <c r="J619" s="30"/>
      <c r="K619" s="30"/>
      <c r="L619" s="30"/>
      <c r="M619" s="30"/>
      <c r="N619" s="30"/>
      <c r="O619" s="30"/>
      <c r="P619" s="30"/>
      <c r="Q619" s="31"/>
      <c r="R619" s="31"/>
      <c r="S619" s="31"/>
      <c r="T619" s="32"/>
      <c r="U619" s="32"/>
      <c r="V619" s="32"/>
      <c r="W619" s="32"/>
      <c r="X619" s="32"/>
      <c r="Y619" s="33"/>
      <c r="Z619" s="33"/>
      <c r="AA619" s="33"/>
    </row>
    <row r="620" spans="1:27">
      <c r="A620" s="29"/>
      <c r="B620" s="19">
        <f t="shared" si="19"/>
        <v>46327</v>
      </c>
      <c r="C620" s="27">
        <f>I620+J620+K620+L620+M620+N620+O620+P620+IF(Q620="",0,Q620*サマリー!$B$9)+IF(R620="",0,IF(R620=200,サマリー!$B$10,IF(R620=100,サマリー!$B$11,0)))+IF(S620="",0,S620*サマリー!$B$12)</f>
        <v>0</v>
      </c>
      <c r="D620" s="27">
        <f>T620+U620+V620+W620+X620+IF(Y620="",0,Y620*サマリー!$B$9)+IF(Z620="",0,IF(Z620=200,サマリー!$B$10,IF(Z620=100,サマリー!$B$11,0)))+IF(AA620="",0,AA620*サマリー!$B$12)</f>
        <v>0</v>
      </c>
      <c r="E620" s="27">
        <f t="shared" si="18"/>
        <v>0</v>
      </c>
      <c r="I620" s="30"/>
      <c r="J620" s="30"/>
      <c r="K620" s="30"/>
      <c r="L620" s="30"/>
      <c r="M620" s="30"/>
      <c r="N620" s="30"/>
      <c r="O620" s="30"/>
      <c r="P620" s="30"/>
      <c r="Q620" s="31"/>
      <c r="R620" s="31"/>
      <c r="S620" s="31"/>
      <c r="T620" s="32"/>
      <c r="U620" s="32"/>
      <c r="V620" s="32"/>
      <c r="W620" s="32"/>
      <c r="X620" s="32"/>
      <c r="Y620" s="33"/>
      <c r="Z620" s="33"/>
      <c r="AA620" s="33"/>
    </row>
    <row r="621" spans="1:27">
      <c r="A621" s="29"/>
      <c r="B621" s="19">
        <f t="shared" si="19"/>
        <v>46327</v>
      </c>
      <c r="C621" s="27">
        <f>I621+J621+K621+L621+M621+N621+O621+P621+IF(Q621="",0,Q621*サマリー!$B$9)+IF(R621="",0,IF(R621=200,サマリー!$B$10,IF(R621=100,サマリー!$B$11,0)))+IF(S621="",0,S621*サマリー!$B$12)</f>
        <v>0</v>
      </c>
      <c r="D621" s="27">
        <f>T621+U621+V621+W621+X621+IF(Y621="",0,Y621*サマリー!$B$9)+IF(Z621="",0,IF(Z621=200,サマリー!$B$10,IF(Z621=100,サマリー!$B$11,0)))+IF(AA621="",0,AA621*サマリー!$B$12)</f>
        <v>0</v>
      </c>
      <c r="E621" s="27">
        <f t="shared" si="18"/>
        <v>0</v>
      </c>
      <c r="I621" s="30"/>
      <c r="J621" s="30"/>
      <c r="K621" s="30"/>
      <c r="L621" s="30"/>
      <c r="M621" s="30"/>
      <c r="N621" s="30"/>
      <c r="O621" s="30"/>
      <c r="P621" s="30"/>
      <c r="Q621" s="31"/>
      <c r="R621" s="31"/>
      <c r="S621" s="31"/>
      <c r="T621" s="32"/>
      <c r="U621" s="32"/>
      <c r="V621" s="32"/>
      <c r="W621" s="32"/>
      <c r="X621" s="32"/>
      <c r="Y621" s="33"/>
      <c r="Z621" s="33"/>
      <c r="AA621" s="33"/>
    </row>
    <row r="622" spans="1:27">
      <c r="A622" s="29"/>
      <c r="B622" s="19">
        <f t="shared" si="19"/>
        <v>46327</v>
      </c>
      <c r="C622" s="27">
        <f>I622+J622+K622+L622+M622+N622+O622+P622+IF(Q622="",0,Q622*サマリー!$B$9)+IF(R622="",0,IF(R622=200,サマリー!$B$10,IF(R622=100,サマリー!$B$11,0)))+IF(S622="",0,S622*サマリー!$B$12)</f>
        <v>0</v>
      </c>
      <c r="D622" s="27">
        <f>T622+U622+V622+W622+X622+IF(Y622="",0,Y622*サマリー!$B$9)+IF(Z622="",0,IF(Z622=200,サマリー!$B$10,IF(Z622=100,サマリー!$B$11,0)))+IF(AA622="",0,AA622*サマリー!$B$12)</f>
        <v>0</v>
      </c>
      <c r="E622" s="27">
        <f t="shared" si="18"/>
        <v>0</v>
      </c>
      <c r="I622" s="30"/>
      <c r="J622" s="30"/>
      <c r="K622" s="30"/>
      <c r="L622" s="30"/>
      <c r="M622" s="30"/>
      <c r="N622" s="30"/>
      <c r="O622" s="30"/>
      <c r="P622" s="30"/>
      <c r="Q622" s="31"/>
      <c r="R622" s="31"/>
      <c r="S622" s="31"/>
      <c r="T622" s="32"/>
      <c r="U622" s="32"/>
      <c r="V622" s="32"/>
      <c r="W622" s="32"/>
      <c r="X622" s="32"/>
      <c r="Y622" s="33"/>
      <c r="Z622" s="33"/>
      <c r="AA622" s="33"/>
    </row>
    <row r="623" spans="1:27">
      <c r="A623" s="29"/>
      <c r="B623" s="19">
        <f t="shared" si="19"/>
        <v>46327</v>
      </c>
      <c r="C623" s="27">
        <f>I623+J623+K623+L623+M623+N623+O623+P623+IF(Q623="",0,Q623*サマリー!$B$9)+IF(R623="",0,IF(R623=200,サマリー!$B$10,IF(R623=100,サマリー!$B$11,0)))+IF(S623="",0,S623*サマリー!$B$12)</f>
        <v>0</v>
      </c>
      <c r="D623" s="27">
        <f>T623+U623+V623+W623+X623+IF(Y623="",0,Y623*サマリー!$B$9)+IF(Z623="",0,IF(Z623=200,サマリー!$B$10,IF(Z623=100,サマリー!$B$11,0)))+IF(AA623="",0,AA623*サマリー!$B$12)</f>
        <v>0</v>
      </c>
      <c r="E623" s="27">
        <f t="shared" si="18"/>
        <v>0</v>
      </c>
      <c r="I623" s="30"/>
      <c r="J623" s="30"/>
      <c r="K623" s="30"/>
      <c r="L623" s="30"/>
      <c r="M623" s="30"/>
      <c r="N623" s="30"/>
      <c r="O623" s="30"/>
      <c r="P623" s="30"/>
      <c r="Q623" s="31"/>
      <c r="R623" s="31"/>
      <c r="S623" s="31"/>
      <c r="T623" s="32"/>
      <c r="U623" s="32"/>
      <c r="V623" s="32"/>
      <c r="W623" s="32"/>
      <c r="X623" s="32"/>
      <c r="Y623" s="33"/>
      <c r="Z623" s="33"/>
      <c r="AA623" s="33"/>
    </row>
    <row r="624" spans="1:27">
      <c r="A624" s="29"/>
      <c r="B624" s="19">
        <f t="shared" si="19"/>
        <v>46327</v>
      </c>
      <c r="C624" s="27">
        <f>I624+J624+K624+L624+M624+N624+O624+P624+IF(Q624="",0,Q624*サマリー!$B$9)+IF(R624="",0,IF(R624=200,サマリー!$B$10,IF(R624=100,サマリー!$B$11,0)))+IF(S624="",0,S624*サマリー!$B$12)</f>
        <v>0</v>
      </c>
      <c r="D624" s="27">
        <f>T624+U624+V624+W624+X624+IF(Y624="",0,Y624*サマリー!$B$9)+IF(Z624="",0,IF(Z624=200,サマリー!$B$10,IF(Z624=100,サマリー!$B$11,0)))+IF(AA624="",0,AA624*サマリー!$B$12)</f>
        <v>0</v>
      </c>
      <c r="E624" s="27">
        <f t="shared" si="18"/>
        <v>0</v>
      </c>
      <c r="I624" s="30"/>
      <c r="J624" s="30"/>
      <c r="K624" s="30"/>
      <c r="L624" s="30"/>
      <c r="M624" s="30"/>
      <c r="N624" s="30"/>
      <c r="O624" s="30"/>
      <c r="P624" s="30"/>
      <c r="Q624" s="31"/>
      <c r="R624" s="31"/>
      <c r="S624" s="31"/>
      <c r="T624" s="32"/>
      <c r="U624" s="32"/>
      <c r="V624" s="32"/>
      <c r="W624" s="32"/>
      <c r="X624" s="32"/>
      <c r="Y624" s="33"/>
      <c r="Z624" s="33"/>
      <c r="AA624" s="33"/>
    </row>
    <row r="625" spans="1:27">
      <c r="A625" s="29"/>
      <c r="B625" s="19">
        <f t="shared" si="19"/>
        <v>46327</v>
      </c>
      <c r="C625" s="27">
        <f>I625+J625+K625+L625+M625+N625+O625+P625+IF(Q625="",0,Q625*サマリー!$B$9)+IF(R625="",0,IF(R625=200,サマリー!$B$10,IF(R625=100,サマリー!$B$11,0)))+IF(S625="",0,S625*サマリー!$B$12)</f>
        <v>0</v>
      </c>
      <c r="D625" s="27">
        <f>T625+U625+V625+W625+X625+IF(Y625="",0,Y625*サマリー!$B$9)+IF(Z625="",0,IF(Z625=200,サマリー!$B$10,IF(Z625=100,サマリー!$B$11,0)))+IF(AA625="",0,AA625*サマリー!$B$12)</f>
        <v>0</v>
      </c>
      <c r="E625" s="27">
        <f t="shared" si="18"/>
        <v>0</v>
      </c>
      <c r="I625" s="30"/>
      <c r="J625" s="30"/>
      <c r="K625" s="30"/>
      <c r="L625" s="30"/>
      <c r="M625" s="30"/>
      <c r="N625" s="30"/>
      <c r="O625" s="30"/>
      <c r="P625" s="30"/>
      <c r="Q625" s="31"/>
      <c r="R625" s="31"/>
      <c r="S625" s="31"/>
      <c r="T625" s="32"/>
      <c r="U625" s="32"/>
      <c r="V625" s="32"/>
      <c r="W625" s="32"/>
      <c r="X625" s="32"/>
      <c r="Y625" s="33"/>
      <c r="Z625" s="33"/>
      <c r="AA625" s="33"/>
    </row>
    <row r="626" spans="1:27">
      <c r="A626" s="29"/>
      <c r="B626" s="19">
        <f t="shared" si="19"/>
        <v>46327</v>
      </c>
      <c r="C626" s="27">
        <f>I626+J626+K626+L626+M626+N626+O626+P626+IF(Q626="",0,Q626*サマリー!$B$9)+IF(R626="",0,IF(R626=200,サマリー!$B$10,IF(R626=100,サマリー!$B$11,0)))+IF(S626="",0,S626*サマリー!$B$12)</f>
        <v>0</v>
      </c>
      <c r="D626" s="27">
        <f>T626+U626+V626+W626+X626+IF(Y626="",0,Y626*サマリー!$B$9)+IF(Z626="",0,IF(Z626=200,サマリー!$B$10,IF(Z626=100,サマリー!$B$11,0)))+IF(AA626="",0,AA626*サマリー!$B$12)</f>
        <v>0</v>
      </c>
      <c r="E626" s="27">
        <f t="shared" si="18"/>
        <v>0</v>
      </c>
      <c r="I626" s="30"/>
      <c r="J626" s="30"/>
      <c r="K626" s="30"/>
      <c r="L626" s="30"/>
      <c r="M626" s="30"/>
      <c r="N626" s="30"/>
      <c r="O626" s="30"/>
      <c r="P626" s="30"/>
      <c r="Q626" s="31"/>
      <c r="R626" s="31"/>
      <c r="S626" s="31"/>
      <c r="T626" s="32"/>
      <c r="U626" s="32"/>
      <c r="V626" s="32"/>
      <c r="W626" s="32"/>
      <c r="X626" s="32"/>
      <c r="Y626" s="33"/>
      <c r="Z626" s="33"/>
      <c r="AA626" s="33"/>
    </row>
    <row r="627" spans="1:27">
      <c r="A627" s="29"/>
      <c r="B627" s="19">
        <f t="shared" si="19"/>
        <v>46327</v>
      </c>
      <c r="C627" s="27">
        <f>I627+J627+K627+L627+M627+N627+O627+P627+IF(Q627="",0,Q627*サマリー!$B$9)+IF(R627="",0,IF(R627=200,サマリー!$B$10,IF(R627=100,サマリー!$B$11,0)))+IF(S627="",0,S627*サマリー!$B$12)</f>
        <v>0</v>
      </c>
      <c r="D627" s="27">
        <f>T627+U627+V627+W627+X627+IF(Y627="",0,Y627*サマリー!$B$9)+IF(Z627="",0,IF(Z627=200,サマリー!$B$10,IF(Z627=100,サマリー!$B$11,0)))+IF(AA627="",0,AA627*サマリー!$B$12)</f>
        <v>0</v>
      </c>
      <c r="E627" s="27">
        <f t="shared" si="18"/>
        <v>0</v>
      </c>
      <c r="I627" s="30"/>
      <c r="J627" s="30"/>
      <c r="K627" s="30"/>
      <c r="L627" s="30"/>
      <c r="M627" s="30"/>
      <c r="N627" s="30"/>
      <c r="O627" s="30"/>
      <c r="P627" s="30"/>
      <c r="Q627" s="31"/>
      <c r="R627" s="31"/>
      <c r="S627" s="31"/>
      <c r="T627" s="32"/>
      <c r="U627" s="32"/>
      <c r="V627" s="32"/>
      <c r="W627" s="32"/>
      <c r="X627" s="32"/>
      <c r="Y627" s="33"/>
      <c r="Z627" s="33"/>
      <c r="AA627" s="33"/>
    </row>
    <row r="628" spans="1:27">
      <c r="A628" s="29"/>
      <c r="B628" s="19">
        <f t="shared" si="19"/>
        <v>46327</v>
      </c>
      <c r="C628" s="27">
        <f>I628+J628+K628+L628+M628+N628+O628+P628+IF(Q628="",0,Q628*サマリー!$B$9)+IF(R628="",0,IF(R628=200,サマリー!$B$10,IF(R628=100,サマリー!$B$11,0)))+IF(S628="",0,S628*サマリー!$B$12)</f>
        <v>0</v>
      </c>
      <c r="D628" s="27">
        <f>T628+U628+V628+W628+X628+IF(Y628="",0,Y628*サマリー!$B$9)+IF(Z628="",0,IF(Z628=200,サマリー!$B$10,IF(Z628=100,サマリー!$B$11,0)))+IF(AA628="",0,AA628*サマリー!$B$12)</f>
        <v>0</v>
      </c>
      <c r="E628" s="27">
        <f t="shared" si="18"/>
        <v>0</v>
      </c>
      <c r="I628" s="30"/>
      <c r="J628" s="30"/>
      <c r="K628" s="30"/>
      <c r="L628" s="30"/>
      <c r="M628" s="30"/>
      <c r="N628" s="30"/>
      <c r="O628" s="30"/>
      <c r="P628" s="30"/>
      <c r="Q628" s="31"/>
      <c r="R628" s="31"/>
      <c r="S628" s="31"/>
      <c r="T628" s="32"/>
      <c r="U628" s="32"/>
      <c r="V628" s="32"/>
      <c r="W628" s="32"/>
      <c r="X628" s="32"/>
      <c r="Y628" s="33"/>
      <c r="Z628" s="33"/>
      <c r="AA628" s="33"/>
    </row>
    <row r="629" spans="1:27">
      <c r="A629" s="29"/>
      <c r="B629" s="19">
        <f t="shared" si="19"/>
        <v>46327</v>
      </c>
      <c r="C629" s="27">
        <f>I629+J629+K629+L629+M629+N629+O629+P629+IF(Q629="",0,Q629*サマリー!$B$9)+IF(R629="",0,IF(R629=200,サマリー!$B$10,IF(R629=100,サマリー!$B$11,0)))+IF(S629="",0,S629*サマリー!$B$12)</f>
        <v>0</v>
      </c>
      <c r="D629" s="27">
        <f>T629+U629+V629+W629+X629+IF(Y629="",0,Y629*サマリー!$B$9)+IF(Z629="",0,IF(Z629=200,サマリー!$B$10,IF(Z629=100,サマリー!$B$11,0)))+IF(AA629="",0,AA629*サマリー!$B$12)</f>
        <v>0</v>
      </c>
      <c r="E629" s="27">
        <f t="shared" si="18"/>
        <v>0</v>
      </c>
      <c r="I629" s="30"/>
      <c r="J629" s="30"/>
      <c r="K629" s="30"/>
      <c r="L629" s="30"/>
      <c r="M629" s="30"/>
      <c r="N629" s="30"/>
      <c r="O629" s="30"/>
      <c r="P629" s="30"/>
      <c r="Q629" s="31"/>
      <c r="R629" s="31"/>
      <c r="S629" s="31"/>
      <c r="T629" s="32"/>
      <c r="U629" s="32"/>
      <c r="V629" s="32"/>
      <c r="W629" s="32"/>
      <c r="X629" s="32"/>
      <c r="Y629" s="33"/>
      <c r="Z629" s="33"/>
      <c r="AA629" s="33"/>
    </row>
    <row r="630" spans="1:27">
      <c r="A630" s="29"/>
      <c r="B630" s="19">
        <f t="shared" si="19"/>
        <v>46327</v>
      </c>
      <c r="C630" s="27">
        <f>I630+J630+K630+L630+M630+N630+O630+P630+IF(Q630="",0,Q630*サマリー!$B$9)+IF(R630="",0,IF(R630=200,サマリー!$B$10,IF(R630=100,サマリー!$B$11,0)))+IF(S630="",0,S630*サマリー!$B$12)</f>
        <v>0</v>
      </c>
      <c r="D630" s="27">
        <f>T630+U630+V630+W630+X630+IF(Y630="",0,Y630*サマリー!$B$9)+IF(Z630="",0,IF(Z630=200,サマリー!$B$10,IF(Z630=100,サマリー!$B$11,0)))+IF(AA630="",0,AA630*サマリー!$B$12)</f>
        <v>0</v>
      </c>
      <c r="E630" s="27">
        <f t="shared" si="18"/>
        <v>0</v>
      </c>
      <c r="I630" s="30"/>
      <c r="J630" s="30"/>
      <c r="K630" s="30"/>
      <c r="L630" s="30"/>
      <c r="M630" s="30"/>
      <c r="N630" s="30"/>
      <c r="O630" s="30"/>
      <c r="P630" s="30"/>
      <c r="Q630" s="31"/>
      <c r="R630" s="31"/>
      <c r="S630" s="31"/>
      <c r="T630" s="32"/>
      <c r="U630" s="32"/>
      <c r="V630" s="32"/>
      <c r="W630" s="32"/>
      <c r="X630" s="32"/>
      <c r="Y630" s="33"/>
      <c r="Z630" s="33"/>
      <c r="AA630" s="33"/>
    </row>
    <row r="631" spans="1:27">
      <c r="A631" s="29"/>
      <c r="B631" s="19">
        <f t="shared" si="19"/>
        <v>46327</v>
      </c>
      <c r="C631" s="27">
        <f>I631+J631+K631+L631+M631+N631+O631+P631+IF(Q631="",0,Q631*サマリー!$B$9)+IF(R631="",0,IF(R631=200,サマリー!$B$10,IF(R631=100,サマリー!$B$11,0)))+IF(S631="",0,S631*サマリー!$B$12)</f>
        <v>0</v>
      </c>
      <c r="D631" s="27">
        <f>T631+U631+V631+W631+X631+IF(Y631="",0,Y631*サマリー!$B$9)+IF(Z631="",0,IF(Z631=200,サマリー!$B$10,IF(Z631=100,サマリー!$B$11,0)))+IF(AA631="",0,AA631*サマリー!$B$12)</f>
        <v>0</v>
      </c>
      <c r="E631" s="27">
        <f t="shared" si="18"/>
        <v>0</v>
      </c>
      <c r="I631" s="30"/>
      <c r="J631" s="30"/>
      <c r="K631" s="30"/>
      <c r="L631" s="30"/>
      <c r="M631" s="30"/>
      <c r="N631" s="30"/>
      <c r="O631" s="30"/>
      <c r="P631" s="30"/>
      <c r="Q631" s="31"/>
      <c r="R631" s="31"/>
      <c r="S631" s="31"/>
      <c r="T631" s="32"/>
      <c r="U631" s="32"/>
      <c r="V631" s="32"/>
      <c r="W631" s="32"/>
      <c r="X631" s="32"/>
      <c r="Y631" s="33"/>
      <c r="Z631" s="33"/>
      <c r="AA631" s="33"/>
    </row>
    <row r="632" spans="1:27">
      <c r="A632" s="29"/>
      <c r="B632" s="19">
        <f t="shared" si="19"/>
        <v>46327</v>
      </c>
      <c r="C632" s="27">
        <f>I632+J632+K632+L632+M632+N632+O632+P632+IF(Q632="",0,Q632*サマリー!$B$9)+IF(R632="",0,IF(R632=200,サマリー!$B$10,IF(R632=100,サマリー!$B$11,0)))+IF(S632="",0,S632*サマリー!$B$12)</f>
        <v>0</v>
      </c>
      <c r="D632" s="27">
        <f>T632+U632+V632+W632+X632+IF(Y632="",0,Y632*サマリー!$B$9)+IF(Z632="",0,IF(Z632=200,サマリー!$B$10,IF(Z632=100,サマリー!$B$11,0)))+IF(AA632="",0,AA632*サマリー!$B$12)</f>
        <v>0</v>
      </c>
      <c r="E632" s="27">
        <f t="shared" si="18"/>
        <v>0</v>
      </c>
      <c r="I632" s="30"/>
      <c r="J632" s="30"/>
      <c r="K632" s="30"/>
      <c r="L632" s="30"/>
      <c r="M632" s="30"/>
      <c r="N632" s="30"/>
      <c r="O632" s="30"/>
      <c r="P632" s="30"/>
      <c r="Q632" s="31"/>
      <c r="R632" s="31"/>
      <c r="S632" s="31"/>
      <c r="T632" s="32"/>
      <c r="U632" s="32"/>
      <c r="V632" s="32"/>
      <c r="W632" s="32"/>
      <c r="X632" s="32"/>
      <c r="Y632" s="33"/>
      <c r="Z632" s="33"/>
      <c r="AA632" s="33"/>
    </row>
    <row r="633" spans="1:27">
      <c r="A633" s="29"/>
      <c r="B633" s="19">
        <f t="shared" si="19"/>
        <v>46327</v>
      </c>
      <c r="C633" s="27">
        <f>I633+J633+K633+L633+M633+N633+O633+P633+IF(Q633="",0,Q633*サマリー!$B$9)+IF(R633="",0,IF(R633=200,サマリー!$B$10,IF(R633=100,サマリー!$B$11,0)))+IF(S633="",0,S633*サマリー!$B$12)</f>
        <v>0</v>
      </c>
      <c r="D633" s="27">
        <f>T633+U633+V633+W633+X633+IF(Y633="",0,Y633*サマリー!$B$9)+IF(Z633="",0,IF(Z633=200,サマリー!$B$10,IF(Z633=100,サマリー!$B$11,0)))+IF(AA633="",0,AA633*サマリー!$B$12)</f>
        <v>0</v>
      </c>
      <c r="E633" s="27">
        <f t="shared" si="18"/>
        <v>0</v>
      </c>
      <c r="I633" s="30"/>
      <c r="J633" s="30"/>
      <c r="K633" s="30"/>
      <c r="L633" s="30"/>
      <c r="M633" s="30"/>
      <c r="N633" s="30"/>
      <c r="O633" s="30"/>
      <c r="P633" s="30"/>
      <c r="Q633" s="31"/>
      <c r="R633" s="31"/>
      <c r="S633" s="31"/>
      <c r="T633" s="32"/>
      <c r="U633" s="32"/>
      <c r="V633" s="32"/>
      <c r="W633" s="32"/>
      <c r="X633" s="32"/>
      <c r="Y633" s="33"/>
      <c r="Z633" s="33"/>
      <c r="AA633" s="33"/>
    </row>
    <row r="634" spans="1:27">
      <c r="A634" s="29"/>
      <c r="B634" s="19">
        <f t="shared" si="19"/>
        <v>46327</v>
      </c>
      <c r="C634" s="27">
        <f>I634+J634+K634+L634+M634+N634+O634+P634+IF(Q634="",0,Q634*サマリー!$B$9)+IF(R634="",0,IF(R634=200,サマリー!$B$10,IF(R634=100,サマリー!$B$11,0)))+IF(S634="",0,S634*サマリー!$B$12)</f>
        <v>0</v>
      </c>
      <c r="D634" s="27">
        <f>T634+U634+V634+W634+X634+IF(Y634="",0,Y634*サマリー!$B$9)+IF(Z634="",0,IF(Z634=200,サマリー!$B$10,IF(Z634=100,サマリー!$B$11,0)))+IF(AA634="",0,AA634*サマリー!$B$12)</f>
        <v>0</v>
      </c>
      <c r="E634" s="27">
        <f t="shared" si="18"/>
        <v>0</v>
      </c>
      <c r="I634" s="30"/>
      <c r="J634" s="30"/>
      <c r="K634" s="30"/>
      <c r="L634" s="30"/>
      <c r="M634" s="30"/>
      <c r="N634" s="30"/>
      <c r="O634" s="30"/>
      <c r="P634" s="30"/>
      <c r="Q634" s="31"/>
      <c r="R634" s="31"/>
      <c r="S634" s="31"/>
      <c r="T634" s="32"/>
      <c r="U634" s="32"/>
      <c r="V634" s="32"/>
      <c r="W634" s="32"/>
      <c r="X634" s="32"/>
      <c r="Y634" s="33"/>
      <c r="Z634" s="33"/>
      <c r="AA634" s="33"/>
    </row>
    <row r="635" spans="1:27">
      <c r="A635" s="29"/>
      <c r="B635" s="19">
        <f t="shared" si="19"/>
        <v>46327</v>
      </c>
      <c r="C635" s="27">
        <f>I635+J635+K635+L635+M635+N635+O635+P635+IF(Q635="",0,Q635*サマリー!$B$9)+IF(R635="",0,IF(R635=200,サマリー!$B$10,IF(R635=100,サマリー!$B$11,0)))+IF(S635="",0,S635*サマリー!$B$12)</f>
        <v>0</v>
      </c>
      <c r="D635" s="27">
        <f>T635+U635+V635+W635+X635+IF(Y635="",0,Y635*サマリー!$B$9)+IF(Z635="",0,IF(Z635=200,サマリー!$B$10,IF(Z635=100,サマリー!$B$11,0)))+IF(AA635="",0,AA635*サマリー!$B$12)</f>
        <v>0</v>
      </c>
      <c r="E635" s="27">
        <f t="shared" si="18"/>
        <v>0</v>
      </c>
      <c r="I635" s="30"/>
      <c r="J635" s="30"/>
      <c r="K635" s="30"/>
      <c r="L635" s="30"/>
      <c r="M635" s="30"/>
      <c r="N635" s="30"/>
      <c r="O635" s="30"/>
      <c r="P635" s="30"/>
      <c r="Q635" s="31"/>
      <c r="R635" s="31"/>
      <c r="S635" s="31"/>
      <c r="T635" s="32"/>
      <c r="U635" s="32"/>
      <c r="V635" s="32"/>
      <c r="W635" s="32"/>
      <c r="X635" s="32"/>
      <c r="Y635" s="33"/>
      <c r="Z635" s="33"/>
      <c r="AA635" s="33"/>
    </row>
    <row r="636" spans="1:27">
      <c r="A636" s="29"/>
      <c r="B636" s="19">
        <f t="shared" si="19"/>
        <v>46327</v>
      </c>
      <c r="C636" s="27">
        <f>I636+J636+K636+L636+M636+N636+O636+P636+IF(Q636="",0,Q636*サマリー!$B$9)+IF(R636="",0,IF(R636=200,サマリー!$B$10,IF(R636=100,サマリー!$B$11,0)))+IF(S636="",0,S636*サマリー!$B$12)</f>
        <v>0</v>
      </c>
      <c r="D636" s="27">
        <f>T636+U636+V636+W636+X636+IF(Y636="",0,Y636*サマリー!$B$9)+IF(Z636="",0,IF(Z636=200,サマリー!$B$10,IF(Z636=100,サマリー!$B$11,0)))+IF(AA636="",0,AA636*サマリー!$B$12)</f>
        <v>0</v>
      </c>
      <c r="E636" s="27">
        <f t="shared" si="18"/>
        <v>0</v>
      </c>
      <c r="I636" s="30"/>
      <c r="J636" s="30"/>
      <c r="K636" s="30"/>
      <c r="L636" s="30"/>
      <c r="M636" s="30"/>
      <c r="N636" s="30"/>
      <c r="O636" s="30"/>
      <c r="P636" s="30"/>
      <c r="Q636" s="31"/>
      <c r="R636" s="31"/>
      <c r="S636" s="31"/>
      <c r="T636" s="32"/>
      <c r="U636" s="32"/>
      <c r="V636" s="32"/>
      <c r="W636" s="32"/>
      <c r="X636" s="32"/>
      <c r="Y636" s="33"/>
      <c r="Z636" s="33"/>
      <c r="AA636" s="33"/>
    </row>
    <row r="637" spans="1:27">
      <c r="A637" s="29"/>
      <c r="B637" s="19">
        <f t="shared" si="19"/>
        <v>46327</v>
      </c>
      <c r="C637" s="27">
        <f>I637+J637+K637+L637+M637+N637+O637+P637+IF(Q637="",0,Q637*サマリー!$B$9)+IF(R637="",0,IF(R637=200,サマリー!$B$10,IF(R637=100,サマリー!$B$11,0)))+IF(S637="",0,S637*サマリー!$B$12)</f>
        <v>0</v>
      </c>
      <c r="D637" s="27">
        <f>T637+U637+V637+W637+X637+IF(Y637="",0,Y637*サマリー!$B$9)+IF(Z637="",0,IF(Z637=200,サマリー!$B$10,IF(Z637=100,サマリー!$B$11,0)))+IF(AA637="",0,AA637*サマリー!$B$12)</f>
        <v>0</v>
      </c>
      <c r="E637" s="27">
        <f t="shared" si="18"/>
        <v>0</v>
      </c>
      <c r="I637" s="30"/>
      <c r="J637" s="30"/>
      <c r="K637" s="30"/>
      <c r="L637" s="30"/>
      <c r="M637" s="30"/>
      <c r="N637" s="30"/>
      <c r="O637" s="30"/>
      <c r="P637" s="30"/>
      <c r="Q637" s="31"/>
      <c r="R637" s="31"/>
      <c r="S637" s="31"/>
      <c r="T637" s="32"/>
      <c r="U637" s="32"/>
      <c r="V637" s="32"/>
      <c r="W637" s="32"/>
      <c r="X637" s="32"/>
      <c r="Y637" s="33"/>
      <c r="Z637" s="33"/>
      <c r="AA637" s="33"/>
    </row>
    <row r="638" spans="1:27">
      <c r="A638" s="29"/>
      <c r="B638" s="19">
        <f t="shared" si="19"/>
        <v>46327</v>
      </c>
      <c r="C638" s="27">
        <f>I638+J638+K638+L638+M638+N638+O638+P638+IF(Q638="",0,Q638*サマリー!$B$9)+IF(R638="",0,IF(R638=200,サマリー!$B$10,IF(R638=100,サマリー!$B$11,0)))+IF(S638="",0,S638*サマリー!$B$12)</f>
        <v>0</v>
      </c>
      <c r="D638" s="27">
        <f>T638+U638+V638+W638+X638+IF(Y638="",0,Y638*サマリー!$B$9)+IF(Z638="",0,IF(Z638=200,サマリー!$B$10,IF(Z638=100,サマリー!$B$11,0)))+IF(AA638="",0,AA638*サマリー!$B$12)</f>
        <v>0</v>
      </c>
      <c r="E638" s="27">
        <f t="shared" si="18"/>
        <v>0</v>
      </c>
      <c r="I638" s="30"/>
      <c r="J638" s="30"/>
      <c r="K638" s="30"/>
      <c r="L638" s="30"/>
      <c r="M638" s="30"/>
      <c r="N638" s="30"/>
      <c r="O638" s="30"/>
      <c r="P638" s="30"/>
      <c r="Q638" s="31"/>
      <c r="R638" s="31"/>
      <c r="S638" s="31"/>
      <c r="T638" s="32"/>
      <c r="U638" s="32"/>
      <c r="V638" s="32"/>
      <c r="W638" s="32"/>
      <c r="X638" s="32"/>
      <c r="Y638" s="33"/>
      <c r="Z638" s="33"/>
      <c r="AA638" s="33"/>
    </row>
    <row r="639" spans="1:27">
      <c r="A639" s="29"/>
      <c r="B639" s="19">
        <f t="shared" si="19"/>
        <v>46327</v>
      </c>
      <c r="C639" s="27">
        <f>I639+J639+K639+L639+M639+N639+O639+P639+IF(Q639="",0,Q639*サマリー!$B$9)+IF(R639="",0,IF(R639=200,サマリー!$B$10,IF(R639=100,サマリー!$B$11,0)))+IF(S639="",0,S639*サマリー!$B$12)</f>
        <v>0</v>
      </c>
      <c r="D639" s="27">
        <f>T639+U639+V639+W639+X639+IF(Y639="",0,Y639*サマリー!$B$9)+IF(Z639="",0,IF(Z639=200,サマリー!$B$10,IF(Z639=100,サマリー!$B$11,0)))+IF(AA639="",0,AA639*サマリー!$B$12)</f>
        <v>0</v>
      </c>
      <c r="E639" s="27">
        <f t="shared" si="18"/>
        <v>0</v>
      </c>
      <c r="I639" s="30"/>
      <c r="J639" s="30"/>
      <c r="K639" s="30"/>
      <c r="L639" s="30"/>
      <c r="M639" s="30"/>
      <c r="N639" s="30"/>
      <c r="O639" s="30"/>
      <c r="P639" s="30"/>
      <c r="Q639" s="31"/>
      <c r="R639" s="31"/>
      <c r="S639" s="31"/>
      <c r="T639" s="32"/>
      <c r="U639" s="32"/>
      <c r="V639" s="32"/>
      <c r="W639" s="32"/>
      <c r="X639" s="32"/>
      <c r="Y639" s="33"/>
      <c r="Z639" s="33"/>
      <c r="AA639" s="33"/>
    </row>
    <row r="640" spans="1:27">
      <c r="A640" s="29"/>
      <c r="B640" s="19">
        <f t="shared" si="19"/>
        <v>46327</v>
      </c>
      <c r="C640" s="27">
        <f>I640+J640+K640+L640+M640+N640+O640+P640+IF(Q640="",0,Q640*サマリー!$B$9)+IF(R640="",0,IF(R640=200,サマリー!$B$10,IF(R640=100,サマリー!$B$11,0)))+IF(S640="",0,S640*サマリー!$B$12)</f>
        <v>0</v>
      </c>
      <c r="D640" s="27">
        <f>T640+U640+V640+W640+X640+IF(Y640="",0,Y640*サマリー!$B$9)+IF(Z640="",0,IF(Z640=200,サマリー!$B$10,IF(Z640=100,サマリー!$B$11,0)))+IF(AA640="",0,AA640*サマリー!$B$12)</f>
        <v>0</v>
      </c>
      <c r="E640" s="27">
        <f t="shared" si="18"/>
        <v>0</v>
      </c>
      <c r="I640" s="30"/>
      <c r="J640" s="30"/>
      <c r="K640" s="30"/>
      <c r="L640" s="30"/>
      <c r="M640" s="30"/>
      <c r="N640" s="30"/>
      <c r="O640" s="30"/>
      <c r="P640" s="30"/>
      <c r="Q640" s="31"/>
      <c r="R640" s="31"/>
      <c r="S640" s="31"/>
      <c r="T640" s="32"/>
      <c r="U640" s="32"/>
      <c r="V640" s="32"/>
      <c r="W640" s="32"/>
      <c r="X640" s="32"/>
      <c r="Y640" s="33"/>
      <c r="Z640" s="33"/>
      <c r="AA640" s="33"/>
    </row>
    <row r="641" spans="1:27">
      <c r="A641" s="29"/>
      <c r="B641" s="19">
        <f t="shared" si="19"/>
        <v>46327</v>
      </c>
      <c r="C641" s="27">
        <f>I641+J641+K641+L641+M641+N641+O641+P641+IF(Q641="",0,Q641*サマリー!$B$9)+IF(R641="",0,IF(R641=200,サマリー!$B$10,IF(R641=100,サマリー!$B$11,0)))+IF(S641="",0,S641*サマリー!$B$12)</f>
        <v>0</v>
      </c>
      <c r="D641" s="27">
        <f>T641+U641+V641+W641+X641+IF(Y641="",0,Y641*サマリー!$B$9)+IF(Z641="",0,IF(Z641=200,サマリー!$B$10,IF(Z641=100,サマリー!$B$11,0)))+IF(AA641="",0,AA641*サマリー!$B$12)</f>
        <v>0</v>
      </c>
      <c r="E641" s="27">
        <f t="shared" si="18"/>
        <v>0</v>
      </c>
      <c r="I641" s="30"/>
      <c r="J641" s="30"/>
      <c r="K641" s="30"/>
      <c r="L641" s="30"/>
      <c r="M641" s="30"/>
      <c r="N641" s="30"/>
      <c r="O641" s="30"/>
      <c r="P641" s="30"/>
      <c r="Q641" s="31"/>
      <c r="R641" s="31"/>
      <c r="S641" s="31"/>
      <c r="T641" s="32"/>
      <c r="U641" s="32"/>
      <c r="V641" s="32"/>
      <c r="W641" s="32"/>
      <c r="X641" s="32"/>
      <c r="Y641" s="33"/>
      <c r="Z641" s="33"/>
      <c r="AA641" s="33"/>
    </row>
    <row r="642" spans="1:27">
      <c r="A642" s="29"/>
      <c r="B642" s="19">
        <f t="shared" si="19"/>
        <v>46327</v>
      </c>
      <c r="C642" s="27">
        <f>I642+J642+K642+L642+M642+N642+O642+P642+IF(Q642="",0,Q642*サマリー!$B$9)+IF(R642="",0,IF(R642=200,サマリー!$B$10,IF(R642=100,サマリー!$B$11,0)))+IF(S642="",0,S642*サマリー!$B$12)</f>
        <v>0</v>
      </c>
      <c r="D642" s="27">
        <f>T642+U642+V642+W642+X642+IF(Y642="",0,Y642*サマリー!$B$9)+IF(Z642="",0,IF(Z642=200,サマリー!$B$10,IF(Z642=100,サマリー!$B$11,0)))+IF(AA642="",0,AA642*サマリー!$B$12)</f>
        <v>0</v>
      </c>
      <c r="E642" s="27">
        <f t="shared" si="18"/>
        <v>0</v>
      </c>
      <c r="I642" s="30"/>
      <c r="J642" s="30"/>
      <c r="K642" s="30"/>
      <c r="L642" s="30"/>
      <c r="M642" s="30"/>
      <c r="N642" s="30"/>
      <c r="O642" s="30"/>
      <c r="P642" s="30"/>
      <c r="Q642" s="31"/>
      <c r="R642" s="31"/>
      <c r="S642" s="31"/>
      <c r="T642" s="32"/>
      <c r="U642" s="32"/>
      <c r="V642" s="32"/>
      <c r="W642" s="32"/>
      <c r="X642" s="32"/>
      <c r="Y642" s="33"/>
      <c r="Z642" s="33"/>
      <c r="AA642" s="33"/>
    </row>
    <row r="643" spans="1:27">
      <c r="A643" s="29"/>
      <c r="B643" s="19">
        <f t="shared" si="19"/>
        <v>46327</v>
      </c>
      <c r="C643" s="27">
        <f>I643+J643+K643+L643+M643+N643+O643+P643+IF(Q643="",0,Q643*サマリー!$B$9)+IF(R643="",0,IF(R643=200,サマリー!$B$10,IF(R643=100,サマリー!$B$11,0)))+IF(S643="",0,S643*サマリー!$B$12)</f>
        <v>0</v>
      </c>
      <c r="D643" s="27">
        <f>T643+U643+V643+W643+X643+IF(Y643="",0,Y643*サマリー!$B$9)+IF(Z643="",0,IF(Z643=200,サマリー!$B$10,IF(Z643=100,サマリー!$B$11,0)))+IF(AA643="",0,AA643*サマリー!$B$12)</f>
        <v>0</v>
      </c>
      <c r="E643" s="27">
        <f t="shared" si="18"/>
        <v>0</v>
      </c>
      <c r="I643" s="30"/>
      <c r="J643" s="30"/>
      <c r="K643" s="30"/>
      <c r="L643" s="30"/>
      <c r="M643" s="30"/>
      <c r="N643" s="30"/>
      <c r="O643" s="30"/>
      <c r="P643" s="30"/>
      <c r="Q643" s="31"/>
      <c r="R643" s="31"/>
      <c r="S643" s="31"/>
      <c r="T643" s="32"/>
      <c r="U643" s="32"/>
      <c r="V643" s="32"/>
      <c r="W643" s="32"/>
      <c r="X643" s="32"/>
      <c r="Y643" s="33"/>
      <c r="Z643" s="33"/>
      <c r="AA643" s="33"/>
    </row>
    <row r="644" spans="1:27">
      <c r="A644" s="29"/>
      <c r="B644" s="19">
        <f t="shared" si="19"/>
        <v>46327</v>
      </c>
      <c r="C644" s="27">
        <f>I644+J644+K644+L644+M644+N644+O644+P644+IF(Q644="",0,Q644*サマリー!$B$9)+IF(R644="",0,IF(R644=200,サマリー!$B$10,IF(R644=100,サマリー!$B$11,0)))+IF(S644="",0,S644*サマリー!$B$12)</f>
        <v>0</v>
      </c>
      <c r="D644" s="27">
        <f>T644+U644+V644+W644+X644+IF(Y644="",0,Y644*サマリー!$B$9)+IF(Z644="",0,IF(Z644=200,サマリー!$B$10,IF(Z644=100,サマリー!$B$11,0)))+IF(AA644="",0,AA644*サマリー!$B$12)</f>
        <v>0</v>
      </c>
      <c r="E644" s="27">
        <f t="shared" si="18"/>
        <v>0</v>
      </c>
      <c r="I644" s="30"/>
      <c r="J644" s="30"/>
      <c r="K644" s="30"/>
      <c r="L644" s="30"/>
      <c r="M644" s="30"/>
      <c r="N644" s="30"/>
      <c r="O644" s="30"/>
      <c r="P644" s="30"/>
      <c r="Q644" s="31"/>
      <c r="R644" s="31"/>
      <c r="S644" s="31"/>
      <c r="T644" s="32"/>
      <c r="U644" s="32"/>
      <c r="V644" s="32"/>
      <c r="W644" s="32"/>
      <c r="X644" s="32"/>
      <c r="Y644" s="33"/>
      <c r="Z644" s="33"/>
      <c r="AA644" s="33"/>
    </row>
    <row r="645" spans="1:27">
      <c r="A645" s="29"/>
      <c r="B645" s="19">
        <f t="shared" si="19"/>
        <v>46327</v>
      </c>
      <c r="C645" s="27">
        <f>I645+J645+K645+L645+M645+N645+O645+P645+IF(Q645="",0,Q645*サマリー!$B$9)+IF(R645="",0,IF(R645=200,サマリー!$B$10,IF(R645=100,サマリー!$B$11,0)))+IF(S645="",0,S645*サマリー!$B$12)</f>
        <v>0</v>
      </c>
      <c r="D645" s="27">
        <f>T645+U645+V645+W645+X645+IF(Y645="",0,Y645*サマリー!$B$9)+IF(Z645="",0,IF(Z645=200,サマリー!$B$10,IF(Z645=100,サマリー!$B$11,0)))+IF(AA645="",0,AA645*サマリー!$B$12)</f>
        <v>0</v>
      </c>
      <c r="E645" s="27">
        <f t="shared" si="18"/>
        <v>0</v>
      </c>
      <c r="I645" s="30"/>
      <c r="J645" s="30"/>
      <c r="K645" s="30"/>
      <c r="L645" s="30"/>
      <c r="M645" s="30"/>
      <c r="N645" s="30"/>
      <c r="O645" s="30"/>
      <c r="P645" s="30"/>
      <c r="Q645" s="31"/>
      <c r="R645" s="31"/>
      <c r="S645" s="31"/>
      <c r="T645" s="32"/>
      <c r="U645" s="32"/>
      <c r="V645" s="32"/>
      <c r="W645" s="32"/>
      <c r="X645" s="32"/>
      <c r="Y645" s="33"/>
      <c r="Z645" s="33"/>
      <c r="AA645" s="33"/>
    </row>
    <row r="646" spans="1:27">
      <c r="A646" s="29"/>
      <c r="B646" s="19">
        <f t="shared" si="19"/>
        <v>46327</v>
      </c>
      <c r="C646" s="27">
        <f>I646+J646+K646+L646+M646+N646+O646+P646+IF(Q646="",0,Q646*サマリー!$B$9)+IF(R646="",0,IF(R646=200,サマリー!$B$10,IF(R646=100,サマリー!$B$11,0)))+IF(S646="",0,S646*サマリー!$B$12)</f>
        <v>0</v>
      </c>
      <c r="D646" s="27">
        <f>T646+U646+V646+W646+X646+IF(Y646="",0,Y646*サマリー!$B$9)+IF(Z646="",0,IF(Z646=200,サマリー!$B$10,IF(Z646=100,サマリー!$B$11,0)))+IF(AA646="",0,AA646*サマリー!$B$12)</f>
        <v>0</v>
      </c>
      <c r="E646" s="27">
        <f t="shared" ref="E646:E709" si="20">C646+D646</f>
        <v>0</v>
      </c>
      <c r="I646" s="30"/>
      <c r="J646" s="30"/>
      <c r="K646" s="30"/>
      <c r="L646" s="30"/>
      <c r="M646" s="30"/>
      <c r="N646" s="30"/>
      <c r="O646" s="30"/>
      <c r="P646" s="30"/>
      <c r="Q646" s="31"/>
      <c r="R646" s="31"/>
      <c r="S646" s="31"/>
      <c r="T646" s="32"/>
      <c r="U646" s="32"/>
      <c r="V646" s="32"/>
      <c r="W646" s="32"/>
      <c r="X646" s="32"/>
      <c r="Y646" s="33"/>
      <c r="Z646" s="33"/>
      <c r="AA646" s="33"/>
    </row>
    <row r="647" spans="1:27">
      <c r="A647" s="29"/>
      <c r="B647" s="19">
        <f t="shared" ref="B647:B710" si="21">IF(A647="",B646,IF(A647&lt;DAY(B646),DATE(YEAR(B646),MONTH(B646)+1,A647),DATE(YEAR(B646),MONTH(B646),A647)))</f>
        <v>46327</v>
      </c>
      <c r="C647" s="27">
        <f>I647+J647+K647+L647+M647+N647+O647+P647+IF(Q647="",0,Q647*サマリー!$B$9)+IF(R647="",0,IF(R647=200,サマリー!$B$10,IF(R647=100,サマリー!$B$11,0)))+IF(S647="",0,S647*サマリー!$B$12)</f>
        <v>0</v>
      </c>
      <c r="D647" s="27">
        <f>T647+U647+V647+W647+X647+IF(Y647="",0,Y647*サマリー!$B$9)+IF(Z647="",0,IF(Z647=200,サマリー!$B$10,IF(Z647=100,サマリー!$B$11,0)))+IF(AA647="",0,AA647*サマリー!$B$12)</f>
        <v>0</v>
      </c>
      <c r="E647" s="27">
        <f t="shared" si="20"/>
        <v>0</v>
      </c>
      <c r="I647" s="30"/>
      <c r="J647" s="30"/>
      <c r="K647" s="30"/>
      <c r="L647" s="30"/>
      <c r="M647" s="30"/>
      <c r="N647" s="30"/>
      <c r="O647" s="30"/>
      <c r="P647" s="30"/>
      <c r="Q647" s="31"/>
      <c r="R647" s="31"/>
      <c r="S647" s="31"/>
      <c r="T647" s="32"/>
      <c r="U647" s="32"/>
      <c r="V647" s="32"/>
      <c r="W647" s="32"/>
      <c r="X647" s="32"/>
      <c r="Y647" s="33"/>
      <c r="Z647" s="33"/>
      <c r="AA647" s="33"/>
    </row>
    <row r="648" spans="1:27">
      <c r="A648" s="29"/>
      <c r="B648" s="19">
        <f t="shared" si="21"/>
        <v>46327</v>
      </c>
      <c r="C648" s="27">
        <f>I648+J648+K648+L648+M648+N648+O648+P648+IF(Q648="",0,Q648*サマリー!$B$9)+IF(R648="",0,IF(R648=200,サマリー!$B$10,IF(R648=100,サマリー!$B$11,0)))+IF(S648="",0,S648*サマリー!$B$12)</f>
        <v>0</v>
      </c>
      <c r="D648" s="27">
        <f>T648+U648+V648+W648+X648+IF(Y648="",0,Y648*サマリー!$B$9)+IF(Z648="",0,IF(Z648=200,サマリー!$B$10,IF(Z648=100,サマリー!$B$11,0)))+IF(AA648="",0,AA648*サマリー!$B$12)</f>
        <v>0</v>
      </c>
      <c r="E648" s="27">
        <f t="shared" si="20"/>
        <v>0</v>
      </c>
      <c r="I648" s="30"/>
      <c r="J648" s="30"/>
      <c r="K648" s="30"/>
      <c r="L648" s="30"/>
      <c r="M648" s="30"/>
      <c r="N648" s="30"/>
      <c r="O648" s="30"/>
      <c r="P648" s="30"/>
      <c r="Q648" s="31"/>
      <c r="R648" s="31"/>
      <c r="S648" s="31"/>
      <c r="T648" s="32"/>
      <c r="U648" s="32"/>
      <c r="V648" s="32"/>
      <c r="W648" s="32"/>
      <c r="X648" s="32"/>
      <c r="Y648" s="33"/>
      <c r="Z648" s="33"/>
      <c r="AA648" s="33"/>
    </row>
    <row r="649" spans="1:27">
      <c r="A649" s="29"/>
      <c r="B649" s="19">
        <f t="shared" si="21"/>
        <v>46327</v>
      </c>
      <c r="C649" s="27">
        <f>I649+J649+K649+L649+M649+N649+O649+P649+IF(Q649="",0,Q649*サマリー!$B$9)+IF(R649="",0,IF(R649=200,サマリー!$B$10,IF(R649=100,サマリー!$B$11,0)))+IF(S649="",0,S649*サマリー!$B$12)</f>
        <v>0</v>
      </c>
      <c r="D649" s="27">
        <f>T649+U649+V649+W649+X649+IF(Y649="",0,Y649*サマリー!$B$9)+IF(Z649="",0,IF(Z649=200,サマリー!$B$10,IF(Z649=100,サマリー!$B$11,0)))+IF(AA649="",0,AA649*サマリー!$B$12)</f>
        <v>0</v>
      </c>
      <c r="E649" s="27">
        <f t="shared" si="20"/>
        <v>0</v>
      </c>
      <c r="I649" s="30"/>
      <c r="J649" s="30"/>
      <c r="K649" s="30"/>
      <c r="L649" s="30"/>
      <c r="M649" s="30"/>
      <c r="N649" s="30"/>
      <c r="O649" s="30"/>
      <c r="P649" s="30"/>
      <c r="Q649" s="31"/>
      <c r="R649" s="31"/>
      <c r="S649" s="31"/>
      <c r="T649" s="32"/>
      <c r="U649" s="32"/>
      <c r="V649" s="32"/>
      <c r="W649" s="32"/>
      <c r="X649" s="32"/>
      <c r="Y649" s="33"/>
      <c r="Z649" s="33"/>
      <c r="AA649" s="33"/>
    </row>
    <row r="650" spans="1:27">
      <c r="A650" s="29"/>
      <c r="B650" s="19">
        <f t="shared" si="21"/>
        <v>46327</v>
      </c>
      <c r="C650" s="27">
        <f>I650+J650+K650+L650+M650+N650+O650+P650+IF(Q650="",0,Q650*サマリー!$B$9)+IF(R650="",0,IF(R650=200,サマリー!$B$10,IF(R650=100,サマリー!$B$11,0)))+IF(S650="",0,S650*サマリー!$B$12)</f>
        <v>0</v>
      </c>
      <c r="D650" s="27">
        <f>T650+U650+V650+W650+X650+IF(Y650="",0,Y650*サマリー!$B$9)+IF(Z650="",0,IF(Z650=200,サマリー!$B$10,IF(Z650=100,サマリー!$B$11,0)))+IF(AA650="",0,AA650*サマリー!$B$12)</f>
        <v>0</v>
      </c>
      <c r="E650" s="27">
        <f t="shared" si="20"/>
        <v>0</v>
      </c>
      <c r="I650" s="30"/>
      <c r="J650" s="30"/>
      <c r="K650" s="30"/>
      <c r="L650" s="30"/>
      <c r="M650" s="30"/>
      <c r="N650" s="30"/>
      <c r="O650" s="30"/>
      <c r="P650" s="30"/>
      <c r="Q650" s="31"/>
      <c r="R650" s="31"/>
      <c r="S650" s="31"/>
      <c r="T650" s="32"/>
      <c r="U650" s="32"/>
      <c r="V650" s="32"/>
      <c r="W650" s="32"/>
      <c r="X650" s="32"/>
      <c r="Y650" s="33"/>
      <c r="Z650" s="33"/>
      <c r="AA650" s="33"/>
    </row>
    <row r="651" spans="1:27">
      <c r="A651" s="29"/>
      <c r="B651" s="19">
        <f t="shared" si="21"/>
        <v>46327</v>
      </c>
      <c r="C651" s="27">
        <f>I651+J651+K651+L651+M651+N651+O651+P651+IF(Q651="",0,Q651*サマリー!$B$9)+IF(R651="",0,IF(R651=200,サマリー!$B$10,IF(R651=100,サマリー!$B$11,0)))+IF(S651="",0,S651*サマリー!$B$12)</f>
        <v>0</v>
      </c>
      <c r="D651" s="27">
        <f>T651+U651+V651+W651+X651+IF(Y651="",0,Y651*サマリー!$B$9)+IF(Z651="",0,IF(Z651=200,サマリー!$B$10,IF(Z651=100,サマリー!$B$11,0)))+IF(AA651="",0,AA651*サマリー!$B$12)</f>
        <v>0</v>
      </c>
      <c r="E651" s="27">
        <f t="shared" si="20"/>
        <v>0</v>
      </c>
      <c r="I651" s="30"/>
      <c r="J651" s="30"/>
      <c r="K651" s="30"/>
      <c r="L651" s="30"/>
      <c r="M651" s="30"/>
      <c r="N651" s="30"/>
      <c r="O651" s="30"/>
      <c r="P651" s="30"/>
      <c r="Q651" s="31"/>
      <c r="R651" s="31"/>
      <c r="S651" s="31"/>
      <c r="T651" s="32"/>
      <c r="U651" s="32"/>
      <c r="V651" s="32"/>
      <c r="W651" s="32"/>
      <c r="X651" s="32"/>
      <c r="Y651" s="33"/>
      <c r="Z651" s="33"/>
      <c r="AA651" s="33"/>
    </row>
    <row r="652" spans="1:27">
      <c r="A652" s="29"/>
      <c r="B652" s="19">
        <f t="shared" si="21"/>
        <v>46327</v>
      </c>
      <c r="C652" s="27">
        <f>I652+J652+K652+L652+M652+N652+O652+P652+IF(Q652="",0,Q652*サマリー!$B$9)+IF(R652="",0,IF(R652=200,サマリー!$B$10,IF(R652=100,サマリー!$B$11,0)))+IF(S652="",0,S652*サマリー!$B$12)</f>
        <v>0</v>
      </c>
      <c r="D652" s="27">
        <f>T652+U652+V652+W652+X652+IF(Y652="",0,Y652*サマリー!$B$9)+IF(Z652="",0,IF(Z652=200,サマリー!$B$10,IF(Z652=100,サマリー!$B$11,0)))+IF(AA652="",0,AA652*サマリー!$B$12)</f>
        <v>0</v>
      </c>
      <c r="E652" s="27">
        <f t="shared" si="20"/>
        <v>0</v>
      </c>
      <c r="I652" s="30"/>
      <c r="J652" s="30"/>
      <c r="K652" s="30"/>
      <c r="L652" s="30"/>
      <c r="M652" s="30"/>
      <c r="N652" s="30"/>
      <c r="O652" s="30"/>
      <c r="P652" s="30"/>
      <c r="Q652" s="31"/>
      <c r="R652" s="31"/>
      <c r="S652" s="31"/>
      <c r="T652" s="32"/>
      <c r="U652" s="32"/>
      <c r="V652" s="32"/>
      <c r="W652" s="32"/>
      <c r="X652" s="32"/>
      <c r="Y652" s="33"/>
      <c r="Z652" s="33"/>
      <c r="AA652" s="33"/>
    </row>
    <row r="653" spans="1:27">
      <c r="A653" s="29"/>
      <c r="B653" s="19">
        <f t="shared" si="21"/>
        <v>46327</v>
      </c>
      <c r="C653" s="27">
        <f>I653+J653+K653+L653+M653+N653+O653+P653+IF(Q653="",0,Q653*サマリー!$B$9)+IF(R653="",0,IF(R653=200,サマリー!$B$10,IF(R653=100,サマリー!$B$11,0)))+IF(S653="",0,S653*サマリー!$B$12)</f>
        <v>0</v>
      </c>
      <c r="D653" s="27">
        <f>T653+U653+V653+W653+X653+IF(Y653="",0,Y653*サマリー!$B$9)+IF(Z653="",0,IF(Z653=200,サマリー!$B$10,IF(Z653=100,サマリー!$B$11,0)))+IF(AA653="",0,AA653*サマリー!$B$12)</f>
        <v>0</v>
      </c>
      <c r="E653" s="27">
        <f t="shared" si="20"/>
        <v>0</v>
      </c>
      <c r="I653" s="30"/>
      <c r="J653" s="30"/>
      <c r="K653" s="30"/>
      <c r="L653" s="30"/>
      <c r="M653" s="30"/>
      <c r="N653" s="30"/>
      <c r="O653" s="30"/>
      <c r="P653" s="30"/>
      <c r="Q653" s="31"/>
      <c r="R653" s="31"/>
      <c r="S653" s="31"/>
      <c r="T653" s="32"/>
      <c r="U653" s="32"/>
      <c r="V653" s="32"/>
      <c r="W653" s="32"/>
      <c r="X653" s="32"/>
      <c r="Y653" s="33"/>
      <c r="Z653" s="33"/>
      <c r="AA653" s="33"/>
    </row>
    <row r="654" spans="1:27">
      <c r="A654" s="29"/>
      <c r="B654" s="19">
        <f t="shared" si="21"/>
        <v>46327</v>
      </c>
      <c r="C654" s="27">
        <f>I654+J654+K654+L654+M654+N654+O654+P654+IF(Q654="",0,Q654*サマリー!$B$9)+IF(R654="",0,IF(R654=200,サマリー!$B$10,IF(R654=100,サマリー!$B$11,0)))+IF(S654="",0,S654*サマリー!$B$12)</f>
        <v>0</v>
      </c>
      <c r="D654" s="27">
        <f>T654+U654+V654+W654+X654+IF(Y654="",0,Y654*サマリー!$B$9)+IF(Z654="",0,IF(Z654=200,サマリー!$B$10,IF(Z654=100,サマリー!$B$11,0)))+IF(AA654="",0,AA654*サマリー!$B$12)</f>
        <v>0</v>
      </c>
      <c r="E654" s="27">
        <f t="shared" si="20"/>
        <v>0</v>
      </c>
      <c r="I654" s="30"/>
      <c r="J654" s="30"/>
      <c r="K654" s="30"/>
      <c r="L654" s="30"/>
      <c r="M654" s="30"/>
      <c r="N654" s="30"/>
      <c r="O654" s="30"/>
      <c r="P654" s="30"/>
      <c r="Q654" s="31"/>
      <c r="R654" s="31"/>
      <c r="S654" s="31"/>
      <c r="T654" s="32"/>
      <c r="U654" s="32"/>
      <c r="V654" s="32"/>
      <c r="W654" s="32"/>
      <c r="X654" s="32"/>
      <c r="Y654" s="33"/>
      <c r="Z654" s="33"/>
      <c r="AA654" s="33"/>
    </row>
    <row r="655" spans="1:27">
      <c r="A655" s="29"/>
      <c r="B655" s="19">
        <f t="shared" si="21"/>
        <v>46327</v>
      </c>
      <c r="C655" s="27">
        <f>I655+J655+K655+L655+M655+N655+O655+P655+IF(Q655="",0,Q655*サマリー!$B$9)+IF(R655="",0,IF(R655=200,サマリー!$B$10,IF(R655=100,サマリー!$B$11,0)))+IF(S655="",0,S655*サマリー!$B$12)</f>
        <v>0</v>
      </c>
      <c r="D655" s="27">
        <f>T655+U655+V655+W655+X655+IF(Y655="",0,Y655*サマリー!$B$9)+IF(Z655="",0,IF(Z655=200,サマリー!$B$10,IF(Z655=100,サマリー!$B$11,0)))+IF(AA655="",0,AA655*サマリー!$B$12)</f>
        <v>0</v>
      </c>
      <c r="E655" s="27">
        <f t="shared" si="20"/>
        <v>0</v>
      </c>
      <c r="I655" s="30"/>
      <c r="J655" s="30"/>
      <c r="K655" s="30"/>
      <c r="L655" s="30"/>
      <c r="M655" s="30"/>
      <c r="N655" s="30"/>
      <c r="O655" s="30"/>
      <c r="P655" s="30"/>
      <c r="Q655" s="31"/>
      <c r="R655" s="31"/>
      <c r="S655" s="31"/>
      <c r="T655" s="32"/>
      <c r="U655" s="32"/>
      <c r="V655" s="32"/>
      <c r="W655" s="32"/>
      <c r="X655" s="32"/>
      <c r="Y655" s="33"/>
      <c r="Z655" s="33"/>
      <c r="AA655" s="33"/>
    </row>
    <row r="656" spans="1:27">
      <c r="A656" s="29"/>
      <c r="B656" s="19">
        <f t="shared" si="21"/>
        <v>46327</v>
      </c>
      <c r="C656" s="27">
        <f>I656+J656+K656+L656+M656+N656+O656+P656+IF(Q656="",0,Q656*サマリー!$B$9)+IF(R656="",0,IF(R656=200,サマリー!$B$10,IF(R656=100,サマリー!$B$11,0)))+IF(S656="",0,S656*サマリー!$B$12)</f>
        <v>0</v>
      </c>
      <c r="D656" s="27">
        <f>T656+U656+V656+W656+X656+IF(Y656="",0,Y656*サマリー!$B$9)+IF(Z656="",0,IF(Z656=200,サマリー!$B$10,IF(Z656=100,サマリー!$B$11,0)))+IF(AA656="",0,AA656*サマリー!$B$12)</f>
        <v>0</v>
      </c>
      <c r="E656" s="27">
        <f t="shared" si="20"/>
        <v>0</v>
      </c>
      <c r="I656" s="30"/>
      <c r="J656" s="30"/>
      <c r="K656" s="30"/>
      <c r="L656" s="30"/>
      <c r="M656" s="30"/>
      <c r="N656" s="30"/>
      <c r="O656" s="30"/>
      <c r="P656" s="30"/>
      <c r="Q656" s="31"/>
      <c r="R656" s="31"/>
      <c r="S656" s="31"/>
      <c r="T656" s="32"/>
      <c r="U656" s="32"/>
      <c r="V656" s="32"/>
      <c r="W656" s="32"/>
      <c r="X656" s="32"/>
      <c r="Y656" s="33"/>
      <c r="Z656" s="33"/>
      <c r="AA656" s="33"/>
    </row>
    <row r="657" spans="1:27">
      <c r="A657" s="29"/>
      <c r="B657" s="19">
        <f t="shared" si="21"/>
        <v>46327</v>
      </c>
      <c r="C657" s="27">
        <f>I657+J657+K657+L657+M657+N657+O657+P657+IF(Q657="",0,Q657*サマリー!$B$9)+IF(R657="",0,IF(R657=200,サマリー!$B$10,IF(R657=100,サマリー!$B$11,0)))+IF(S657="",0,S657*サマリー!$B$12)</f>
        <v>0</v>
      </c>
      <c r="D657" s="27">
        <f>T657+U657+V657+W657+X657+IF(Y657="",0,Y657*サマリー!$B$9)+IF(Z657="",0,IF(Z657=200,サマリー!$B$10,IF(Z657=100,サマリー!$B$11,0)))+IF(AA657="",0,AA657*サマリー!$B$12)</f>
        <v>0</v>
      </c>
      <c r="E657" s="27">
        <f t="shared" si="20"/>
        <v>0</v>
      </c>
      <c r="I657" s="30"/>
      <c r="J657" s="30"/>
      <c r="K657" s="30"/>
      <c r="L657" s="30"/>
      <c r="M657" s="30"/>
      <c r="N657" s="30"/>
      <c r="O657" s="30"/>
      <c r="P657" s="30"/>
      <c r="Q657" s="31"/>
      <c r="R657" s="31"/>
      <c r="S657" s="31"/>
      <c r="T657" s="32"/>
      <c r="U657" s="32"/>
      <c r="V657" s="32"/>
      <c r="W657" s="32"/>
      <c r="X657" s="32"/>
      <c r="Y657" s="33"/>
      <c r="Z657" s="33"/>
      <c r="AA657" s="33"/>
    </row>
    <row r="658" spans="1:27">
      <c r="A658" s="29"/>
      <c r="B658" s="19">
        <f t="shared" si="21"/>
        <v>46327</v>
      </c>
      <c r="C658" s="27">
        <f>I658+J658+K658+L658+M658+N658+O658+P658+IF(Q658="",0,Q658*サマリー!$B$9)+IF(R658="",0,IF(R658=200,サマリー!$B$10,IF(R658=100,サマリー!$B$11,0)))+IF(S658="",0,S658*サマリー!$B$12)</f>
        <v>0</v>
      </c>
      <c r="D658" s="27">
        <f>T658+U658+V658+W658+X658+IF(Y658="",0,Y658*サマリー!$B$9)+IF(Z658="",0,IF(Z658=200,サマリー!$B$10,IF(Z658=100,サマリー!$B$11,0)))+IF(AA658="",0,AA658*サマリー!$B$12)</f>
        <v>0</v>
      </c>
      <c r="E658" s="27">
        <f t="shared" si="20"/>
        <v>0</v>
      </c>
      <c r="I658" s="30"/>
      <c r="J658" s="30"/>
      <c r="K658" s="30"/>
      <c r="L658" s="30"/>
      <c r="M658" s="30"/>
      <c r="N658" s="30"/>
      <c r="O658" s="30"/>
      <c r="P658" s="30"/>
      <c r="Q658" s="31"/>
      <c r="R658" s="31"/>
      <c r="S658" s="31"/>
      <c r="T658" s="32"/>
      <c r="U658" s="32"/>
      <c r="V658" s="32"/>
      <c r="W658" s="32"/>
      <c r="X658" s="32"/>
      <c r="Y658" s="33"/>
      <c r="Z658" s="33"/>
      <c r="AA658" s="33"/>
    </row>
    <row r="659" spans="1:27">
      <c r="A659" s="29"/>
      <c r="B659" s="19">
        <f t="shared" si="21"/>
        <v>46327</v>
      </c>
      <c r="C659" s="27">
        <f>I659+J659+K659+L659+M659+N659+O659+P659+IF(Q659="",0,Q659*サマリー!$B$9)+IF(R659="",0,IF(R659=200,サマリー!$B$10,IF(R659=100,サマリー!$B$11,0)))+IF(S659="",0,S659*サマリー!$B$12)</f>
        <v>0</v>
      </c>
      <c r="D659" s="27">
        <f>T659+U659+V659+W659+X659+IF(Y659="",0,Y659*サマリー!$B$9)+IF(Z659="",0,IF(Z659=200,サマリー!$B$10,IF(Z659=100,サマリー!$B$11,0)))+IF(AA659="",0,AA659*サマリー!$B$12)</f>
        <v>0</v>
      </c>
      <c r="E659" s="27">
        <f t="shared" si="20"/>
        <v>0</v>
      </c>
      <c r="I659" s="30"/>
      <c r="J659" s="30"/>
      <c r="K659" s="30"/>
      <c r="L659" s="30"/>
      <c r="M659" s="30"/>
      <c r="N659" s="30"/>
      <c r="O659" s="30"/>
      <c r="P659" s="30"/>
      <c r="Q659" s="31"/>
      <c r="R659" s="31"/>
      <c r="S659" s="31"/>
      <c r="T659" s="32"/>
      <c r="U659" s="32"/>
      <c r="V659" s="32"/>
      <c r="W659" s="32"/>
      <c r="X659" s="32"/>
      <c r="Y659" s="33"/>
      <c r="Z659" s="33"/>
      <c r="AA659" s="33"/>
    </row>
    <row r="660" spans="1:27">
      <c r="A660" s="29"/>
      <c r="B660" s="19">
        <f t="shared" si="21"/>
        <v>46327</v>
      </c>
      <c r="C660" s="27">
        <f>I660+J660+K660+L660+M660+N660+O660+P660+IF(Q660="",0,Q660*サマリー!$B$9)+IF(R660="",0,IF(R660=200,サマリー!$B$10,IF(R660=100,サマリー!$B$11,0)))+IF(S660="",0,S660*サマリー!$B$12)</f>
        <v>0</v>
      </c>
      <c r="D660" s="27">
        <f>T660+U660+V660+W660+X660+IF(Y660="",0,Y660*サマリー!$B$9)+IF(Z660="",0,IF(Z660=200,サマリー!$B$10,IF(Z660=100,サマリー!$B$11,0)))+IF(AA660="",0,AA660*サマリー!$B$12)</f>
        <v>0</v>
      </c>
      <c r="E660" s="27">
        <f t="shared" si="20"/>
        <v>0</v>
      </c>
      <c r="I660" s="30"/>
      <c r="J660" s="30"/>
      <c r="K660" s="30"/>
      <c r="L660" s="30"/>
      <c r="M660" s="30"/>
      <c r="N660" s="30"/>
      <c r="O660" s="30"/>
      <c r="P660" s="30"/>
      <c r="Q660" s="31"/>
      <c r="R660" s="31"/>
      <c r="S660" s="31"/>
      <c r="T660" s="32"/>
      <c r="U660" s="32"/>
      <c r="V660" s="32"/>
      <c r="W660" s="32"/>
      <c r="X660" s="32"/>
      <c r="Y660" s="33"/>
      <c r="Z660" s="33"/>
      <c r="AA660" s="33"/>
    </row>
    <row r="661" spans="1:27">
      <c r="A661" s="29"/>
      <c r="B661" s="19">
        <f t="shared" si="21"/>
        <v>46327</v>
      </c>
      <c r="C661" s="27">
        <f>I661+J661+K661+L661+M661+N661+O661+P661+IF(Q661="",0,Q661*サマリー!$B$9)+IF(R661="",0,IF(R661=200,サマリー!$B$10,IF(R661=100,サマリー!$B$11,0)))+IF(S661="",0,S661*サマリー!$B$12)</f>
        <v>0</v>
      </c>
      <c r="D661" s="27">
        <f>T661+U661+V661+W661+X661+IF(Y661="",0,Y661*サマリー!$B$9)+IF(Z661="",0,IF(Z661=200,サマリー!$B$10,IF(Z661=100,サマリー!$B$11,0)))+IF(AA661="",0,AA661*サマリー!$B$12)</f>
        <v>0</v>
      </c>
      <c r="E661" s="27">
        <f t="shared" si="20"/>
        <v>0</v>
      </c>
      <c r="I661" s="30"/>
      <c r="J661" s="30"/>
      <c r="K661" s="30"/>
      <c r="L661" s="30"/>
      <c r="M661" s="30"/>
      <c r="N661" s="30"/>
      <c r="O661" s="30"/>
      <c r="P661" s="30"/>
      <c r="Q661" s="31"/>
      <c r="R661" s="31"/>
      <c r="S661" s="31"/>
      <c r="T661" s="32"/>
      <c r="U661" s="32"/>
      <c r="V661" s="32"/>
      <c r="W661" s="32"/>
      <c r="X661" s="32"/>
      <c r="Y661" s="33"/>
      <c r="Z661" s="33"/>
      <c r="AA661" s="33"/>
    </row>
    <row r="662" spans="1:27">
      <c r="A662" s="29"/>
      <c r="B662" s="19">
        <f t="shared" si="21"/>
        <v>46327</v>
      </c>
      <c r="C662" s="27">
        <f>I662+J662+K662+L662+M662+N662+O662+P662+IF(Q662="",0,Q662*サマリー!$B$9)+IF(R662="",0,IF(R662=200,サマリー!$B$10,IF(R662=100,サマリー!$B$11,0)))+IF(S662="",0,S662*サマリー!$B$12)</f>
        <v>0</v>
      </c>
      <c r="D662" s="27">
        <f>T662+U662+V662+W662+X662+IF(Y662="",0,Y662*サマリー!$B$9)+IF(Z662="",0,IF(Z662=200,サマリー!$B$10,IF(Z662=100,サマリー!$B$11,0)))+IF(AA662="",0,AA662*サマリー!$B$12)</f>
        <v>0</v>
      </c>
      <c r="E662" s="27">
        <f t="shared" si="20"/>
        <v>0</v>
      </c>
      <c r="I662" s="30"/>
      <c r="J662" s="30"/>
      <c r="K662" s="30"/>
      <c r="L662" s="30"/>
      <c r="M662" s="30"/>
      <c r="N662" s="30"/>
      <c r="O662" s="30"/>
      <c r="P662" s="30"/>
      <c r="Q662" s="31"/>
      <c r="R662" s="31"/>
      <c r="S662" s="31"/>
      <c r="T662" s="32"/>
      <c r="U662" s="32"/>
      <c r="V662" s="32"/>
      <c r="W662" s="32"/>
      <c r="X662" s="32"/>
      <c r="Y662" s="33"/>
      <c r="Z662" s="33"/>
      <c r="AA662" s="33"/>
    </row>
    <row r="663" spans="1:27">
      <c r="A663" s="29"/>
      <c r="B663" s="19">
        <f t="shared" si="21"/>
        <v>46327</v>
      </c>
      <c r="C663" s="27">
        <f>I663+J663+K663+L663+M663+N663+O663+P663+IF(Q663="",0,Q663*サマリー!$B$9)+IF(R663="",0,IF(R663=200,サマリー!$B$10,IF(R663=100,サマリー!$B$11,0)))+IF(S663="",0,S663*サマリー!$B$12)</f>
        <v>0</v>
      </c>
      <c r="D663" s="27">
        <f>T663+U663+V663+W663+X663+IF(Y663="",0,Y663*サマリー!$B$9)+IF(Z663="",0,IF(Z663=200,サマリー!$B$10,IF(Z663=100,サマリー!$B$11,0)))+IF(AA663="",0,AA663*サマリー!$B$12)</f>
        <v>0</v>
      </c>
      <c r="E663" s="27">
        <f t="shared" si="20"/>
        <v>0</v>
      </c>
      <c r="I663" s="30"/>
      <c r="J663" s="30"/>
      <c r="K663" s="30"/>
      <c r="L663" s="30"/>
      <c r="M663" s="30"/>
      <c r="N663" s="30"/>
      <c r="O663" s="30"/>
      <c r="P663" s="30"/>
      <c r="Q663" s="31"/>
      <c r="R663" s="31"/>
      <c r="S663" s="31"/>
      <c r="T663" s="32"/>
      <c r="U663" s="32"/>
      <c r="V663" s="32"/>
      <c r="W663" s="32"/>
      <c r="X663" s="32"/>
      <c r="Y663" s="33"/>
      <c r="Z663" s="33"/>
      <c r="AA663" s="33"/>
    </row>
    <row r="664" spans="1:27">
      <c r="A664" s="29"/>
      <c r="B664" s="19">
        <f t="shared" si="21"/>
        <v>46327</v>
      </c>
      <c r="C664" s="27">
        <f>I664+J664+K664+L664+M664+N664+O664+P664+IF(Q664="",0,Q664*サマリー!$B$9)+IF(R664="",0,IF(R664=200,サマリー!$B$10,IF(R664=100,サマリー!$B$11,0)))+IF(S664="",0,S664*サマリー!$B$12)</f>
        <v>0</v>
      </c>
      <c r="D664" s="27">
        <f>T664+U664+V664+W664+X664+IF(Y664="",0,Y664*サマリー!$B$9)+IF(Z664="",0,IF(Z664=200,サマリー!$B$10,IF(Z664=100,サマリー!$B$11,0)))+IF(AA664="",0,AA664*サマリー!$B$12)</f>
        <v>0</v>
      </c>
      <c r="E664" s="27">
        <f t="shared" si="20"/>
        <v>0</v>
      </c>
      <c r="I664" s="30"/>
      <c r="J664" s="30"/>
      <c r="K664" s="30"/>
      <c r="L664" s="30"/>
      <c r="M664" s="30"/>
      <c r="N664" s="30"/>
      <c r="O664" s="30"/>
      <c r="P664" s="30"/>
      <c r="Q664" s="31"/>
      <c r="R664" s="31"/>
      <c r="S664" s="31"/>
      <c r="T664" s="32"/>
      <c r="U664" s="32"/>
      <c r="V664" s="32"/>
      <c r="W664" s="32"/>
      <c r="X664" s="32"/>
      <c r="Y664" s="33"/>
      <c r="Z664" s="33"/>
      <c r="AA664" s="33"/>
    </row>
    <row r="665" spans="1:27">
      <c r="A665" s="29"/>
      <c r="B665" s="19">
        <f t="shared" si="21"/>
        <v>46327</v>
      </c>
      <c r="C665" s="27">
        <f>I665+J665+K665+L665+M665+N665+O665+P665+IF(Q665="",0,Q665*サマリー!$B$9)+IF(R665="",0,IF(R665=200,サマリー!$B$10,IF(R665=100,サマリー!$B$11,0)))+IF(S665="",0,S665*サマリー!$B$12)</f>
        <v>0</v>
      </c>
      <c r="D665" s="27">
        <f>T665+U665+V665+W665+X665+IF(Y665="",0,Y665*サマリー!$B$9)+IF(Z665="",0,IF(Z665=200,サマリー!$B$10,IF(Z665=100,サマリー!$B$11,0)))+IF(AA665="",0,AA665*サマリー!$B$12)</f>
        <v>0</v>
      </c>
      <c r="E665" s="27">
        <f t="shared" si="20"/>
        <v>0</v>
      </c>
      <c r="I665" s="30"/>
      <c r="J665" s="30"/>
      <c r="K665" s="30"/>
      <c r="L665" s="30"/>
      <c r="M665" s="30"/>
      <c r="N665" s="30"/>
      <c r="O665" s="30"/>
      <c r="P665" s="30"/>
      <c r="Q665" s="31"/>
      <c r="R665" s="31"/>
      <c r="S665" s="31"/>
      <c r="T665" s="32"/>
      <c r="U665" s="32"/>
      <c r="V665" s="32"/>
      <c r="W665" s="32"/>
      <c r="X665" s="32"/>
      <c r="Y665" s="33"/>
      <c r="Z665" s="33"/>
      <c r="AA665" s="33"/>
    </row>
    <row r="666" spans="1:27">
      <c r="A666" s="29"/>
      <c r="B666" s="19">
        <f t="shared" si="21"/>
        <v>46327</v>
      </c>
      <c r="C666" s="27">
        <f>I666+J666+K666+L666+M666+N666+O666+P666+IF(Q666="",0,Q666*サマリー!$B$9)+IF(R666="",0,IF(R666=200,サマリー!$B$10,IF(R666=100,サマリー!$B$11,0)))+IF(S666="",0,S666*サマリー!$B$12)</f>
        <v>0</v>
      </c>
      <c r="D666" s="27">
        <f>T666+U666+V666+W666+X666+IF(Y666="",0,Y666*サマリー!$B$9)+IF(Z666="",0,IF(Z666=200,サマリー!$B$10,IF(Z666=100,サマリー!$B$11,0)))+IF(AA666="",0,AA666*サマリー!$B$12)</f>
        <v>0</v>
      </c>
      <c r="E666" s="27">
        <f t="shared" si="20"/>
        <v>0</v>
      </c>
      <c r="I666" s="30"/>
      <c r="J666" s="30"/>
      <c r="K666" s="30"/>
      <c r="L666" s="30"/>
      <c r="M666" s="30"/>
      <c r="N666" s="30"/>
      <c r="O666" s="30"/>
      <c r="P666" s="30"/>
      <c r="Q666" s="31"/>
      <c r="R666" s="31"/>
      <c r="S666" s="31"/>
      <c r="T666" s="32"/>
      <c r="U666" s="32"/>
      <c r="V666" s="32"/>
      <c r="W666" s="32"/>
      <c r="X666" s="32"/>
      <c r="Y666" s="33"/>
      <c r="Z666" s="33"/>
      <c r="AA666" s="33"/>
    </row>
    <row r="667" spans="1:27">
      <c r="A667" s="29"/>
      <c r="B667" s="19">
        <f t="shared" si="21"/>
        <v>46327</v>
      </c>
      <c r="C667" s="27">
        <f>I667+J667+K667+L667+M667+N667+O667+P667+IF(Q667="",0,Q667*サマリー!$B$9)+IF(R667="",0,IF(R667=200,サマリー!$B$10,IF(R667=100,サマリー!$B$11,0)))+IF(S667="",0,S667*サマリー!$B$12)</f>
        <v>0</v>
      </c>
      <c r="D667" s="27">
        <f>T667+U667+V667+W667+X667+IF(Y667="",0,Y667*サマリー!$B$9)+IF(Z667="",0,IF(Z667=200,サマリー!$B$10,IF(Z667=100,サマリー!$B$11,0)))+IF(AA667="",0,AA667*サマリー!$B$12)</f>
        <v>0</v>
      </c>
      <c r="E667" s="27">
        <f t="shared" si="20"/>
        <v>0</v>
      </c>
      <c r="I667" s="30"/>
      <c r="J667" s="30"/>
      <c r="K667" s="30"/>
      <c r="L667" s="30"/>
      <c r="M667" s="30"/>
      <c r="N667" s="30"/>
      <c r="O667" s="30"/>
      <c r="P667" s="30"/>
      <c r="Q667" s="31"/>
      <c r="R667" s="31"/>
      <c r="S667" s="31"/>
      <c r="T667" s="32"/>
      <c r="U667" s="32"/>
      <c r="V667" s="32"/>
      <c r="W667" s="32"/>
      <c r="X667" s="32"/>
      <c r="Y667" s="33"/>
      <c r="Z667" s="33"/>
      <c r="AA667" s="33"/>
    </row>
    <row r="668" spans="1:27">
      <c r="A668" s="29"/>
      <c r="B668" s="19">
        <f t="shared" si="21"/>
        <v>46327</v>
      </c>
      <c r="C668" s="27">
        <f>I668+J668+K668+L668+M668+N668+O668+P668+IF(Q668="",0,Q668*サマリー!$B$9)+IF(R668="",0,IF(R668=200,サマリー!$B$10,IF(R668=100,サマリー!$B$11,0)))+IF(S668="",0,S668*サマリー!$B$12)</f>
        <v>0</v>
      </c>
      <c r="D668" s="27">
        <f>T668+U668+V668+W668+X668+IF(Y668="",0,Y668*サマリー!$B$9)+IF(Z668="",0,IF(Z668=200,サマリー!$B$10,IF(Z668=100,サマリー!$B$11,0)))+IF(AA668="",0,AA668*サマリー!$B$12)</f>
        <v>0</v>
      </c>
      <c r="E668" s="27">
        <f t="shared" si="20"/>
        <v>0</v>
      </c>
      <c r="I668" s="30"/>
      <c r="J668" s="30"/>
      <c r="K668" s="30"/>
      <c r="L668" s="30"/>
      <c r="M668" s="30"/>
      <c r="N668" s="30"/>
      <c r="O668" s="30"/>
      <c r="P668" s="30"/>
      <c r="Q668" s="31"/>
      <c r="R668" s="31"/>
      <c r="S668" s="31"/>
      <c r="T668" s="32"/>
      <c r="U668" s="32"/>
      <c r="V668" s="32"/>
      <c r="W668" s="32"/>
      <c r="X668" s="32"/>
      <c r="Y668" s="33"/>
      <c r="Z668" s="33"/>
      <c r="AA668" s="33"/>
    </row>
    <row r="669" spans="1:27">
      <c r="A669" s="29"/>
      <c r="B669" s="19">
        <f t="shared" si="21"/>
        <v>46327</v>
      </c>
      <c r="C669" s="27">
        <f>I669+J669+K669+L669+M669+N669+O669+P669+IF(Q669="",0,Q669*サマリー!$B$9)+IF(R669="",0,IF(R669=200,サマリー!$B$10,IF(R669=100,サマリー!$B$11,0)))+IF(S669="",0,S669*サマリー!$B$12)</f>
        <v>0</v>
      </c>
      <c r="D669" s="27">
        <f>T669+U669+V669+W669+X669+IF(Y669="",0,Y669*サマリー!$B$9)+IF(Z669="",0,IF(Z669=200,サマリー!$B$10,IF(Z669=100,サマリー!$B$11,0)))+IF(AA669="",0,AA669*サマリー!$B$12)</f>
        <v>0</v>
      </c>
      <c r="E669" s="27">
        <f t="shared" si="20"/>
        <v>0</v>
      </c>
      <c r="I669" s="30"/>
      <c r="J669" s="30"/>
      <c r="K669" s="30"/>
      <c r="L669" s="30"/>
      <c r="M669" s="30"/>
      <c r="N669" s="30"/>
      <c r="O669" s="30"/>
      <c r="P669" s="30"/>
      <c r="Q669" s="31"/>
      <c r="R669" s="31"/>
      <c r="S669" s="31"/>
      <c r="T669" s="32"/>
      <c r="U669" s="32"/>
      <c r="V669" s="32"/>
      <c r="W669" s="32"/>
      <c r="X669" s="32"/>
      <c r="Y669" s="33"/>
      <c r="Z669" s="33"/>
      <c r="AA669" s="33"/>
    </row>
    <row r="670" spans="1:27">
      <c r="A670" s="29"/>
      <c r="B670" s="19">
        <f t="shared" si="21"/>
        <v>46327</v>
      </c>
      <c r="C670" s="27">
        <f>I670+J670+K670+L670+M670+N670+O670+P670+IF(Q670="",0,Q670*サマリー!$B$9)+IF(R670="",0,IF(R670=200,サマリー!$B$10,IF(R670=100,サマリー!$B$11,0)))+IF(S670="",0,S670*サマリー!$B$12)</f>
        <v>0</v>
      </c>
      <c r="D670" s="27">
        <f>T670+U670+V670+W670+X670+IF(Y670="",0,Y670*サマリー!$B$9)+IF(Z670="",0,IF(Z670=200,サマリー!$B$10,IF(Z670=100,サマリー!$B$11,0)))+IF(AA670="",0,AA670*サマリー!$B$12)</f>
        <v>0</v>
      </c>
      <c r="E670" s="27">
        <f t="shared" si="20"/>
        <v>0</v>
      </c>
      <c r="I670" s="30"/>
      <c r="J670" s="30"/>
      <c r="K670" s="30"/>
      <c r="L670" s="30"/>
      <c r="M670" s="30"/>
      <c r="N670" s="30"/>
      <c r="O670" s="30"/>
      <c r="P670" s="30"/>
      <c r="Q670" s="31"/>
      <c r="R670" s="31"/>
      <c r="S670" s="31"/>
      <c r="T670" s="32"/>
      <c r="U670" s="32"/>
      <c r="V670" s="32"/>
      <c r="W670" s="32"/>
      <c r="X670" s="32"/>
      <c r="Y670" s="33"/>
      <c r="Z670" s="33"/>
      <c r="AA670" s="33"/>
    </row>
    <row r="671" spans="1:27">
      <c r="A671" s="29"/>
      <c r="B671" s="19">
        <f t="shared" si="21"/>
        <v>46327</v>
      </c>
      <c r="C671" s="27">
        <f>I671+J671+K671+L671+M671+N671+O671+P671+IF(Q671="",0,Q671*サマリー!$B$9)+IF(R671="",0,IF(R671=200,サマリー!$B$10,IF(R671=100,サマリー!$B$11,0)))+IF(S671="",0,S671*サマリー!$B$12)</f>
        <v>0</v>
      </c>
      <c r="D671" s="27">
        <f>T671+U671+V671+W671+X671+IF(Y671="",0,Y671*サマリー!$B$9)+IF(Z671="",0,IF(Z671=200,サマリー!$B$10,IF(Z671=100,サマリー!$B$11,0)))+IF(AA671="",0,AA671*サマリー!$B$12)</f>
        <v>0</v>
      </c>
      <c r="E671" s="27">
        <f t="shared" si="20"/>
        <v>0</v>
      </c>
      <c r="I671" s="30"/>
      <c r="J671" s="30"/>
      <c r="K671" s="30"/>
      <c r="L671" s="30"/>
      <c r="M671" s="30"/>
      <c r="N671" s="30"/>
      <c r="O671" s="30"/>
      <c r="P671" s="30"/>
      <c r="Q671" s="31"/>
      <c r="R671" s="31"/>
      <c r="S671" s="31"/>
      <c r="T671" s="32"/>
      <c r="U671" s="32"/>
      <c r="V671" s="32"/>
      <c r="W671" s="32"/>
      <c r="X671" s="32"/>
      <c r="Y671" s="33"/>
      <c r="Z671" s="33"/>
      <c r="AA671" s="33"/>
    </row>
    <row r="672" spans="1:27">
      <c r="A672" s="29"/>
      <c r="B672" s="19">
        <f t="shared" si="21"/>
        <v>46327</v>
      </c>
      <c r="C672" s="27">
        <f>I672+J672+K672+L672+M672+N672+O672+P672+IF(Q672="",0,Q672*サマリー!$B$9)+IF(R672="",0,IF(R672=200,サマリー!$B$10,IF(R672=100,サマリー!$B$11,0)))+IF(S672="",0,S672*サマリー!$B$12)</f>
        <v>0</v>
      </c>
      <c r="D672" s="27">
        <f>T672+U672+V672+W672+X672+IF(Y672="",0,Y672*サマリー!$B$9)+IF(Z672="",0,IF(Z672=200,サマリー!$B$10,IF(Z672=100,サマリー!$B$11,0)))+IF(AA672="",0,AA672*サマリー!$B$12)</f>
        <v>0</v>
      </c>
      <c r="E672" s="27">
        <f t="shared" si="20"/>
        <v>0</v>
      </c>
      <c r="I672" s="30"/>
      <c r="J672" s="30"/>
      <c r="K672" s="30"/>
      <c r="L672" s="30"/>
      <c r="M672" s="30"/>
      <c r="N672" s="30"/>
      <c r="O672" s="30"/>
      <c r="P672" s="30"/>
      <c r="Q672" s="31"/>
      <c r="R672" s="31"/>
      <c r="S672" s="31"/>
      <c r="T672" s="32"/>
      <c r="U672" s="32"/>
      <c r="V672" s="32"/>
      <c r="W672" s="32"/>
      <c r="X672" s="32"/>
      <c r="Y672" s="33"/>
      <c r="Z672" s="33"/>
      <c r="AA672" s="33"/>
    </row>
    <row r="673" spans="1:27">
      <c r="A673" s="29"/>
      <c r="B673" s="19">
        <f t="shared" si="21"/>
        <v>46327</v>
      </c>
      <c r="C673" s="27">
        <f>I673+J673+K673+L673+M673+N673+O673+P673+IF(Q673="",0,Q673*サマリー!$B$9)+IF(R673="",0,IF(R673=200,サマリー!$B$10,IF(R673=100,サマリー!$B$11,0)))+IF(S673="",0,S673*サマリー!$B$12)</f>
        <v>0</v>
      </c>
      <c r="D673" s="27">
        <f>T673+U673+V673+W673+X673+IF(Y673="",0,Y673*サマリー!$B$9)+IF(Z673="",0,IF(Z673=200,サマリー!$B$10,IF(Z673=100,サマリー!$B$11,0)))+IF(AA673="",0,AA673*サマリー!$B$12)</f>
        <v>0</v>
      </c>
      <c r="E673" s="27">
        <f t="shared" si="20"/>
        <v>0</v>
      </c>
      <c r="I673" s="30"/>
      <c r="J673" s="30"/>
      <c r="K673" s="30"/>
      <c r="L673" s="30"/>
      <c r="M673" s="30"/>
      <c r="N673" s="30"/>
      <c r="O673" s="30"/>
      <c r="P673" s="30"/>
      <c r="Q673" s="31"/>
      <c r="R673" s="31"/>
      <c r="S673" s="31"/>
      <c r="T673" s="32"/>
      <c r="U673" s="32"/>
      <c r="V673" s="32"/>
      <c r="W673" s="32"/>
      <c r="X673" s="32"/>
      <c r="Y673" s="33"/>
      <c r="Z673" s="33"/>
      <c r="AA673" s="33"/>
    </row>
    <row r="674" spans="1:27">
      <c r="A674" s="29"/>
      <c r="B674" s="19">
        <f t="shared" si="21"/>
        <v>46327</v>
      </c>
      <c r="C674" s="27">
        <f>I674+J674+K674+L674+M674+N674+O674+P674+IF(Q674="",0,Q674*サマリー!$B$9)+IF(R674="",0,IF(R674=200,サマリー!$B$10,IF(R674=100,サマリー!$B$11,0)))+IF(S674="",0,S674*サマリー!$B$12)</f>
        <v>0</v>
      </c>
      <c r="D674" s="27">
        <f>T674+U674+V674+W674+X674+IF(Y674="",0,Y674*サマリー!$B$9)+IF(Z674="",0,IF(Z674=200,サマリー!$B$10,IF(Z674=100,サマリー!$B$11,0)))+IF(AA674="",0,AA674*サマリー!$B$12)</f>
        <v>0</v>
      </c>
      <c r="E674" s="27">
        <f t="shared" si="20"/>
        <v>0</v>
      </c>
      <c r="I674" s="30"/>
      <c r="J674" s="30"/>
      <c r="K674" s="30"/>
      <c r="L674" s="30"/>
      <c r="M674" s="30"/>
      <c r="N674" s="30"/>
      <c r="O674" s="30"/>
      <c r="P674" s="30"/>
      <c r="Q674" s="31"/>
      <c r="R674" s="31"/>
      <c r="S674" s="31"/>
      <c r="T674" s="32"/>
      <c r="U674" s="32"/>
      <c r="V674" s="32"/>
      <c r="W674" s="32"/>
      <c r="X674" s="32"/>
      <c r="Y674" s="33"/>
      <c r="Z674" s="33"/>
      <c r="AA674" s="33"/>
    </row>
    <row r="675" spans="1:27">
      <c r="A675" s="29"/>
      <c r="B675" s="19">
        <f t="shared" si="21"/>
        <v>46327</v>
      </c>
      <c r="C675" s="27">
        <f>I675+J675+K675+L675+M675+N675+O675+P675+IF(Q675="",0,Q675*サマリー!$B$9)+IF(R675="",0,IF(R675=200,サマリー!$B$10,IF(R675=100,サマリー!$B$11,0)))+IF(S675="",0,S675*サマリー!$B$12)</f>
        <v>0</v>
      </c>
      <c r="D675" s="27">
        <f>T675+U675+V675+W675+X675+IF(Y675="",0,Y675*サマリー!$B$9)+IF(Z675="",0,IF(Z675=200,サマリー!$B$10,IF(Z675=100,サマリー!$B$11,0)))+IF(AA675="",0,AA675*サマリー!$B$12)</f>
        <v>0</v>
      </c>
      <c r="E675" s="27">
        <f t="shared" si="20"/>
        <v>0</v>
      </c>
      <c r="I675" s="30"/>
      <c r="J675" s="30"/>
      <c r="K675" s="30"/>
      <c r="L675" s="30"/>
      <c r="M675" s="30"/>
      <c r="N675" s="30"/>
      <c r="O675" s="30"/>
      <c r="P675" s="30"/>
      <c r="Q675" s="31"/>
      <c r="R675" s="31"/>
      <c r="S675" s="31"/>
      <c r="T675" s="32"/>
      <c r="U675" s="32"/>
      <c r="V675" s="32"/>
      <c r="W675" s="32"/>
      <c r="X675" s="32"/>
      <c r="Y675" s="33"/>
      <c r="Z675" s="33"/>
      <c r="AA675" s="33"/>
    </row>
    <row r="676" spans="1:27">
      <c r="A676" s="29"/>
      <c r="B676" s="19">
        <f t="shared" si="21"/>
        <v>46327</v>
      </c>
      <c r="C676" s="27">
        <f>I676+J676+K676+L676+M676+N676+O676+P676+IF(Q676="",0,Q676*サマリー!$B$9)+IF(R676="",0,IF(R676=200,サマリー!$B$10,IF(R676=100,サマリー!$B$11,0)))+IF(S676="",0,S676*サマリー!$B$12)</f>
        <v>0</v>
      </c>
      <c r="D676" s="27">
        <f>T676+U676+V676+W676+X676+IF(Y676="",0,Y676*サマリー!$B$9)+IF(Z676="",0,IF(Z676=200,サマリー!$B$10,IF(Z676=100,サマリー!$B$11,0)))+IF(AA676="",0,AA676*サマリー!$B$12)</f>
        <v>0</v>
      </c>
      <c r="E676" s="27">
        <f t="shared" si="20"/>
        <v>0</v>
      </c>
      <c r="I676" s="30"/>
      <c r="J676" s="30"/>
      <c r="K676" s="30"/>
      <c r="L676" s="30"/>
      <c r="M676" s="30"/>
      <c r="N676" s="30"/>
      <c r="O676" s="30"/>
      <c r="P676" s="30"/>
      <c r="Q676" s="31"/>
      <c r="R676" s="31"/>
      <c r="S676" s="31"/>
      <c r="T676" s="32"/>
      <c r="U676" s="32"/>
      <c r="V676" s="32"/>
      <c r="W676" s="32"/>
      <c r="X676" s="32"/>
      <c r="Y676" s="33"/>
      <c r="Z676" s="33"/>
      <c r="AA676" s="33"/>
    </row>
    <row r="677" spans="1:27">
      <c r="A677" s="29"/>
      <c r="B677" s="19">
        <f t="shared" si="21"/>
        <v>46327</v>
      </c>
      <c r="C677" s="27">
        <f>I677+J677+K677+L677+M677+N677+O677+P677+IF(Q677="",0,Q677*サマリー!$B$9)+IF(R677="",0,IF(R677=200,サマリー!$B$10,IF(R677=100,サマリー!$B$11,0)))+IF(S677="",0,S677*サマリー!$B$12)</f>
        <v>0</v>
      </c>
      <c r="D677" s="27">
        <f>T677+U677+V677+W677+X677+IF(Y677="",0,Y677*サマリー!$B$9)+IF(Z677="",0,IF(Z677=200,サマリー!$B$10,IF(Z677=100,サマリー!$B$11,0)))+IF(AA677="",0,AA677*サマリー!$B$12)</f>
        <v>0</v>
      </c>
      <c r="E677" s="27">
        <f t="shared" si="20"/>
        <v>0</v>
      </c>
      <c r="I677" s="30"/>
      <c r="J677" s="30"/>
      <c r="K677" s="30"/>
      <c r="L677" s="30"/>
      <c r="M677" s="30"/>
      <c r="N677" s="30"/>
      <c r="O677" s="30"/>
      <c r="P677" s="30"/>
      <c r="Q677" s="31"/>
      <c r="R677" s="31"/>
      <c r="S677" s="31"/>
      <c r="T677" s="32"/>
      <c r="U677" s="32"/>
      <c r="V677" s="32"/>
      <c r="W677" s="32"/>
      <c r="X677" s="32"/>
      <c r="Y677" s="33"/>
      <c r="Z677" s="33"/>
      <c r="AA677" s="33"/>
    </row>
    <row r="678" spans="1:27">
      <c r="A678" s="29"/>
      <c r="B678" s="19">
        <f t="shared" si="21"/>
        <v>46327</v>
      </c>
      <c r="C678" s="27">
        <f>I678+J678+K678+L678+M678+N678+O678+P678+IF(Q678="",0,Q678*サマリー!$B$9)+IF(R678="",0,IF(R678=200,サマリー!$B$10,IF(R678=100,サマリー!$B$11,0)))+IF(S678="",0,S678*サマリー!$B$12)</f>
        <v>0</v>
      </c>
      <c r="D678" s="27">
        <f>T678+U678+V678+W678+X678+IF(Y678="",0,Y678*サマリー!$B$9)+IF(Z678="",0,IF(Z678=200,サマリー!$B$10,IF(Z678=100,サマリー!$B$11,0)))+IF(AA678="",0,AA678*サマリー!$B$12)</f>
        <v>0</v>
      </c>
      <c r="E678" s="27">
        <f t="shared" si="20"/>
        <v>0</v>
      </c>
      <c r="I678" s="30"/>
      <c r="J678" s="30"/>
      <c r="K678" s="30"/>
      <c r="L678" s="30"/>
      <c r="M678" s="30"/>
      <c r="N678" s="30"/>
      <c r="O678" s="30"/>
      <c r="P678" s="30"/>
      <c r="Q678" s="31"/>
      <c r="R678" s="31"/>
      <c r="S678" s="31"/>
      <c r="T678" s="32"/>
      <c r="U678" s="32"/>
      <c r="V678" s="32"/>
      <c r="W678" s="32"/>
      <c r="X678" s="32"/>
      <c r="Y678" s="33"/>
      <c r="Z678" s="33"/>
      <c r="AA678" s="33"/>
    </row>
    <row r="679" spans="1:27">
      <c r="A679" s="29"/>
      <c r="B679" s="19">
        <f t="shared" si="21"/>
        <v>46327</v>
      </c>
      <c r="C679" s="27">
        <f>I679+J679+K679+L679+M679+N679+O679+P679+IF(Q679="",0,Q679*サマリー!$B$9)+IF(R679="",0,IF(R679=200,サマリー!$B$10,IF(R679=100,サマリー!$B$11,0)))+IF(S679="",0,S679*サマリー!$B$12)</f>
        <v>0</v>
      </c>
      <c r="D679" s="27">
        <f>T679+U679+V679+W679+X679+IF(Y679="",0,Y679*サマリー!$B$9)+IF(Z679="",0,IF(Z679=200,サマリー!$B$10,IF(Z679=100,サマリー!$B$11,0)))+IF(AA679="",0,AA679*サマリー!$B$12)</f>
        <v>0</v>
      </c>
      <c r="E679" s="27">
        <f t="shared" si="20"/>
        <v>0</v>
      </c>
      <c r="I679" s="30"/>
      <c r="J679" s="30"/>
      <c r="K679" s="30"/>
      <c r="L679" s="30"/>
      <c r="M679" s="30"/>
      <c r="N679" s="30"/>
      <c r="O679" s="30"/>
      <c r="P679" s="30"/>
      <c r="Q679" s="31"/>
      <c r="R679" s="31"/>
      <c r="S679" s="31"/>
      <c r="T679" s="32"/>
      <c r="U679" s="32"/>
      <c r="V679" s="32"/>
      <c r="W679" s="32"/>
      <c r="X679" s="32"/>
      <c r="Y679" s="33"/>
      <c r="Z679" s="33"/>
      <c r="AA679" s="33"/>
    </row>
    <row r="680" spans="1:27">
      <c r="A680" s="29"/>
      <c r="B680" s="19">
        <f t="shared" si="21"/>
        <v>46327</v>
      </c>
      <c r="C680" s="27">
        <f>I680+J680+K680+L680+M680+N680+O680+P680+IF(Q680="",0,Q680*サマリー!$B$9)+IF(R680="",0,IF(R680=200,サマリー!$B$10,IF(R680=100,サマリー!$B$11,0)))+IF(S680="",0,S680*サマリー!$B$12)</f>
        <v>0</v>
      </c>
      <c r="D680" s="27">
        <f>T680+U680+V680+W680+X680+IF(Y680="",0,Y680*サマリー!$B$9)+IF(Z680="",0,IF(Z680=200,サマリー!$B$10,IF(Z680=100,サマリー!$B$11,0)))+IF(AA680="",0,AA680*サマリー!$B$12)</f>
        <v>0</v>
      </c>
      <c r="E680" s="27">
        <f t="shared" si="20"/>
        <v>0</v>
      </c>
      <c r="I680" s="30"/>
      <c r="J680" s="30"/>
      <c r="K680" s="30"/>
      <c r="L680" s="30"/>
      <c r="M680" s="30"/>
      <c r="N680" s="30"/>
      <c r="O680" s="30"/>
      <c r="P680" s="30"/>
      <c r="Q680" s="31"/>
      <c r="R680" s="31"/>
      <c r="S680" s="31"/>
      <c r="T680" s="32"/>
      <c r="U680" s="32"/>
      <c r="V680" s="32"/>
      <c r="W680" s="32"/>
      <c r="X680" s="32"/>
      <c r="Y680" s="33"/>
      <c r="Z680" s="33"/>
      <c r="AA680" s="33"/>
    </row>
    <row r="681" spans="1:27">
      <c r="A681" s="29"/>
      <c r="B681" s="19">
        <f t="shared" si="21"/>
        <v>46327</v>
      </c>
      <c r="C681" s="27">
        <f>I681+J681+K681+L681+M681+N681+O681+P681+IF(Q681="",0,Q681*サマリー!$B$9)+IF(R681="",0,IF(R681=200,サマリー!$B$10,IF(R681=100,サマリー!$B$11,0)))+IF(S681="",0,S681*サマリー!$B$12)</f>
        <v>0</v>
      </c>
      <c r="D681" s="27">
        <f>T681+U681+V681+W681+X681+IF(Y681="",0,Y681*サマリー!$B$9)+IF(Z681="",0,IF(Z681=200,サマリー!$B$10,IF(Z681=100,サマリー!$B$11,0)))+IF(AA681="",0,AA681*サマリー!$B$12)</f>
        <v>0</v>
      </c>
      <c r="E681" s="27">
        <f t="shared" si="20"/>
        <v>0</v>
      </c>
      <c r="I681" s="30"/>
      <c r="J681" s="30"/>
      <c r="K681" s="30"/>
      <c r="L681" s="30"/>
      <c r="M681" s="30"/>
      <c r="N681" s="30"/>
      <c r="O681" s="30"/>
      <c r="P681" s="30"/>
      <c r="Q681" s="31"/>
      <c r="R681" s="31"/>
      <c r="S681" s="31"/>
      <c r="T681" s="32"/>
      <c r="U681" s="32"/>
      <c r="V681" s="32"/>
      <c r="W681" s="32"/>
      <c r="X681" s="32"/>
      <c r="Y681" s="33"/>
      <c r="Z681" s="33"/>
      <c r="AA681" s="33"/>
    </row>
    <row r="682" spans="1:27">
      <c r="A682" s="29"/>
      <c r="B682" s="19">
        <f t="shared" si="21"/>
        <v>46327</v>
      </c>
      <c r="C682" s="27">
        <f>I682+J682+K682+L682+M682+N682+O682+P682+IF(Q682="",0,Q682*サマリー!$B$9)+IF(R682="",0,IF(R682=200,サマリー!$B$10,IF(R682=100,サマリー!$B$11,0)))+IF(S682="",0,S682*サマリー!$B$12)</f>
        <v>0</v>
      </c>
      <c r="D682" s="27">
        <f>T682+U682+V682+W682+X682+IF(Y682="",0,Y682*サマリー!$B$9)+IF(Z682="",0,IF(Z682=200,サマリー!$B$10,IF(Z682=100,サマリー!$B$11,0)))+IF(AA682="",0,AA682*サマリー!$B$12)</f>
        <v>0</v>
      </c>
      <c r="E682" s="27">
        <f t="shared" si="20"/>
        <v>0</v>
      </c>
      <c r="I682" s="30"/>
      <c r="J682" s="30"/>
      <c r="K682" s="30"/>
      <c r="L682" s="30"/>
      <c r="M682" s="30"/>
      <c r="N682" s="30"/>
      <c r="O682" s="30"/>
      <c r="P682" s="30"/>
      <c r="Q682" s="31"/>
      <c r="R682" s="31"/>
      <c r="S682" s="31"/>
      <c r="T682" s="32"/>
      <c r="U682" s="32"/>
      <c r="V682" s="32"/>
      <c r="W682" s="32"/>
      <c r="X682" s="32"/>
      <c r="Y682" s="33"/>
      <c r="Z682" s="33"/>
      <c r="AA682" s="33"/>
    </row>
    <row r="683" spans="1:27">
      <c r="A683" s="29"/>
      <c r="B683" s="19">
        <f t="shared" si="21"/>
        <v>46327</v>
      </c>
      <c r="C683" s="27">
        <f>I683+J683+K683+L683+M683+N683+O683+P683+IF(Q683="",0,Q683*サマリー!$B$9)+IF(R683="",0,IF(R683=200,サマリー!$B$10,IF(R683=100,サマリー!$B$11,0)))+IF(S683="",0,S683*サマリー!$B$12)</f>
        <v>0</v>
      </c>
      <c r="D683" s="27">
        <f>T683+U683+V683+W683+X683+IF(Y683="",0,Y683*サマリー!$B$9)+IF(Z683="",0,IF(Z683=200,サマリー!$B$10,IF(Z683=100,サマリー!$B$11,0)))+IF(AA683="",0,AA683*サマリー!$B$12)</f>
        <v>0</v>
      </c>
      <c r="E683" s="27">
        <f t="shared" si="20"/>
        <v>0</v>
      </c>
      <c r="I683" s="30"/>
      <c r="J683" s="30"/>
      <c r="K683" s="30"/>
      <c r="L683" s="30"/>
      <c r="M683" s="30"/>
      <c r="N683" s="30"/>
      <c r="O683" s="30"/>
      <c r="P683" s="30"/>
      <c r="Q683" s="31"/>
      <c r="R683" s="31"/>
      <c r="S683" s="31"/>
      <c r="T683" s="32"/>
      <c r="U683" s="32"/>
      <c r="V683" s="32"/>
      <c r="W683" s="32"/>
      <c r="X683" s="32"/>
      <c r="Y683" s="33"/>
      <c r="Z683" s="33"/>
      <c r="AA683" s="33"/>
    </row>
    <row r="684" spans="1:27">
      <c r="A684" s="29"/>
      <c r="B684" s="19">
        <f t="shared" si="21"/>
        <v>46327</v>
      </c>
      <c r="C684" s="27">
        <f>I684+J684+K684+L684+M684+N684+O684+P684+IF(Q684="",0,Q684*サマリー!$B$9)+IF(R684="",0,IF(R684=200,サマリー!$B$10,IF(R684=100,サマリー!$B$11,0)))+IF(S684="",0,S684*サマリー!$B$12)</f>
        <v>0</v>
      </c>
      <c r="D684" s="27">
        <f>T684+U684+V684+W684+X684+IF(Y684="",0,Y684*サマリー!$B$9)+IF(Z684="",0,IF(Z684=200,サマリー!$B$10,IF(Z684=100,サマリー!$B$11,0)))+IF(AA684="",0,AA684*サマリー!$B$12)</f>
        <v>0</v>
      </c>
      <c r="E684" s="27">
        <f t="shared" si="20"/>
        <v>0</v>
      </c>
      <c r="I684" s="30"/>
      <c r="J684" s="30"/>
      <c r="K684" s="30"/>
      <c r="L684" s="30"/>
      <c r="M684" s="30"/>
      <c r="N684" s="30"/>
      <c r="O684" s="30"/>
      <c r="P684" s="30"/>
      <c r="Q684" s="31"/>
      <c r="R684" s="31"/>
      <c r="S684" s="31"/>
      <c r="T684" s="32"/>
      <c r="U684" s="32"/>
      <c r="V684" s="32"/>
      <c r="W684" s="32"/>
      <c r="X684" s="32"/>
      <c r="Y684" s="33"/>
      <c r="Z684" s="33"/>
      <c r="AA684" s="33"/>
    </row>
    <row r="685" spans="1:27">
      <c r="A685" s="29"/>
      <c r="B685" s="19">
        <f t="shared" si="21"/>
        <v>46327</v>
      </c>
      <c r="C685" s="27">
        <f>I685+J685+K685+L685+M685+N685+O685+P685+IF(Q685="",0,Q685*サマリー!$B$9)+IF(R685="",0,IF(R685=200,サマリー!$B$10,IF(R685=100,サマリー!$B$11,0)))+IF(S685="",0,S685*サマリー!$B$12)</f>
        <v>0</v>
      </c>
      <c r="D685" s="27">
        <f>T685+U685+V685+W685+X685+IF(Y685="",0,Y685*サマリー!$B$9)+IF(Z685="",0,IF(Z685=200,サマリー!$B$10,IF(Z685=100,サマリー!$B$11,0)))+IF(AA685="",0,AA685*サマリー!$B$12)</f>
        <v>0</v>
      </c>
      <c r="E685" s="27">
        <f t="shared" si="20"/>
        <v>0</v>
      </c>
      <c r="I685" s="30"/>
      <c r="J685" s="30"/>
      <c r="K685" s="30"/>
      <c r="L685" s="30"/>
      <c r="M685" s="30"/>
      <c r="N685" s="30"/>
      <c r="O685" s="30"/>
      <c r="P685" s="30"/>
      <c r="Q685" s="31"/>
      <c r="R685" s="31"/>
      <c r="S685" s="31"/>
      <c r="T685" s="32"/>
      <c r="U685" s="32"/>
      <c r="V685" s="32"/>
      <c r="W685" s="32"/>
      <c r="X685" s="32"/>
      <c r="Y685" s="33"/>
      <c r="Z685" s="33"/>
      <c r="AA685" s="33"/>
    </row>
    <row r="686" spans="1:27">
      <c r="A686" s="29"/>
      <c r="B686" s="19">
        <f t="shared" si="21"/>
        <v>46327</v>
      </c>
      <c r="C686" s="27">
        <f>I686+J686+K686+L686+M686+N686+O686+P686+IF(Q686="",0,Q686*サマリー!$B$9)+IF(R686="",0,IF(R686=200,サマリー!$B$10,IF(R686=100,サマリー!$B$11,0)))+IF(S686="",0,S686*サマリー!$B$12)</f>
        <v>0</v>
      </c>
      <c r="D686" s="27">
        <f>T686+U686+V686+W686+X686+IF(Y686="",0,Y686*サマリー!$B$9)+IF(Z686="",0,IF(Z686=200,サマリー!$B$10,IF(Z686=100,サマリー!$B$11,0)))+IF(AA686="",0,AA686*サマリー!$B$12)</f>
        <v>0</v>
      </c>
      <c r="E686" s="27">
        <f t="shared" si="20"/>
        <v>0</v>
      </c>
      <c r="I686" s="30"/>
      <c r="J686" s="30"/>
      <c r="K686" s="30"/>
      <c r="L686" s="30"/>
      <c r="M686" s="30"/>
      <c r="N686" s="30"/>
      <c r="O686" s="30"/>
      <c r="P686" s="30"/>
      <c r="Q686" s="31"/>
      <c r="R686" s="31"/>
      <c r="S686" s="31"/>
      <c r="T686" s="32"/>
      <c r="U686" s="32"/>
      <c r="V686" s="32"/>
      <c r="W686" s="32"/>
      <c r="X686" s="32"/>
      <c r="Y686" s="33"/>
      <c r="Z686" s="33"/>
      <c r="AA686" s="33"/>
    </row>
    <row r="687" spans="1:27">
      <c r="A687" s="29"/>
      <c r="B687" s="19">
        <f t="shared" si="21"/>
        <v>46327</v>
      </c>
      <c r="C687" s="27">
        <f>I687+J687+K687+L687+M687+N687+O687+P687+IF(Q687="",0,Q687*サマリー!$B$9)+IF(R687="",0,IF(R687=200,サマリー!$B$10,IF(R687=100,サマリー!$B$11,0)))+IF(S687="",0,S687*サマリー!$B$12)</f>
        <v>0</v>
      </c>
      <c r="D687" s="27">
        <f>T687+U687+V687+W687+X687+IF(Y687="",0,Y687*サマリー!$B$9)+IF(Z687="",0,IF(Z687=200,サマリー!$B$10,IF(Z687=100,サマリー!$B$11,0)))+IF(AA687="",0,AA687*サマリー!$B$12)</f>
        <v>0</v>
      </c>
      <c r="E687" s="27">
        <f t="shared" si="20"/>
        <v>0</v>
      </c>
      <c r="I687" s="30"/>
      <c r="J687" s="30"/>
      <c r="K687" s="30"/>
      <c r="L687" s="30"/>
      <c r="M687" s="30"/>
      <c r="N687" s="30"/>
      <c r="O687" s="30"/>
      <c r="P687" s="30"/>
      <c r="Q687" s="31"/>
      <c r="R687" s="31"/>
      <c r="S687" s="31"/>
      <c r="T687" s="32"/>
      <c r="U687" s="32"/>
      <c r="V687" s="32"/>
      <c r="W687" s="32"/>
      <c r="X687" s="32"/>
      <c r="Y687" s="33"/>
      <c r="Z687" s="33"/>
      <c r="AA687" s="33"/>
    </row>
    <row r="688" spans="1:27">
      <c r="A688" s="29"/>
      <c r="B688" s="19">
        <f t="shared" si="21"/>
        <v>46327</v>
      </c>
      <c r="C688" s="27">
        <f>I688+J688+K688+L688+M688+N688+O688+P688+IF(Q688="",0,Q688*サマリー!$B$9)+IF(R688="",0,IF(R688=200,サマリー!$B$10,IF(R688=100,サマリー!$B$11,0)))+IF(S688="",0,S688*サマリー!$B$12)</f>
        <v>0</v>
      </c>
      <c r="D688" s="27">
        <f>T688+U688+V688+W688+X688+IF(Y688="",0,Y688*サマリー!$B$9)+IF(Z688="",0,IF(Z688=200,サマリー!$B$10,IF(Z688=100,サマリー!$B$11,0)))+IF(AA688="",0,AA688*サマリー!$B$12)</f>
        <v>0</v>
      </c>
      <c r="E688" s="27">
        <f t="shared" si="20"/>
        <v>0</v>
      </c>
      <c r="I688" s="30"/>
      <c r="J688" s="30"/>
      <c r="K688" s="30"/>
      <c r="L688" s="30"/>
      <c r="M688" s="30"/>
      <c r="N688" s="30"/>
      <c r="O688" s="30"/>
      <c r="P688" s="30"/>
      <c r="Q688" s="31"/>
      <c r="R688" s="31"/>
      <c r="S688" s="31"/>
      <c r="T688" s="32"/>
      <c r="U688" s="32"/>
      <c r="V688" s="32"/>
      <c r="W688" s="32"/>
      <c r="X688" s="32"/>
      <c r="Y688" s="33"/>
      <c r="Z688" s="33"/>
      <c r="AA688" s="33"/>
    </row>
    <row r="689" spans="1:27">
      <c r="A689" s="29"/>
      <c r="B689" s="19">
        <f t="shared" si="21"/>
        <v>46327</v>
      </c>
      <c r="C689" s="27">
        <f>I689+J689+K689+L689+M689+N689+O689+P689+IF(Q689="",0,Q689*サマリー!$B$9)+IF(R689="",0,IF(R689=200,サマリー!$B$10,IF(R689=100,サマリー!$B$11,0)))+IF(S689="",0,S689*サマリー!$B$12)</f>
        <v>0</v>
      </c>
      <c r="D689" s="27">
        <f>T689+U689+V689+W689+X689+IF(Y689="",0,Y689*サマリー!$B$9)+IF(Z689="",0,IF(Z689=200,サマリー!$B$10,IF(Z689=100,サマリー!$B$11,0)))+IF(AA689="",0,AA689*サマリー!$B$12)</f>
        <v>0</v>
      </c>
      <c r="E689" s="27">
        <f t="shared" si="20"/>
        <v>0</v>
      </c>
      <c r="I689" s="30"/>
      <c r="J689" s="30"/>
      <c r="K689" s="30"/>
      <c r="L689" s="30"/>
      <c r="M689" s="30"/>
      <c r="N689" s="30"/>
      <c r="O689" s="30"/>
      <c r="P689" s="30"/>
      <c r="Q689" s="31"/>
      <c r="R689" s="31"/>
      <c r="S689" s="31"/>
      <c r="T689" s="32"/>
      <c r="U689" s="32"/>
      <c r="V689" s="32"/>
      <c r="W689" s="32"/>
      <c r="X689" s="32"/>
      <c r="Y689" s="33"/>
      <c r="Z689" s="33"/>
      <c r="AA689" s="33"/>
    </row>
    <row r="690" spans="1:27">
      <c r="A690" s="29"/>
      <c r="B690" s="19">
        <f t="shared" si="21"/>
        <v>46327</v>
      </c>
      <c r="C690" s="27">
        <f>I690+J690+K690+L690+M690+N690+O690+P690+IF(Q690="",0,Q690*サマリー!$B$9)+IF(R690="",0,IF(R690=200,サマリー!$B$10,IF(R690=100,サマリー!$B$11,0)))+IF(S690="",0,S690*サマリー!$B$12)</f>
        <v>0</v>
      </c>
      <c r="D690" s="27">
        <f>T690+U690+V690+W690+X690+IF(Y690="",0,Y690*サマリー!$B$9)+IF(Z690="",0,IF(Z690=200,サマリー!$B$10,IF(Z690=100,サマリー!$B$11,0)))+IF(AA690="",0,AA690*サマリー!$B$12)</f>
        <v>0</v>
      </c>
      <c r="E690" s="27">
        <f t="shared" si="20"/>
        <v>0</v>
      </c>
      <c r="I690" s="30"/>
      <c r="J690" s="30"/>
      <c r="K690" s="30"/>
      <c r="L690" s="30"/>
      <c r="M690" s="30"/>
      <c r="N690" s="30"/>
      <c r="O690" s="30"/>
      <c r="P690" s="30"/>
      <c r="Q690" s="31"/>
      <c r="R690" s="31"/>
      <c r="S690" s="31"/>
      <c r="T690" s="32"/>
      <c r="U690" s="32"/>
      <c r="V690" s="32"/>
      <c r="W690" s="32"/>
      <c r="X690" s="32"/>
      <c r="Y690" s="33"/>
      <c r="Z690" s="33"/>
      <c r="AA690" s="33"/>
    </row>
    <row r="691" spans="1:27">
      <c r="A691" s="29"/>
      <c r="B691" s="19">
        <f t="shared" si="21"/>
        <v>46327</v>
      </c>
      <c r="C691" s="27">
        <f>I691+J691+K691+L691+M691+N691+O691+P691+IF(Q691="",0,Q691*サマリー!$B$9)+IF(R691="",0,IF(R691=200,サマリー!$B$10,IF(R691=100,サマリー!$B$11,0)))+IF(S691="",0,S691*サマリー!$B$12)</f>
        <v>0</v>
      </c>
      <c r="D691" s="27">
        <f>T691+U691+V691+W691+X691+IF(Y691="",0,Y691*サマリー!$B$9)+IF(Z691="",0,IF(Z691=200,サマリー!$B$10,IF(Z691=100,サマリー!$B$11,0)))+IF(AA691="",0,AA691*サマリー!$B$12)</f>
        <v>0</v>
      </c>
      <c r="E691" s="27">
        <f t="shared" si="20"/>
        <v>0</v>
      </c>
      <c r="I691" s="30"/>
      <c r="J691" s="30"/>
      <c r="K691" s="30"/>
      <c r="L691" s="30"/>
      <c r="M691" s="30"/>
      <c r="N691" s="30"/>
      <c r="O691" s="30"/>
      <c r="P691" s="30"/>
      <c r="Q691" s="31"/>
      <c r="R691" s="31"/>
      <c r="S691" s="31"/>
      <c r="T691" s="32"/>
      <c r="U691" s="32"/>
      <c r="V691" s="32"/>
      <c r="W691" s="32"/>
      <c r="X691" s="32"/>
      <c r="Y691" s="33"/>
      <c r="Z691" s="33"/>
      <c r="AA691" s="33"/>
    </row>
    <row r="692" spans="1:27">
      <c r="A692" s="29"/>
      <c r="B692" s="19">
        <f t="shared" si="21"/>
        <v>46327</v>
      </c>
      <c r="C692" s="27">
        <f>I692+J692+K692+L692+M692+N692+O692+P692+IF(Q692="",0,Q692*サマリー!$B$9)+IF(R692="",0,IF(R692=200,サマリー!$B$10,IF(R692=100,サマリー!$B$11,0)))+IF(S692="",0,S692*サマリー!$B$12)</f>
        <v>0</v>
      </c>
      <c r="D692" s="27">
        <f>T692+U692+V692+W692+X692+IF(Y692="",0,Y692*サマリー!$B$9)+IF(Z692="",0,IF(Z692=200,サマリー!$B$10,IF(Z692=100,サマリー!$B$11,0)))+IF(AA692="",0,AA692*サマリー!$B$12)</f>
        <v>0</v>
      </c>
      <c r="E692" s="27">
        <f t="shared" si="20"/>
        <v>0</v>
      </c>
      <c r="I692" s="30"/>
      <c r="J692" s="30"/>
      <c r="K692" s="30"/>
      <c r="L692" s="30"/>
      <c r="M692" s="30"/>
      <c r="N692" s="30"/>
      <c r="O692" s="30"/>
      <c r="P692" s="30"/>
      <c r="Q692" s="31"/>
      <c r="R692" s="31"/>
      <c r="S692" s="31"/>
      <c r="T692" s="32"/>
      <c r="U692" s="32"/>
      <c r="V692" s="32"/>
      <c r="W692" s="32"/>
      <c r="X692" s="32"/>
      <c r="Y692" s="33"/>
      <c r="Z692" s="33"/>
      <c r="AA692" s="33"/>
    </row>
    <row r="693" spans="1:27">
      <c r="A693" s="29"/>
      <c r="B693" s="19">
        <f t="shared" si="21"/>
        <v>46327</v>
      </c>
      <c r="C693" s="27">
        <f>I693+J693+K693+L693+M693+N693+O693+P693+IF(Q693="",0,Q693*サマリー!$B$9)+IF(R693="",0,IF(R693=200,サマリー!$B$10,IF(R693=100,サマリー!$B$11,0)))+IF(S693="",0,S693*サマリー!$B$12)</f>
        <v>0</v>
      </c>
      <c r="D693" s="27">
        <f>T693+U693+V693+W693+X693+IF(Y693="",0,Y693*サマリー!$B$9)+IF(Z693="",0,IF(Z693=200,サマリー!$B$10,IF(Z693=100,サマリー!$B$11,0)))+IF(AA693="",0,AA693*サマリー!$B$12)</f>
        <v>0</v>
      </c>
      <c r="E693" s="27">
        <f t="shared" si="20"/>
        <v>0</v>
      </c>
      <c r="I693" s="30"/>
      <c r="J693" s="30"/>
      <c r="K693" s="30"/>
      <c r="L693" s="30"/>
      <c r="M693" s="30"/>
      <c r="N693" s="30"/>
      <c r="O693" s="30"/>
      <c r="P693" s="30"/>
      <c r="Q693" s="31"/>
      <c r="R693" s="31"/>
      <c r="S693" s="31"/>
      <c r="T693" s="32"/>
      <c r="U693" s="32"/>
      <c r="V693" s="32"/>
      <c r="W693" s="32"/>
      <c r="X693" s="32"/>
      <c r="Y693" s="33"/>
      <c r="Z693" s="33"/>
      <c r="AA693" s="33"/>
    </row>
    <row r="694" spans="1:27">
      <c r="A694" s="29"/>
      <c r="B694" s="19">
        <f t="shared" si="21"/>
        <v>46327</v>
      </c>
      <c r="C694" s="27">
        <f>I694+J694+K694+L694+M694+N694+O694+P694+IF(Q694="",0,Q694*サマリー!$B$9)+IF(R694="",0,IF(R694=200,サマリー!$B$10,IF(R694=100,サマリー!$B$11,0)))+IF(S694="",0,S694*サマリー!$B$12)</f>
        <v>0</v>
      </c>
      <c r="D694" s="27">
        <f>T694+U694+V694+W694+X694+IF(Y694="",0,Y694*サマリー!$B$9)+IF(Z694="",0,IF(Z694=200,サマリー!$B$10,IF(Z694=100,サマリー!$B$11,0)))+IF(AA694="",0,AA694*サマリー!$B$12)</f>
        <v>0</v>
      </c>
      <c r="E694" s="27">
        <f t="shared" si="20"/>
        <v>0</v>
      </c>
      <c r="I694" s="30"/>
      <c r="J694" s="30"/>
      <c r="K694" s="30"/>
      <c r="L694" s="30"/>
      <c r="M694" s="30"/>
      <c r="N694" s="30"/>
      <c r="O694" s="30"/>
      <c r="P694" s="30"/>
      <c r="Q694" s="31"/>
      <c r="R694" s="31"/>
      <c r="S694" s="31"/>
      <c r="T694" s="32"/>
      <c r="U694" s="32"/>
      <c r="V694" s="32"/>
      <c r="W694" s="32"/>
      <c r="X694" s="32"/>
      <c r="Y694" s="33"/>
      <c r="Z694" s="33"/>
      <c r="AA694" s="33"/>
    </row>
    <row r="695" spans="1:27">
      <c r="A695" s="29"/>
      <c r="B695" s="19">
        <f t="shared" si="21"/>
        <v>46327</v>
      </c>
      <c r="C695" s="27">
        <f>I695+J695+K695+L695+M695+N695+O695+P695+IF(Q695="",0,Q695*サマリー!$B$9)+IF(R695="",0,IF(R695=200,サマリー!$B$10,IF(R695=100,サマリー!$B$11,0)))+IF(S695="",0,S695*サマリー!$B$12)</f>
        <v>0</v>
      </c>
      <c r="D695" s="27">
        <f>T695+U695+V695+W695+X695+IF(Y695="",0,Y695*サマリー!$B$9)+IF(Z695="",0,IF(Z695=200,サマリー!$B$10,IF(Z695=100,サマリー!$B$11,0)))+IF(AA695="",0,AA695*サマリー!$B$12)</f>
        <v>0</v>
      </c>
      <c r="E695" s="27">
        <f t="shared" si="20"/>
        <v>0</v>
      </c>
      <c r="I695" s="30"/>
      <c r="J695" s="30"/>
      <c r="K695" s="30"/>
      <c r="L695" s="30"/>
      <c r="M695" s="30"/>
      <c r="N695" s="30"/>
      <c r="O695" s="30"/>
      <c r="P695" s="30"/>
      <c r="Q695" s="31"/>
      <c r="R695" s="31"/>
      <c r="S695" s="31"/>
      <c r="T695" s="32"/>
      <c r="U695" s="32"/>
      <c r="V695" s="32"/>
      <c r="W695" s="32"/>
      <c r="X695" s="32"/>
      <c r="Y695" s="33"/>
      <c r="Z695" s="33"/>
      <c r="AA695" s="33"/>
    </row>
    <row r="696" spans="1:27">
      <c r="A696" s="29"/>
      <c r="B696" s="19">
        <f t="shared" si="21"/>
        <v>46327</v>
      </c>
      <c r="C696" s="27">
        <f>I696+J696+K696+L696+M696+N696+O696+P696+IF(Q696="",0,Q696*サマリー!$B$9)+IF(R696="",0,IF(R696=200,サマリー!$B$10,IF(R696=100,サマリー!$B$11,0)))+IF(S696="",0,S696*サマリー!$B$12)</f>
        <v>0</v>
      </c>
      <c r="D696" s="27">
        <f>T696+U696+V696+W696+X696+IF(Y696="",0,Y696*サマリー!$B$9)+IF(Z696="",0,IF(Z696=200,サマリー!$B$10,IF(Z696=100,サマリー!$B$11,0)))+IF(AA696="",0,AA696*サマリー!$B$12)</f>
        <v>0</v>
      </c>
      <c r="E696" s="27">
        <f t="shared" si="20"/>
        <v>0</v>
      </c>
      <c r="I696" s="30"/>
      <c r="J696" s="30"/>
      <c r="K696" s="30"/>
      <c r="L696" s="30"/>
      <c r="M696" s="30"/>
      <c r="N696" s="30"/>
      <c r="O696" s="30"/>
      <c r="P696" s="30"/>
      <c r="Q696" s="31"/>
      <c r="R696" s="31"/>
      <c r="S696" s="31"/>
      <c r="T696" s="32"/>
      <c r="U696" s="32"/>
      <c r="V696" s="32"/>
      <c r="W696" s="32"/>
      <c r="X696" s="32"/>
      <c r="Y696" s="33"/>
      <c r="Z696" s="33"/>
      <c r="AA696" s="33"/>
    </row>
    <row r="697" spans="1:27">
      <c r="A697" s="29"/>
      <c r="B697" s="19">
        <f t="shared" si="21"/>
        <v>46327</v>
      </c>
      <c r="C697" s="27">
        <f>I697+J697+K697+L697+M697+N697+O697+P697+IF(Q697="",0,Q697*サマリー!$B$9)+IF(R697="",0,IF(R697=200,サマリー!$B$10,IF(R697=100,サマリー!$B$11,0)))+IF(S697="",0,S697*サマリー!$B$12)</f>
        <v>0</v>
      </c>
      <c r="D697" s="27">
        <f>T697+U697+V697+W697+X697+IF(Y697="",0,Y697*サマリー!$B$9)+IF(Z697="",0,IF(Z697=200,サマリー!$B$10,IF(Z697=100,サマリー!$B$11,0)))+IF(AA697="",0,AA697*サマリー!$B$12)</f>
        <v>0</v>
      </c>
      <c r="E697" s="27">
        <f t="shared" si="20"/>
        <v>0</v>
      </c>
      <c r="I697" s="30"/>
      <c r="J697" s="30"/>
      <c r="K697" s="30"/>
      <c r="L697" s="30"/>
      <c r="M697" s="30"/>
      <c r="N697" s="30"/>
      <c r="O697" s="30"/>
      <c r="P697" s="30"/>
      <c r="Q697" s="31"/>
      <c r="R697" s="31"/>
      <c r="S697" s="31"/>
      <c r="T697" s="32"/>
      <c r="U697" s="32"/>
      <c r="V697" s="32"/>
      <c r="W697" s="32"/>
      <c r="X697" s="32"/>
      <c r="Y697" s="33"/>
      <c r="Z697" s="33"/>
      <c r="AA697" s="33"/>
    </row>
    <row r="698" spans="1:27">
      <c r="A698" s="29"/>
      <c r="B698" s="19">
        <f t="shared" si="21"/>
        <v>46327</v>
      </c>
      <c r="C698" s="27">
        <f>I698+J698+K698+L698+M698+N698+O698+P698+IF(Q698="",0,Q698*サマリー!$B$9)+IF(R698="",0,IF(R698=200,サマリー!$B$10,IF(R698=100,サマリー!$B$11,0)))+IF(S698="",0,S698*サマリー!$B$12)</f>
        <v>0</v>
      </c>
      <c r="D698" s="27">
        <f>T698+U698+V698+W698+X698+IF(Y698="",0,Y698*サマリー!$B$9)+IF(Z698="",0,IF(Z698=200,サマリー!$B$10,IF(Z698=100,サマリー!$B$11,0)))+IF(AA698="",0,AA698*サマリー!$B$12)</f>
        <v>0</v>
      </c>
      <c r="E698" s="27">
        <f t="shared" si="20"/>
        <v>0</v>
      </c>
      <c r="I698" s="30"/>
      <c r="J698" s="30"/>
      <c r="K698" s="30"/>
      <c r="L698" s="30"/>
      <c r="M698" s="30"/>
      <c r="N698" s="30"/>
      <c r="O698" s="30"/>
      <c r="P698" s="30"/>
      <c r="Q698" s="31"/>
      <c r="R698" s="31"/>
      <c r="S698" s="31"/>
      <c r="T698" s="32"/>
      <c r="U698" s="32"/>
      <c r="V698" s="32"/>
      <c r="W698" s="32"/>
      <c r="X698" s="32"/>
      <c r="Y698" s="33"/>
      <c r="Z698" s="33"/>
      <c r="AA698" s="33"/>
    </row>
    <row r="699" spans="1:27">
      <c r="A699" s="29"/>
      <c r="B699" s="19">
        <f t="shared" si="21"/>
        <v>46327</v>
      </c>
      <c r="C699" s="27">
        <f>I699+J699+K699+L699+M699+N699+O699+P699+IF(Q699="",0,Q699*サマリー!$B$9)+IF(R699="",0,IF(R699=200,サマリー!$B$10,IF(R699=100,サマリー!$B$11,0)))+IF(S699="",0,S699*サマリー!$B$12)</f>
        <v>0</v>
      </c>
      <c r="D699" s="27">
        <f>T699+U699+V699+W699+X699+IF(Y699="",0,Y699*サマリー!$B$9)+IF(Z699="",0,IF(Z699=200,サマリー!$B$10,IF(Z699=100,サマリー!$B$11,0)))+IF(AA699="",0,AA699*サマリー!$B$12)</f>
        <v>0</v>
      </c>
      <c r="E699" s="27">
        <f t="shared" si="20"/>
        <v>0</v>
      </c>
      <c r="I699" s="30"/>
      <c r="J699" s="30"/>
      <c r="K699" s="30"/>
      <c r="L699" s="30"/>
      <c r="M699" s="30"/>
      <c r="N699" s="30"/>
      <c r="O699" s="30"/>
      <c r="P699" s="30"/>
      <c r="Q699" s="31"/>
      <c r="R699" s="31"/>
      <c r="S699" s="31"/>
      <c r="T699" s="32"/>
      <c r="U699" s="32"/>
      <c r="V699" s="32"/>
      <c r="W699" s="32"/>
      <c r="X699" s="32"/>
      <c r="Y699" s="33"/>
      <c r="Z699" s="33"/>
      <c r="AA699" s="33"/>
    </row>
    <row r="700" spans="1:27">
      <c r="A700" s="29"/>
      <c r="B700" s="19">
        <f t="shared" si="21"/>
        <v>46327</v>
      </c>
      <c r="C700" s="27">
        <f>I700+J700+K700+L700+M700+N700+O700+P700+IF(Q700="",0,Q700*サマリー!$B$9)+IF(R700="",0,IF(R700=200,サマリー!$B$10,IF(R700=100,サマリー!$B$11,0)))+IF(S700="",0,S700*サマリー!$B$12)</f>
        <v>0</v>
      </c>
      <c r="D700" s="27">
        <f>T700+U700+V700+W700+X700+IF(Y700="",0,Y700*サマリー!$B$9)+IF(Z700="",0,IF(Z700=200,サマリー!$B$10,IF(Z700=100,サマリー!$B$11,0)))+IF(AA700="",0,AA700*サマリー!$B$12)</f>
        <v>0</v>
      </c>
      <c r="E700" s="27">
        <f t="shared" si="20"/>
        <v>0</v>
      </c>
      <c r="I700" s="30"/>
      <c r="J700" s="30"/>
      <c r="K700" s="30"/>
      <c r="L700" s="30"/>
      <c r="M700" s="30"/>
      <c r="N700" s="30"/>
      <c r="O700" s="30"/>
      <c r="P700" s="30"/>
      <c r="Q700" s="31"/>
      <c r="R700" s="31"/>
      <c r="S700" s="31"/>
      <c r="T700" s="32"/>
      <c r="U700" s="32"/>
      <c r="V700" s="32"/>
      <c r="W700" s="32"/>
      <c r="X700" s="32"/>
      <c r="Y700" s="33"/>
      <c r="Z700" s="33"/>
      <c r="AA700" s="33"/>
    </row>
    <row r="701" spans="1:27">
      <c r="A701" s="29"/>
      <c r="B701" s="19">
        <f t="shared" si="21"/>
        <v>46327</v>
      </c>
      <c r="C701" s="27">
        <f>I701+J701+K701+L701+M701+N701+O701+P701+IF(Q701="",0,Q701*サマリー!$B$9)+IF(R701="",0,IF(R701=200,サマリー!$B$10,IF(R701=100,サマリー!$B$11,0)))+IF(S701="",0,S701*サマリー!$B$12)</f>
        <v>0</v>
      </c>
      <c r="D701" s="27">
        <f>T701+U701+V701+W701+X701+IF(Y701="",0,Y701*サマリー!$B$9)+IF(Z701="",0,IF(Z701=200,サマリー!$B$10,IF(Z701=100,サマリー!$B$11,0)))+IF(AA701="",0,AA701*サマリー!$B$12)</f>
        <v>0</v>
      </c>
      <c r="E701" s="27">
        <f t="shared" si="20"/>
        <v>0</v>
      </c>
      <c r="I701" s="30"/>
      <c r="J701" s="30"/>
      <c r="K701" s="30"/>
      <c r="L701" s="30"/>
      <c r="M701" s="30"/>
      <c r="N701" s="30"/>
      <c r="O701" s="30"/>
      <c r="P701" s="30"/>
      <c r="Q701" s="31"/>
      <c r="R701" s="31"/>
      <c r="S701" s="31"/>
      <c r="T701" s="32"/>
      <c r="U701" s="32"/>
      <c r="V701" s="32"/>
      <c r="W701" s="32"/>
      <c r="X701" s="32"/>
      <c r="Y701" s="33"/>
      <c r="Z701" s="33"/>
      <c r="AA701" s="33"/>
    </row>
    <row r="702" spans="1:27">
      <c r="A702" s="29"/>
      <c r="B702" s="19">
        <f t="shared" si="21"/>
        <v>46327</v>
      </c>
      <c r="C702" s="27">
        <f>I702+J702+K702+L702+M702+N702+O702+P702+IF(Q702="",0,Q702*サマリー!$B$9)+IF(R702="",0,IF(R702=200,サマリー!$B$10,IF(R702=100,サマリー!$B$11,0)))+IF(S702="",0,S702*サマリー!$B$12)</f>
        <v>0</v>
      </c>
      <c r="D702" s="27">
        <f>T702+U702+V702+W702+X702+IF(Y702="",0,Y702*サマリー!$B$9)+IF(Z702="",0,IF(Z702=200,サマリー!$B$10,IF(Z702=100,サマリー!$B$11,0)))+IF(AA702="",0,AA702*サマリー!$B$12)</f>
        <v>0</v>
      </c>
      <c r="E702" s="27">
        <f t="shared" si="20"/>
        <v>0</v>
      </c>
      <c r="I702" s="30"/>
      <c r="J702" s="30"/>
      <c r="K702" s="30"/>
      <c r="L702" s="30"/>
      <c r="M702" s="30"/>
      <c r="N702" s="30"/>
      <c r="O702" s="30"/>
      <c r="P702" s="30"/>
      <c r="Q702" s="31"/>
      <c r="R702" s="31"/>
      <c r="S702" s="31"/>
      <c r="T702" s="32"/>
      <c r="U702" s="32"/>
      <c r="V702" s="32"/>
      <c r="W702" s="32"/>
      <c r="X702" s="32"/>
      <c r="Y702" s="33"/>
      <c r="Z702" s="33"/>
      <c r="AA702" s="33"/>
    </row>
    <row r="703" spans="1:27">
      <c r="A703" s="29"/>
      <c r="B703" s="19">
        <f t="shared" si="21"/>
        <v>46327</v>
      </c>
      <c r="C703" s="27">
        <f>I703+J703+K703+L703+M703+N703+O703+P703+IF(Q703="",0,Q703*サマリー!$B$9)+IF(R703="",0,IF(R703=200,サマリー!$B$10,IF(R703=100,サマリー!$B$11,0)))+IF(S703="",0,S703*サマリー!$B$12)</f>
        <v>0</v>
      </c>
      <c r="D703" s="27">
        <f>T703+U703+V703+W703+X703+IF(Y703="",0,Y703*サマリー!$B$9)+IF(Z703="",0,IF(Z703=200,サマリー!$B$10,IF(Z703=100,サマリー!$B$11,0)))+IF(AA703="",0,AA703*サマリー!$B$12)</f>
        <v>0</v>
      </c>
      <c r="E703" s="27">
        <f t="shared" si="20"/>
        <v>0</v>
      </c>
      <c r="I703" s="30"/>
      <c r="J703" s="30"/>
      <c r="K703" s="30"/>
      <c r="L703" s="30"/>
      <c r="M703" s="30"/>
      <c r="N703" s="30"/>
      <c r="O703" s="30"/>
      <c r="P703" s="30"/>
      <c r="Q703" s="31"/>
      <c r="R703" s="31"/>
      <c r="S703" s="31"/>
      <c r="T703" s="32"/>
      <c r="U703" s="32"/>
      <c r="V703" s="32"/>
      <c r="W703" s="32"/>
      <c r="X703" s="32"/>
      <c r="Y703" s="33"/>
      <c r="Z703" s="33"/>
      <c r="AA703" s="33"/>
    </row>
    <row r="704" spans="1:27">
      <c r="A704" s="29"/>
      <c r="B704" s="19">
        <f t="shared" si="21"/>
        <v>46327</v>
      </c>
      <c r="C704" s="27">
        <f>I704+J704+K704+L704+M704+N704+O704+P704+IF(Q704="",0,Q704*サマリー!$B$9)+IF(R704="",0,IF(R704=200,サマリー!$B$10,IF(R704=100,サマリー!$B$11,0)))+IF(S704="",0,S704*サマリー!$B$12)</f>
        <v>0</v>
      </c>
      <c r="D704" s="27">
        <f>T704+U704+V704+W704+X704+IF(Y704="",0,Y704*サマリー!$B$9)+IF(Z704="",0,IF(Z704=200,サマリー!$B$10,IF(Z704=100,サマリー!$B$11,0)))+IF(AA704="",0,AA704*サマリー!$B$12)</f>
        <v>0</v>
      </c>
      <c r="E704" s="27">
        <f t="shared" si="20"/>
        <v>0</v>
      </c>
      <c r="I704" s="30"/>
      <c r="J704" s="30"/>
      <c r="K704" s="30"/>
      <c r="L704" s="30"/>
      <c r="M704" s="30"/>
      <c r="N704" s="30"/>
      <c r="O704" s="30"/>
      <c r="P704" s="30"/>
      <c r="Q704" s="31"/>
      <c r="R704" s="31"/>
      <c r="S704" s="31"/>
      <c r="T704" s="32"/>
      <c r="U704" s="32"/>
      <c r="V704" s="32"/>
      <c r="W704" s="32"/>
      <c r="X704" s="32"/>
      <c r="Y704" s="33"/>
      <c r="Z704" s="33"/>
      <c r="AA704" s="33"/>
    </row>
    <row r="705" spans="1:27">
      <c r="A705" s="29"/>
      <c r="B705" s="19">
        <f t="shared" si="21"/>
        <v>46327</v>
      </c>
      <c r="C705" s="27">
        <f>I705+J705+K705+L705+M705+N705+O705+P705+IF(Q705="",0,Q705*サマリー!$B$9)+IF(R705="",0,IF(R705=200,サマリー!$B$10,IF(R705=100,サマリー!$B$11,0)))+IF(S705="",0,S705*サマリー!$B$12)</f>
        <v>0</v>
      </c>
      <c r="D705" s="27">
        <f>T705+U705+V705+W705+X705+IF(Y705="",0,Y705*サマリー!$B$9)+IF(Z705="",0,IF(Z705=200,サマリー!$B$10,IF(Z705=100,サマリー!$B$11,0)))+IF(AA705="",0,AA705*サマリー!$B$12)</f>
        <v>0</v>
      </c>
      <c r="E705" s="27">
        <f t="shared" si="20"/>
        <v>0</v>
      </c>
      <c r="I705" s="30"/>
      <c r="J705" s="30"/>
      <c r="K705" s="30"/>
      <c r="L705" s="30"/>
      <c r="M705" s="30"/>
      <c r="N705" s="30"/>
      <c r="O705" s="30"/>
      <c r="P705" s="30"/>
      <c r="Q705" s="31"/>
      <c r="R705" s="31"/>
      <c r="S705" s="31"/>
      <c r="T705" s="32"/>
      <c r="U705" s="32"/>
      <c r="V705" s="32"/>
      <c r="W705" s="32"/>
      <c r="X705" s="32"/>
      <c r="Y705" s="33"/>
      <c r="Z705" s="33"/>
      <c r="AA705" s="33"/>
    </row>
    <row r="706" spans="1:27">
      <c r="A706" s="29"/>
      <c r="B706" s="19">
        <f t="shared" si="21"/>
        <v>46327</v>
      </c>
      <c r="C706" s="27">
        <f>I706+J706+K706+L706+M706+N706+O706+P706+IF(Q706="",0,Q706*サマリー!$B$9)+IF(R706="",0,IF(R706=200,サマリー!$B$10,IF(R706=100,サマリー!$B$11,0)))+IF(S706="",0,S706*サマリー!$B$12)</f>
        <v>0</v>
      </c>
      <c r="D706" s="27">
        <f>T706+U706+V706+W706+X706+IF(Y706="",0,Y706*サマリー!$B$9)+IF(Z706="",0,IF(Z706=200,サマリー!$B$10,IF(Z706=100,サマリー!$B$11,0)))+IF(AA706="",0,AA706*サマリー!$B$12)</f>
        <v>0</v>
      </c>
      <c r="E706" s="27">
        <f t="shared" si="20"/>
        <v>0</v>
      </c>
      <c r="I706" s="30"/>
      <c r="J706" s="30"/>
      <c r="K706" s="30"/>
      <c r="L706" s="30"/>
      <c r="M706" s="30"/>
      <c r="N706" s="30"/>
      <c r="O706" s="30"/>
      <c r="P706" s="30"/>
      <c r="Q706" s="31"/>
      <c r="R706" s="31"/>
      <c r="S706" s="31"/>
      <c r="T706" s="32"/>
      <c r="U706" s="32"/>
      <c r="V706" s="32"/>
      <c r="W706" s="32"/>
      <c r="X706" s="32"/>
      <c r="Y706" s="33"/>
      <c r="Z706" s="33"/>
      <c r="AA706" s="33"/>
    </row>
    <row r="707" spans="1:27">
      <c r="A707" s="29"/>
      <c r="B707" s="19">
        <f t="shared" si="21"/>
        <v>46327</v>
      </c>
      <c r="C707" s="27">
        <f>I707+J707+K707+L707+M707+N707+O707+P707+IF(Q707="",0,Q707*サマリー!$B$9)+IF(R707="",0,IF(R707=200,サマリー!$B$10,IF(R707=100,サマリー!$B$11,0)))+IF(S707="",0,S707*サマリー!$B$12)</f>
        <v>0</v>
      </c>
      <c r="D707" s="27">
        <f>T707+U707+V707+W707+X707+IF(Y707="",0,Y707*サマリー!$B$9)+IF(Z707="",0,IF(Z707=200,サマリー!$B$10,IF(Z707=100,サマリー!$B$11,0)))+IF(AA707="",0,AA707*サマリー!$B$12)</f>
        <v>0</v>
      </c>
      <c r="E707" s="27">
        <f t="shared" si="20"/>
        <v>0</v>
      </c>
      <c r="I707" s="30"/>
      <c r="J707" s="30"/>
      <c r="K707" s="30"/>
      <c r="L707" s="30"/>
      <c r="M707" s="30"/>
      <c r="N707" s="30"/>
      <c r="O707" s="30"/>
      <c r="P707" s="30"/>
      <c r="Q707" s="31"/>
      <c r="R707" s="31"/>
      <c r="S707" s="31"/>
      <c r="T707" s="32"/>
      <c r="U707" s="32"/>
      <c r="V707" s="32"/>
      <c r="W707" s="32"/>
      <c r="X707" s="32"/>
      <c r="Y707" s="33"/>
      <c r="Z707" s="33"/>
      <c r="AA707" s="33"/>
    </row>
    <row r="708" spans="1:27">
      <c r="A708" s="29"/>
      <c r="B708" s="19">
        <f t="shared" si="21"/>
        <v>46327</v>
      </c>
      <c r="C708" s="27">
        <f>I708+J708+K708+L708+M708+N708+O708+P708+IF(Q708="",0,Q708*サマリー!$B$9)+IF(R708="",0,IF(R708=200,サマリー!$B$10,IF(R708=100,サマリー!$B$11,0)))+IF(S708="",0,S708*サマリー!$B$12)</f>
        <v>0</v>
      </c>
      <c r="D708" s="27">
        <f>T708+U708+V708+W708+X708+IF(Y708="",0,Y708*サマリー!$B$9)+IF(Z708="",0,IF(Z708=200,サマリー!$B$10,IF(Z708=100,サマリー!$B$11,0)))+IF(AA708="",0,AA708*サマリー!$B$12)</f>
        <v>0</v>
      </c>
      <c r="E708" s="27">
        <f t="shared" si="20"/>
        <v>0</v>
      </c>
      <c r="I708" s="30"/>
      <c r="J708" s="30"/>
      <c r="K708" s="30"/>
      <c r="L708" s="30"/>
      <c r="M708" s="30"/>
      <c r="N708" s="30"/>
      <c r="O708" s="30"/>
      <c r="P708" s="30"/>
      <c r="Q708" s="31"/>
      <c r="R708" s="31"/>
      <c r="S708" s="31"/>
      <c r="T708" s="32"/>
      <c r="U708" s="32"/>
      <c r="V708" s="32"/>
      <c r="W708" s="32"/>
      <c r="X708" s="32"/>
      <c r="Y708" s="33"/>
      <c r="Z708" s="33"/>
      <c r="AA708" s="33"/>
    </row>
    <row r="709" spans="1:27">
      <c r="A709" s="29"/>
      <c r="B709" s="19">
        <f t="shared" si="21"/>
        <v>46327</v>
      </c>
      <c r="C709" s="27">
        <f>I709+J709+K709+L709+M709+N709+O709+P709+IF(Q709="",0,Q709*サマリー!$B$9)+IF(R709="",0,IF(R709=200,サマリー!$B$10,IF(R709=100,サマリー!$B$11,0)))+IF(S709="",0,S709*サマリー!$B$12)</f>
        <v>0</v>
      </c>
      <c r="D709" s="27">
        <f>T709+U709+V709+W709+X709+IF(Y709="",0,Y709*サマリー!$B$9)+IF(Z709="",0,IF(Z709=200,サマリー!$B$10,IF(Z709=100,サマリー!$B$11,0)))+IF(AA709="",0,AA709*サマリー!$B$12)</f>
        <v>0</v>
      </c>
      <c r="E709" s="27">
        <f t="shared" si="20"/>
        <v>0</v>
      </c>
      <c r="I709" s="30"/>
      <c r="J709" s="30"/>
      <c r="K709" s="30"/>
      <c r="L709" s="30"/>
      <c r="M709" s="30"/>
      <c r="N709" s="30"/>
      <c r="O709" s="30"/>
      <c r="P709" s="30"/>
      <c r="Q709" s="31"/>
      <c r="R709" s="31"/>
      <c r="S709" s="31"/>
      <c r="T709" s="32"/>
      <c r="U709" s="32"/>
      <c r="V709" s="32"/>
      <c r="W709" s="32"/>
      <c r="X709" s="32"/>
      <c r="Y709" s="33"/>
      <c r="Z709" s="33"/>
      <c r="AA709" s="33"/>
    </row>
    <row r="710" spans="1:27">
      <c r="A710" s="29"/>
      <c r="B710" s="19">
        <f t="shared" si="21"/>
        <v>46327</v>
      </c>
      <c r="C710" s="27">
        <f>I710+J710+K710+L710+M710+N710+O710+P710+IF(Q710="",0,Q710*サマリー!$B$9)+IF(R710="",0,IF(R710=200,サマリー!$B$10,IF(R710=100,サマリー!$B$11,0)))+IF(S710="",0,S710*サマリー!$B$12)</f>
        <v>0</v>
      </c>
      <c r="D710" s="27">
        <f>T710+U710+V710+W710+X710+IF(Y710="",0,Y710*サマリー!$B$9)+IF(Z710="",0,IF(Z710=200,サマリー!$B$10,IF(Z710=100,サマリー!$B$11,0)))+IF(AA710="",0,AA710*サマリー!$B$12)</f>
        <v>0</v>
      </c>
      <c r="E710" s="27">
        <f t="shared" ref="E710:E773" si="22">C710+D710</f>
        <v>0</v>
      </c>
      <c r="I710" s="30"/>
      <c r="J710" s="30"/>
      <c r="K710" s="30"/>
      <c r="L710" s="30"/>
      <c r="M710" s="30"/>
      <c r="N710" s="30"/>
      <c r="O710" s="30"/>
      <c r="P710" s="30"/>
      <c r="Q710" s="31"/>
      <c r="R710" s="31"/>
      <c r="S710" s="31"/>
      <c r="T710" s="32"/>
      <c r="U710" s="32"/>
      <c r="V710" s="32"/>
      <c r="W710" s="32"/>
      <c r="X710" s="32"/>
      <c r="Y710" s="33"/>
      <c r="Z710" s="33"/>
      <c r="AA710" s="33"/>
    </row>
    <row r="711" spans="1:27">
      <c r="A711" s="29"/>
      <c r="B711" s="19">
        <f t="shared" ref="B711:B774" si="23">IF(A711="",B710,IF(A711&lt;DAY(B710),DATE(YEAR(B710),MONTH(B710)+1,A711),DATE(YEAR(B710),MONTH(B710),A711)))</f>
        <v>46327</v>
      </c>
      <c r="C711" s="27">
        <f>I711+J711+K711+L711+M711+N711+O711+P711+IF(Q711="",0,Q711*サマリー!$B$9)+IF(R711="",0,IF(R711=200,サマリー!$B$10,IF(R711=100,サマリー!$B$11,0)))+IF(S711="",0,S711*サマリー!$B$12)</f>
        <v>0</v>
      </c>
      <c r="D711" s="27">
        <f>T711+U711+V711+W711+X711+IF(Y711="",0,Y711*サマリー!$B$9)+IF(Z711="",0,IF(Z711=200,サマリー!$B$10,IF(Z711=100,サマリー!$B$11,0)))+IF(AA711="",0,AA711*サマリー!$B$12)</f>
        <v>0</v>
      </c>
      <c r="E711" s="27">
        <f t="shared" si="22"/>
        <v>0</v>
      </c>
      <c r="I711" s="30"/>
      <c r="J711" s="30"/>
      <c r="K711" s="30"/>
      <c r="L711" s="30"/>
      <c r="M711" s="30"/>
      <c r="N711" s="30"/>
      <c r="O711" s="30"/>
      <c r="P711" s="30"/>
      <c r="Q711" s="31"/>
      <c r="R711" s="31"/>
      <c r="S711" s="31"/>
      <c r="T711" s="32"/>
      <c r="U711" s="32"/>
      <c r="V711" s="32"/>
      <c r="W711" s="32"/>
      <c r="X711" s="32"/>
      <c r="Y711" s="33"/>
      <c r="Z711" s="33"/>
      <c r="AA711" s="33"/>
    </row>
    <row r="712" spans="1:27">
      <c r="A712" s="29"/>
      <c r="B712" s="19">
        <f t="shared" si="23"/>
        <v>46327</v>
      </c>
      <c r="C712" s="27">
        <f>I712+J712+K712+L712+M712+N712+O712+P712+IF(Q712="",0,Q712*サマリー!$B$9)+IF(R712="",0,IF(R712=200,サマリー!$B$10,IF(R712=100,サマリー!$B$11,0)))+IF(S712="",0,S712*サマリー!$B$12)</f>
        <v>0</v>
      </c>
      <c r="D712" s="27">
        <f>T712+U712+V712+W712+X712+IF(Y712="",0,Y712*サマリー!$B$9)+IF(Z712="",0,IF(Z712=200,サマリー!$B$10,IF(Z712=100,サマリー!$B$11,0)))+IF(AA712="",0,AA712*サマリー!$B$12)</f>
        <v>0</v>
      </c>
      <c r="E712" s="27">
        <f t="shared" si="22"/>
        <v>0</v>
      </c>
      <c r="I712" s="30"/>
      <c r="J712" s="30"/>
      <c r="K712" s="30"/>
      <c r="L712" s="30"/>
      <c r="M712" s="30"/>
      <c r="N712" s="30"/>
      <c r="O712" s="30"/>
      <c r="P712" s="30"/>
      <c r="Q712" s="31"/>
      <c r="R712" s="31"/>
      <c r="S712" s="31"/>
      <c r="T712" s="32"/>
      <c r="U712" s="32"/>
      <c r="V712" s="32"/>
      <c r="W712" s="32"/>
      <c r="X712" s="32"/>
      <c r="Y712" s="33"/>
      <c r="Z712" s="33"/>
      <c r="AA712" s="33"/>
    </row>
    <row r="713" spans="1:27">
      <c r="A713" s="29"/>
      <c r="B713" s="19">
        <f t="shared" si="23"/>
        <v>46327</v>
      </c>
      <c r="C713" s="27">
        <f>I713+J713+K713+L713+M713+N713+O713+P713+IF(Q713="",0,Q713*サマリー!$B$9)+IF(R713="",0,IF(R713=200,サマリー!$B$10,IF(R713=100,サマリー!$B$11,0)))+IF(S713="",0,S713*サマリー!$B$12)</f>
        <v>0</v>
      </c>
      <c r="D713" s="27">
        <f>T713+U713+V713+W713+X713+IF(Y713="",0,Y713*サマリー!$B$9)+IF(Z713="",0,IF(Z713=200,サマリー!$B$10,IF(Z713=100,サマリー!$B$11,0)))+IF(AA713="",0,AA713*サマリー!$B$12)</f>
        <v>0</v>
      </c>
      <c r="E713" s="27">
        <f t="shared" si="22"/>
        <v>0</v>
      </c>
      <c r="I713" s="30"/>
      <c r="J713" s="30"/>
      <c r="K713" s="30"/>
      <c r="L713" s="30"/>
      <c r="M713" s="30"/>
      <c r="N713" s="30"/>
      <c r="O713" s="30"/>
      <c r="P713" s="30"/>
      <c r="Q713" s="31"/>
      <c r="R713" s="31"/>
      <c r="S713" s="31"/>
      <c r="T713" s="32"/>
      <c r="U713" s="32"/>
      <c r="V713" s="32"/>
      <c r="W713" s="32"/>
      <c r="X713" s="32"/>
      <c r="Y713" s="33"/>
      <c r="Z713" s="33"/>
      <c r="AA713" s="33"/>
    </row>
    <row r="714" spans="1:27">
      <c r="A714" s="29"/>
      <c r="B714" s="19">
        <f t="shared" si="23"/>
        <v>46327</v>
      </c>
      <c r="C714" s="27">
        <f>I714+J714+K714+L714+M714+N714+O714+P714+IF(Q714="",0,Q714*サマリー!$B$9)+IF(R714="",0,IF(R714=200,サマリー!$B$10,IF(R714=100,サマリー!$B$11,0)))+IF(S714="",0,S714*サマリー!$B$12)</f>
        <v>0</v>
      </c>
      <c r="D714" s="27">
        <f>T714+U714+V714+W714+X714+IF(Y714="",0,Y714*サマリー!$B$9)+IF(Z714="",0,IF(Z714=200,サマリー!$B$10,IF(Z714=100,サマリー!$B$11,0)))+IF(AA714="",0,AA714*サマリー!$B$12)</f>
        <v>0</v>
      </c>
      <c r="E714" s="27">
        <f t="shared" si="22"/>
        <v>0</v>
      </c>
      <c r="I714" s="30"/>
      <c r="J714" s="30"/>
      <c r="K714" s="30"/>
      <c r="L714" s="30"/>
      <c r="M714" s="30"/>
      <c r="N714" s="30"/>
      <c r="O714" s="30"/>
      <c r="P714" s="30"/>
      <c r="Q714" s="31"/>
      <c r="R714" s="31"/>
      <c r="S714" s="31"/>
      <c r="T714" s="32"/>
      <c r="U714" s="32"/>
      <c r="V714" s="32"/>
      <c r="W714" s="32"/>
      <c r="X714" s="32"/>
      <c r="Y714" s="33"/>
      <c r="Z714" s="33"/>
      <c r="AA714" s="33"/>
    </row>
    <row r="715" spans="1:27">
      <c r="A715" s="29"/>
      <c r="B715" s="19">
        <f t="shared" si="23"/>
        <v>46327</v>
      </c>
      <c r="C715" s="27">
        <f>I715+J715+K715+L715+M715+N715+O715+P715+IF(Q715="",0,Q715*サマリー!$B$9)+IF(R715="",0,IF(R715=200,サマリー!$B$10,IF(R715=100,サマリー!$B$11,0)))+IF(S715="",0,S715*サマリー!$B$12)</f>
        <v>0</v>
      </c>
      <c r="D715" s="27">
        <f>T715+U715+V715+W715+X715+IF(Y715="",0,Y715*サマリー!$B$9)+IF(Z715="",0,IF(Z715=200,サマリー!$B$10,IF(Z715=100,サマリー!$B$11,0)))+IF(AA715="",0,AA715*サマリー!$B$12)</f>
        <v>0</v>
      </c>
      <c r="E715" s="27">
        <f t="shared" si="22"/>
        <v>0</v>
      </c>
      <c r="I715" s="30"/>
      <c r="J715" s="30"/>
      <c r="K715" s="30"/>
      <c r="L715" s="30"/>
      <c r="M715" s="30"/>
      <c r="N715" s="30"/>
      <c r="O715" s="30"/>
      <c r="P715" s="30"/>
      <c r="Q715" s="31"/>
      <c r="R715" s="31"/>
      <c r="S715" s="31"/>
      <c r="T715" s="32"/>
      <c r="U715" s="32"/>
      <c r="V715" s="32"/>
      <c r="W715" s="32"/>
      <c r="X715" s="32"/>
      <c r="Y715" s="33"/>
      <c r="Z715" s="33"/>
      <c r="AA715" s="33"/>
    </row>
    <row r="716" spans="1:27">
      <c r="A716" s="29"/>
      <c r="B716" s="19">
        <f t="shared" si="23"/>
        <v>46327</v>
      </c>
      <c r="C716" s="27">
        <f>I716+J716+K716+L716+M716+N716+O716+P716+IF(Q716="",0,Q716*サマリー!$B$9)+IF(R716="",0,IF(R716=200,サマリー!$B$10,IF(R716=100,サマリー!$B$11,0)))+IF(S716="",0,S716*サマリー!$B$12)</f>
        <v>0</v>
      </c>
      <c r="D716" s="27">
        <f>T716+U716+V716+W716+X716+IF(Y716="",0,Y716*サマリー!$B$9)+IF(Z716="",0,IF(Z716=200,サマリー!$B$10,IF(Z716=100,サマリー!$B$11,0)))+IF(AA716="",0,AA716*サマリー!$B$12)</f>
        <v>0</v>
      </c>
      <c r="E716" s="27">
        <f t="shared" si="22"/>
        <v>0</v>
      </c>
      <c r="I716" s="30"/>
      <c r="J716" s="30"/>
      <c r="K716" s="30"/>
      <c r="L716" s="30"/>
      <c r="M716" s="30"/>
      <c r="N716" s="30"/>
      <c r="O716" s="30"/>
      <c r="P716" s="30"/>
      <c r="Q716" s="31"/>
      <c r="R716" s="31"/>
      <c r="S716" s="31"/>
      <c r="T716" s="32"/>
      <c r="U716" s="32"/>
      <c r="V716" s="32"/>
      <c r="W716" s="32"/>
      <c r="X716" s="32"/>
      <c r="Y716" s="33"/>
      <c r="Z716" s="33"/>
      <c r="AA716" s="33"/>
    </row>
    <row r="717" spans="1:27">
      <c r="A717" s="29"/>
      <c r="B717" s="19">
        <f t="shared" si="23"/>
        <v>46327</v>
      </c>
      <c r="C717" s="27">
        <f>I717+J717+K717+L717+M717+N717+O717+P717+IF(Q717="",0,Q717*サマリー!$B$9)+IF(R717="",0,IF(R717=200,サマリー!$B$10,IF(R717=100,サマリー!$B$11,0)))+IF(S717="",0,S717*サマリー!$B$12)</f>
        <v>0</v>
      </c>
      <c r="D717" s="27">
        <f>T717+U717+V717+W717+X717+IF(Y717="",0,Y717*サマリー!$B$9)+IF(Z717="",0,IF(Z717=200,サマリー!$B$10,IF(Z717=100,サマリー!$B$11,0)))+IF(AA717="",0,AA717*サマリー!$B$12)</f>
        <v>0</v>
      </c>
      <c r="E717" s="27">
        <f t="shared" si="22"/>
        <v>0</v>
      </c>
      <c r="I717" s="30"/>
      <c r="J717" s="30"/>
      <c r="K717" s="30"/>
      <c r="L717" s="30"/>
      <c r="M717" s="30"/>
      <c r="N717" s="30"/>
      <c r="O717" s="30"/>
      <c r="P717" s="30"/>
      <c r="Q717" s="31"/>
      <c r="R717" s="31"/>
      <c r="S717" s="31"/>
      <c r="T717" s="32"/>
      <c r="U717" s="32"/>
      <c r="V717" s="32"/>
      <c r="W717" s="32"/>
      <c r="X717" s="32"/>
      <c r="Y717" s="33"/>
      <c r="Z717" s="33"/>
      <c r="AA717" s="33"/>
    </row>
    <row r="718" spans="1:27">
      <c r="A718" s="29"/>
      <c r="B718" s="19">
        <f t="shared" si="23"/>
        <v>46327</v>
      </c>
      <c r="C718" s="27">
        <f>I718+J718+K718+L718+M718+N718+O718+P718+IF(Q718="",0,Q718*サマリー!$B$9)+IF(R718="",0,IF(R718=200,サマリー!$B$10,IF(R718=100,サマリー!$B$11,0)))+IF(S718="",0,S718*サマリー!$B$12)</f>
        <v>0</v>
      </c>
      <c r="D718" s="27">
        <f>T718+U718+V718+W718+X718+IF(Y718="",0,Y718*サマリー!$B$9)+IF(Z718="",0,IF(Z718=200,サマリー!$B$10,IF(Z718=100,サマリー!$B$11,0)))+IF(AA718="",0,AA718*サマリー!$B$12)</f>
        <v>0</v>
      </c>
      <c r="E718" s="27">
        <f t="shared" si="22"/>
        <v>0</v>
      </c>
      <c r="I718" s="30"/>
      <c r="J718" s="30"/>
      <c r="K718" s="30"/>
      <c r="L718" s="30"/>
      <c r="M718" s="30"/>
      <c r="N718" s="30"/>
      <c r="O718" s="30"/>
      <c r="P718" s="30"/>
      <c r="Q718" s="31"/>
      <c r="R718" s="31"/>
      <c r="S718" s="31"/>
      <c r="T718" s="32"/>
      <c r="U718" s="32"/>
      <c r="V718" s="32"/>
      <c r="W718" s="32"/>
      <c r="X718" s="32"/>
      <c r="Y718" s="33"/>
      <c r="Z718" s="33"/>
      <c r="AA718" s="33"/>
    </row>
    <row r="719" spans="1:27">
      <c r="A719" s="29"/>
      <c r="B719" s="19">
        <f t="shared" si="23"/>
        <v>46327</v>
      </c>
      <c r="C719" s="27">
        <f>I719+J719+K719+L719+M719+N719+O719+P719+IF(Q719="",0,Q719*サマリー!$B$9)+IF(R719="",0,IF(R719=200,サマリー!$B$10,IF(R719=100,サマリー!$B$11,0)))+IF(S719="",0,S719*サマリー!$B$12)</f>
        <v>0</v>
      </c>
      <c r="D719" s="27">
        <f>T719+U719+V719+W719+X719+IF(Y719="",0,Y719*サマリー!$B$9)+IF(Z719="",0,IF(Z719=200,サマリー!$B$10,IF(Z719=100,サマリー!$B$11,0)))+IF(AA719="",0,AA719*サマリー!$B$12)</f>
        <v>0</v>
      </c>
      <c r="E719" s="27">
        <f t="shared" si="22"/>
        <v>0</v>
      </c>
      <c r="I719" s="30"/>
      <c r="J719" s="30"/>
      <c r="K719" s="30"/>
      <c r="L719" s="30"/>
      <c r="M719" s="30"/>
      <c r="N719" s="30"/>
      <c r="O719" s="30"/>
      <c r="P719" s="30"/>
      <c r="Q719" s="31"/>
      <c r="R719" s="31"/>
      <c r="S719" s="31"/>
      <c r="T719" s="32"/>
      <c r="U719" s="32"/>
      <c r="V719" s="32"/>
      <c r="W719" s="32"/>
      <c r="X719" s="32"/>
      <c r="Y719" s="33"/>
      <c r="Z719" s="33"/>
      <c r="AA719" s="33"/>
    </row>
    <row r="720" spans="1:27">
      <c r="A720" s="29"/>
      <c r="B720" s="19">
        <f t="shared" si="23"/>
        <v>46327</v>
      </c>
      <c r="C720" s="27">
        <f>I720+J720+K720+L720+M720+N720+O720+P720+IF(Q720="",0,Q720*サマリー!$B$9)+IF(R720="",0,IF(R720=200,サマリー!$B$10,IF(R720=100,サマリー!$B$11,0)))+IF(S720="",0,S720*サマリー!$B$12)</f>
        <v>0</v>
      </c>
      <c r="D720" s="27">
        <f>T720+U720+V720+W720+X720+IF(Y720="",0,Y720*サマリー!$B$9)+IF(Z720="",0,IF(Z720=200,サマリー!$B$10,IF(Z720=100,サマリー!$B$11,0)))+IF(AA720="",0,AA720*サマリー!$B$12)</f>
        <v>0</v>
      </c>
      <c r="E720" s="27">
        <f t="shared" si="22"/>
        <v>0</v>
      </c>
      <c r="I720" s="30"/>
      <c r="J720" s="30"/>
      <c r="K720" s="30"/>
      <c r="L720" s="30"/>
      <c r="M720" s="30"/>
      <c r="N720" s="30"/>
      <c r="O720" s="30"/>
      <c r="P720" s="30"/>
      <c r="Q720" s="31"/>
      <c r="R720" s="31"/>
      <c r="S720" s="31"/>
      <c r="T720" s="32"/>
      <c r="U720" s="32"/>
      <c r="V720" s="32"/>
      <c r="W720" s="32"/>
      <c r="X720" s="32"/>
      <c r="Y720" s="33"/>
      <c r="Z720" s="33"/>
      <c r="AA720" s="33"/>
    </row>
    <row r="721" spans="1:27">
      <c r="A721" s="29"/>
      <c r="B721" s="19">
        <f t="shared" si="23"/>
        <v>46327</v>
      </c>
      <c r="C721" s="27">
        <f>I721+J721+K721+L721+M721+N721+O721+P721+IF(Q721="",0,Q721*サマリー!$B$9)+IF(R721="",0,IF(R721=200,サマリー!$B$10,IF(R721=100,サマリー!$B$11,0)))+IF(S721="",0,S721*サマリー!$B$12)</f>
        <v>0</v>
      </c>
      <c r="D721" s="27">
        <f>T721+U721+V721+W721+X721+IF(Y721="",0,Y721*サマリー!$B$9)+IF(Z721="",0,IF(Z721=200,サマリー!$B$10,IF(Z721=100,サマリー!$B$11,0)))+IF(AA721="",0,AA721*サマリー!$B$12)</f>
        <v>0</v>
      </c>
      <c r="E721" s="27">
        <f t="shared" si="22"/>
        <v>0</v>
      </c>
      <c r="I721" s="30"/>
      <c r="J721" s="30"/>
      <c r="K721" s="30"/>
      <c r="L721" s="30"/>
      <c r="M721" s="30"/>
      <c r="N721" s="30"/>
      <c r="O721" s="30"/>
      <c r="P721" s="30"/>
      <c r="Q721" s="31"/>
      <c r="R721" s="31"/>
      <c r="S721" s="31"/>
      <c r="T721" s="32"/>
      <c r="U721" s="32"/>
      <c r="V721" s="32"/>
      <c r="W721" s="32"/>
      <c r="X721" s="32"/>
      <c r="Y721" s="33"/>
      <c r="Z721" s="33"/>
      <c r="AA721" s="33"/>
    </row>
    <row r="722" spans="1:27">
      <c r="A722" s="29"/>
      <c r="B722" s="19">
        <f t="shared" si="23"/>
        <v>46327</v>
      </c>
      <c r="C722" s="27">
        <f>I722+J722+K722+L722+M722+N722+O722+P722+IF(Q722="",0,Q722*サマリー!$B$9)+IF(R722="",0,IF(R722=200,サマリー!$B$10,IF(R722=100,サマリー!$B$11,0)))+IF(S722="",0,S722*サマリー!$B$12)</f>
        <v>0</v>
      </c>
      <c r="D722" s="27">
        <f>T722+U722+V722+W722+X722+IF(Y722="",0,Y722*サマリー!$B$9)+IF(Z722="",0,IF(Z722=200,サマリー!$B$10,IF(Z722=100,サマリー!$B$11,0)))+IF(AA722="",0,AA722*サマリー!$B$12)</f>
        <v>0</v>
      </c>
      <c r="E722" s="27">
        <f t="shared" si="22"/>
        <v>0</v>
      </c>
      <c r="I722" s="30"/>
      <c r="J722" s="30"/>
      <c r="K722" s="30"/>
      <c r="L722" s="30"/>
      <c r="M722" s="30"/>
      <c r="N722" s="30"/>
      <c r="O722" s="30"/>
      <c r="P722" s="30"/>
      <c r="Q722" s="31"/>
      <c r="R722" s="31"/>
      <c r="S722" s="31"/>
      <c r="T722" s="32"/>
      <c r="U722" s="32"/>
      <c r="V722" s="32"/>
      <c r="W722" s="32"/>
      <c r="X722" s="32"/>
      <c r="Y722" s="33"/>
      <c r="Z722" s="33"/>
      <c r="AA722" s="33"/>
    </row>
    <row r="723" spans="1:27">
      <c r="A723" s="29"/>
      <c r="B723" s="19">
        <f t="shared" si="23"/>
        <v>46327</v>
      </c>
      <c r="C723" s="27">
        <f>I723+J723+K723+L723+M723+N723+O723+P723+IF(Q723="",0,Q723*サマリー!$B$9)+IF(R723="",0,IF(R723=200,サマリー!$B$10,IF(R723=100,サマリー!$B$11,0)))+IF(S723="",0,S723*サマリー!$B$12)</f>
        <v>0</v>
      </c>
      <c r="D723" s="27">
        <f>T723+U723+V723+W723+X723+IF(Y723="",0,Y723*サマリー!$B$9)+IF(Z723="",0,IF(Z723=200,サマリー!$B$10,IF(Z723=100,サマリー!$B$11,0)))+IF(AA723="",0,AA723*サマリー!$B$12)</f>
        <v>0</v>
      </c>
      <c r="E723" s="27">
        <f t="shared" si="22"/>
        <v>0</v>
      </c>
      <c r="I723" s="30"/>
      <c r="J723" s="30"/>
      <c r="K723" s="30"/>
      <c r="L723" s="30"/>
      <c r="M723" s="30"/>
      <c r="N723" s="30"/>
      <c r="O723" s="30"/>
      <c r="P723" s="30"/>
      <c r="Q723" s="31"/>
      <c r="R723" s="31"/>
      <c r="S723" s="31"/>
      <c r="T723" s="32"/>
      <c r="U723" s="32"/>
      <c r="V723" s="32"/>
      <c r="W723" s="32"/>
      <c r="X723" s="32"/>
      <c r="Y723" s="33"/>
      <c r="Z723" s="33"/>
      <c r="AA723" s="33"/>
    </row>
    <row r="724" spans="1:27">
      <c r="A724" s="29"/>
      <c r="B724" s="19">
        <f t="shared" si="23"/>
        <v>46327</v>
      </c>
      <c r="C724" s="27">
        <f>I724+J724+K724+L724+M724+N724+O724+P724+IF(Q724="",0,Q724*サマリー!$B$9)+IF(R724="",0,IF(R724=200,サマリー!$B$10,IF(R724=100,サマリー!$B$11,0)))+IF(S724="",0,S724*サマリー!$B$12)</f>
        <v>0</v>
      </c>
      <c r="D724" s="27">
        <f>T724+U724+V724+W724+X724+IF(Y724="",0,Y724*サマリー!$B$9)+IF(Z724="",0,IF(Z724=200,サマリー!$B$10,IF(Z724=100,サマリー!$B$11,0)))+IF(AA724="",0,AA724*サマリー!$B$12)</f>
        <v>0</v>
      </c>
      <c r="E724" s="27">
        <f t="shared" si="22"/>
        <v>0</v>
      </c>
      <c r="I724" s="30"/>
      <c r="J724" s="30"/>
      <c r="K724" s="30"/>
      <c r="L724" s="30"/>
      <c r="M724" s="30"/>
      <c r="N724" s="30"/>
      <c r="O724" s="30"/>
      <c r="P724" s="30"/>
      <c r="Q724" s="31"/>
      <c r="R724" s="31"/>
      <c r="S724" s="31"/>
      <c r="T724" s="32"/>
      <c r="U724" s="32"/>
      <c r="V724" s="32"/>
      <c r="W724" s="32"/>
      <c r="X724" s="32"/>
      <c r="Y724" s="33"/>
      <c r="Z724" s="33"/>
      <c r="AA724" s="33"/>
    </row>
    <row r="725" spans="1:27">
      <c r="A725" s="29"/>
      <c r="B725" s="19">
        <f t="shared" si="23"/>
        <v>46327</v>
      </c>
      <c r="C725" s="27">
        <f>I725+J725+K725+L725+M725+N725+O725+P725+IF(Q725="",0,Q725*サマリー!$B$9)+IF(R725="",0,IF(R725=200,サマリー!$B$10,IF(R725=100,サマリー!$B$11,0)))+IF(S725="",0,S725*サマリー!$B$12)</f>
        <v>0</v>
      </c>
      <c r="D725" s="27">
        <f>T725+U725+V725+W725+X725+IF(Y725="",0,Y725*サマリー!$B$9)+IF(Z725="",0,IF(Z725=200,サマリー!$B$10,IF(Z725=100,サマリー!$B$11,0)))+IF(AA725="",0,AA725*サマリー!$B$12)</f>
        <v>0</v>
      </c>
      <c r="E725" s="27">
        <f t="shared" si="22"/>
        <v>0</v>
      </c>
      <c r="I725" s="30"/>
      <c r="J725" s="30"/>
      <c r="K725" s="30"/>
      <c r="L725" s="30"/>
      <c r="M725" s="30"/>
      <c r="N725" s="30"/>
      <c r="O725" s="30"/>
      <c r="P725" s="30"/>
      <c r="Q725" s="31"/>
      <c r="R725" s="31"/>
      <c r="S725" s="31"/>
      <c r="T725" s="32"/>
      <c r="U725" s="32"/>
      <c r="V725" s="32"/>
      <c r="W725" s="32"/>
      <c r="X725" s="32"/>
      <c r="Y725" s="33"/>
      <c r="Z725" s="33"/>
      <c r="AA725" s="33"/>
    </row>
    <row r="726" spans="1:27">
      <c r="A726" s="29"/>
      <c r="B726" s="19">
        <f t="shared" si="23"/>
        <v>46327</v>
      </c>
      <c r="C726" s="27">
        <f>I726+J726+K726+L726+M726+N726+O726+P726+IF(Q726="",0,Q726*サマリー!$B$9)+IF(R726="",0,IF(R726=200,サマリー!$B$10,IF(R726=100,サマリー!$B$11,0)))+IF(S726="",0,S726*サマリー!$B$12)</f>
        <v>0</v>
      </c>
      <c r="D726" s="27">
        <f>T726+U726+V726+W726+X726+IF(Y726="",0,Y726*サマリー!$B$9)+IF(Z726="",0,IF(Z726=200,サマリー!$B$10,IF(Z726=100,サマリー!$B$11,0)))+IF(AA726="",0,AA726*サマリー!$B$12)</f>
        <v>0</v>
      </c>
      <c r="E726" s="27">
        <f t="shared" si="22"/>
        <v>0</v>
      </c>
      <c r="I726" s="30"/>
      <c r="J726" s="30"/>
      <c r="K726" s="30"/>
      <c r="L726" s="30"/>
      <c r="M726" s="30"/>
      <c r="N726" s="30"/>
      <c r="O726" s="30"/>
      <c r="P726" s="30"/>
      <c r="Q726" s="31"/>
      <c r="R726" s="31"/>
      <c r="S726" s="31"/>
      <c r="T726" s="32"/>
      <c r="U726" s="32"/>
      <c r="V726" s="32"/>
      <c r="W726" s="32"/>
      <c r="X726" s="32"/>
      <c r="Y726" s="33"/>
      <c r="Z726" s="33"/>
      <c r="AA726" s="33"/>
    </row>
    <row r="727" spans="1:27">
      <c r="A727" s="29"/>
      <c r="B727" s="19">
        <f t="shared" si="23"/>
        <v>46327</v>
      </c>
      <c r="C727" s="27">
        <f>I727+J727+K727+L727+M727+N727+O727+P727+IF(Q727="",0,Q727*サマリー!$B$9)+IF(R727="",0,IF(R727=200,サマリー!$B$10,IF(R727=100,サマリー!$B$11,0)))+IF(S727="",0,S727*サマリー!$B$12)</f>
        <v>0</v>
      </c>
      <c r="D727" s="27">
        <f>T727+U727+V727+W727+X727+IF(Y727="",0,Y727*サマリー!$B$9)+IF(Z727="",0,IF(Z727=200,サマリー!$B$10,IF(Z727=100,サマリー!$B$11,0)))+IF(AA727="",0,AA727*サマリー!$B$12)</f>
        <v>0</v>
      </c>
      <c r="E727" s="27">
        <f t="shared" si="22"/>
        <v>0</v>
      </c>
      <c r="I727" s="30"/>
      <c r="J727" s="30"/>
      <c r="K727" s="30"/>
      <c r="L727" s="30"/>
      <c r="M727" s="30"/>
      <c r="N727" s="30"/>
      <c r="O727" s="30"/>
      <c r="P727" s="30"/>
      <c r="Q727" s="31"/>
      <c r="R727" s="31"/>
      <c r="S727" s="31"/>
      <c r="T727" s="32"/>
      <c r="U727" s="32"/>
      <c r="V727" s="32"/>
      <c r="W727" s="32"/>
      <c r="X727" s="32"/>
      <c r="Y727" s="33"/>
      <c r="Z727" s="33"/>
      <c r="AA727" s="33"/>
    </row>
    <row r="728" spans="1:27">
      <c r="A728" s="29"/>
      <c r="B728" s="19">
        <f t="shared" si="23"/>
        <v>46327</v>
      </c>
      <c r="C728" s="27">
        <f>I728+J728+K728+L728+M728+N728+O728+P728+IF(Q728="",0,Q728*サマリー!$B$9)+IF(R728="",0,IF(R728=200,サマリー!$B$10,IF(R728=100,サマリー!$B$11,0)))+IF(S728="",0,S728*サマリー!$B$12)</f>
        <v>0</v>
      </c>
      <c r="D728" s="27">
        <f>T728+U728+V728+W728+X728+IF(Y728="",0,Y728*サマリー!$B$9)+IF(Z728="",0,IF(Z728=200,サマリー!$B$10,IF(Z728=100,サマリー!$B$11,0)))+IF(AA728="",0,AA728*サマリー!$B$12)</f>
        <v>0</v>
      </c>
      <c r="E728" s="27">
        <f t="shared" si="22"/>
        <v>0</v>
      </c>
      <c r="I728" s="30"/>
      <c r="J728" s="30"/>
      <c r="K728" s="30"/>
      <c r="L728" s="30"/>
      <c r="M728" s="30"/>
      <c r="N728" s="30"/>
      <c r="O728" s="30"/>
      <c r="P728" s="30"/>
      <c r="Q728" s="31"/>
      <c r="R728" s="31"/>
      <c r="S728" s="31"/>
      <c r="T728" s="32"/>
      <c r="U728" s="32"/>
      <c r="V728" s="32"/>
      <c r="W728" s="32"/>
      <c r="X728" s="32"/>
      <c r="Y728" s="33"/>
      <c r="Z728" s="33"/>
      <c r="AA728" s="33"/>
    </row>
    <row r="729" spans="1:27">
      <c r="A729" s="29"/>
      <c r="B729" s="19">
        <f t="shared" si="23"/>
        <v>46327</v>
      </c>
      <c r="C729" s="27">
        <f>I729+J729+K729+L729+M729+N729+O729+P729+IF(Q729="",0,Q729*サマリー!$B$9)+IF(R729="",0,IF(R729=200,サマリー!$B$10,IF(R729=100,サマリー!$B$11,0)))+IF(S729="",0,S729*サマリー!$B$12)</f>
        <v>0</v>
      </c>
      <c r="D729" s="27">
        <f>T729+U729+V729+W729+X729+IF(Y729="",0,Y729*サマリー!$B$9)+IF(Z729="",0,IF(Z729=200,サマリー!$B$10,IF(Z729=100,サマリー!$B$11,0)))+IF(AA729="",0,AA729*サマリー!$B$12)</f>
        <v>0</v>
      </c>
      <c r="E729" s="27">
        <f t="shared" si="22"/>
        <v>0</v>
      </c>
      <c r="I729" s="30"/>
      <c r="J729" s="30"/>
      <c r="K729" s="30"/>
      <c r="L729" s="30"/>
      <c r="M729" s="30"/>
      <c r="N729" s="30"/>
      <c r="O729" s="30"/>
      <c r="P729" s="30"/>
      <c r="Q729" s="31"/>
      <c r="R729" s="31"/>
      <c r="S729" s="31"/>
      <c r="T729" s="32"/>
      <c r="U729" s="32"/>
      <c r="V729" s="32"/>
      <c r="W729" s="32"/>
      <c r="X729" s="32"/>
      <c r="Y729" s="33"/>
      <c r="Z729" s="33"/>
      <c r="AA729" s="33"/>
    </row>
    <row r="730" spans="1:27">
      <c r="A730" s="29"/>
      <c r="B730" s="19">
        <f t="shared" si="23"/>
        <v>46327</v>
      </c>
      <c r="C730" s="27">
        <f>I730+J730+K730+L730+M730+N730+O730+P730+IF(Q730="",0,Q730*サマリー!$B$9)+IF(R730="",0,IF(R730=200,サマリー!$B$10,IF(R730=100,サマリー!$B$11,0)))+IF(S730="",0,S730*サマリー!$B$12)</f>
        <v>0</v>
      </c>
      <c r="D730" s="27">
        <f>T730+U730+V730+W730+X730+IF(Y730="",0,Y730*サマリー!$B$9)+IF(Z730="",0,IF(Z730=200,サマリー!$B$10,IF(Z730=100,サマリー!$B$11,0)))+IF(AA730="",0,AA730*サマリー!$B$12)</f>
        <v>0</v>
      </c>
      <c r="E730" s="27">
        <f t="shared" si="22"/>
        <v>0</v>
      </c>
      <c r="I730" s="30"/>
      <c r="J730" s="30"/>
      <c r="K730" s="30"/>
      <c r="L730" s="30"/>
      <c r="M730" s="30"/>
      <c r="N730" s="30"/>
      <c r="O730" s="30"/>
      <c r="P730" s="30"/>
      <c r="Q730" s="31"/>
      <c r="R730" s="31"/>
      <c r="S730" s="31"/>
      <c r="T730" s="32"/>
      <c r="U730" s="32"/>
      <c r="V730" s="32"/>
      <c r="W730" s="32"/>
      <c r="X730" s="32"/>
      <c r="Y730" s="33"/>
      <c r="Z730" s="33"/>
      <c r="AA730" s="33"/>
    </row>
    <row r="731" spans="1:27">
      <c r="A731" s="29"/>
      <c r="B731" s="19">
        <f t="shared" si="23"/>
        <v>46327</v>
      </c>
      <c r="C731" s="27">
        <f>I731+J731+K731+L731+M731+N731+O731+P731+IF(Q731="",0,Q731*サマリー!$B$9)+IF(R731="",0,IF(R731=200,サマリー!$B$10,IF(R731=100,サマリー!$B$11,0)))+IF(S731="",0,S731*サマリー!$B$12)</f>
        <v>0</v>
      </c>
      <c r="D731" s="27">
        <f>T731+U731+V731+W731+X731+IF(Y731="",0,Y731*サマリー!$B$9)+IF(Z731="",0,IF(Z731=200,サマリー!$B$10,IF(Z731=100,サマリー!$B$11,0)))+IF(AA731="",0,AA731*サマリー!$B$12)</f>
        <v>0</v>
      </c>
      <c r="E731" s="27">
        <f t="shared" si="22"/>
        <v>0</v>
      </c>
      <c r="I731" s="30"/>
      <c r="J731" s="30"/>
      <c r="K731" s="30"/>
      <c r="L731" s="30"/>
      <c r="M731" s="30"/>
      <c r="N731" s="30"/>
      <c r="O731" s="30"/>
      <c r="P731" s="30"/>
      <c r="Q731" s="31"/>
      <c r="R731" s="31"/>
      <c r="S731" s="31"/>
      <c r="T731" s="32"/>
      <c r="U731" s="32"/>
      <c r="V731" s="32"/>
      <c r="W731" s="32"/>
      <c r="X731" s="32"/>
      <c r="Y731" s="33"/>
      <c r="Z731" s="33"/>
      <c r="AA731" s="33"/>
    </row>
    <row r="732" spans="1:27">
      <c r="A732" s="29"/>
      <c r="B732" s="19">
        <f t="shared" si="23"/>
        <v>46327</v>
      </c>
      <c r="C732" s="27">
        <f>I732+J732+K732+L732+M732+N732+O732+P732+IF(Q732="",0,Q732*サマリー!$B$9)+IF(R732="",0,IF(R732=200,サマリー!$B$10,IF(R732=100,サマリー!$B$11,0)))+IF(S732="",0,S732*サマリー!$B$12)</f>
        <v>0</v>
      </c>
      <c r="D732" s="27">
        <f>T732+U732+V732+W732+X732+IF(Y732="",0,Y732*サマリー!$B$9)+IF(Z732="",0,IF(Z732=200,サマリー!$B$10,IF(Z732=100,サマリー!$B$11,0)))+IF(AA732="",0,AA732*サマリー!$B$12)</f>
        <v>0</v>
      </c>
      <c r="E732" s="27">
        <f t="shared" si="22"/>
        <v>0</v>
      </c>
      <c r="I732" s="30"/>
      <c r="J732" s="30"/>
      <c r="K732" s="30"/>
      <c r="L732" s="30"/>
      <c r="M732" s="30"/>
      <c r="N732" s="30"/>
      <c r="O732" s="30"/>
      <c r="P732" s="30"/>
      <c r="Q732" s="31"/>
      <c r="R732" s="31"/>
      <c r="S732" s="31"/>
      <c r="T732" s="32"/>
      <c r="U732" s="32"/>
      <c r="V732" s="32"/>
      <c r="W732" s="32"/>
      <c r="X732" s="32"/>
      <c r="Y732" s="33"/>
      <c r="Z732" s="33"/>
      <c r="AA732" s="33"/>
    </row>
    <row r="733" spans="1:27">
      <c r="A733" s="29"/>
      <c r="B733" s="19">
        <f t="shared" si="23"/>
        <v>46327</v>
      </c>
      <c r="C733" s="27">
        <f>I733+J733+K733+L733+M733+N733+O733+P733+IF(Q733="",0,Q733*サマリー!$B$9)+IF(R733="",0,IF(R733=200,サマリー!$B$10,IF(R733=100,サマリー!$B$11,0)))+IF(S733="",0,S733*サマリー!$B$12)</f>
        <v>0</v>
      </c>
      <c r="D733" s="27">
        <f>T733+U733+V733+W733+X733+IF(Y733="",0,Y733*サマリー!$B$9)+IF(Z733="",0,IF(Z733=200,サマリー!$B$10,IF(Z733=100,サマリー!$B$11,0)))+IF(AA733="",0,AA733*サマリー!$B$12)</f>
        <v>0</v>
      </c>
      <c r="E733" s="27">
        <f t="shared" si="22"/>
        <v>0</v>
      </c>
      <c r="I733" s="30"/>
      <c r="J733" s="30"/>
      <c r="K733" s="30"/>
      <c r="L733" s="30"/>
      <c r="M733" s="30"/>
      <c r="N733" s="30"/>
      <c r="O733" s="30"/>
      <c r="P733" s="30"/>
      <c r="Q733" s="31"/>
      <c r="R733" s="31"/>
      <c r="S733" s="31"/>
      <c r="T733" s="32"/>
      <c r="U733" s="32"/>
      <c r="V733" s="32"/>
      <c r="W733" s="32"/>
      <c r="X733" s="32"/>
      <c r="Y733" s="33"/>
      <c r="Z733" s="33"/>
      <c r="AA733" s="33"/>
    </row>
    <row r="734" spans="1:27">
      <c r="A734" s="29"/>
      <c r="B734" s="19">
        <f t="shared" si="23"/>
        <v>46327</v>
      </c>
      <c r="C734" s="27">
        <f>I734+J734+K734+L734+M734+N734+O734+P734+IF(Q734="",0,Q734*サマリー!$B$9)+IF(R734="",0,IF(R734=200,サマリー!$B$10,IF(R734=100,サマリー!$B$11,0)))+IF(S734="",0,S734*サマリー!$B$12)</f>
        <v>0</v>
      </c>
      <c r="D734" s="27">
        <f>T734+U734+V734+W734+X734+IF(Y734="",0,Y734*サマリー!$B$9)+IF(Z734="",0,IF(Z734=200,サマリー!$B$10,IF(Z734=100,サマリー!$B$11,0)))+IF(AA734="",0,AA734*サマリー!$B$12)</f>
        <v>0</v>
      </c>
      <c r="E734" s="27">
        <f t="shared" si="22"/>
        <v>0</v>
      </c>
      <c r="I734" s="30"/>
      <c r="J734" s="30"/>
      <c r="K734" s="30"/>
      <c r="L734" s="30"/>
      <c r="M734" s="30"/>
      <c r="N734" s="30"/>
      <c r="O734" s="30"/>
      <c r="P734" s="30"/>
      <c r="Q734" s="31"/>
      <c r="R734" s="31"/>
      <c r="S734" s="31"/>
      <c r="T734" s="32"/>
      <c r="U734" s="32"/>
      <c r="V734" s="32"/>
      <c r="W734" s="32"/>
      <c r="X734" s="32"/>
      <c r="Y734" s="33"/>
      <c r="Z734" s="33"/>
      <c r="AA734" s="33"/>
    </row>
    <row r="735" spans="1:27">
      <c r="A735" s="29"/>
      <c r="B735" s="19">
        <f t="shared" si="23"/>
        <v>46327</v>
      </c>
      <c r="C735" s="27">
        <f>I735+J735+K735+L735+M735+N735+O735+P735+IF(Q735="",0,Q735*サマリー!$B$9)+IF(R735="",0,IF(R735=200,サマリー!$B$10,IF(R735=100,サマリー!$B$11,0)))+IF(S735="",0,S735*サマリー!$B$12)</f>
        <v>0</v>
      </c>
      <c r="D735" s="27">
        <f>T735+U735+V735+W735+X735+IF(Y735="",0,Y735*サマリー!$B$9)+IF(Z735="",0,IF(Z735=200,サマリー!$B$10,IF(Z735=100,サマリー!$B$11,0)))+IF(AA735="",0,AA735*サマリー!$B$12)</f>
        <v>0</v>
      </c>
      <c r="E735" s="27">
        <f t="shared" si="22"/>
        <v>0</v>
      </c>
      <c r="I735" s="30"/>
      <c r="J735" s="30"/>
      <c r="K735" s="30"/>
      <c r="L735" s="30"/>
      <c r="M735" s="30"/>
      <c r="N735" s="30"/>
      <c r="O735" s="30"/>
      <c r="P735" s="30"/>
      <c r="Q735" s="31"/>
      <c r="R735" s="31"/>
      <c r="S735" s="31"/>
      <c r="T735" s="32"/>
      <c r="U735" s="32"/>
      <c r="V735" s="32"/>
      <c r="W735" s="32"/>
      <c r="X735" s="32"/>
      <c r="Y735" s="33"/>
      <c r="Z735" s="33"/>
      <c r="AA735" s="33"/>
    </row>
    <row r="736" spans="1:27">
      <c r="A736" s="29"/>
      <c r="B736" s="19">
        <f t="shared" si="23"/>
        <v>46327</v>
      </c>
      <c r="C736" s="27">
        <f>I736+J736+K736+L736+M736+N736+O736+P736+IF(Q736="",0,Q736*サマリー!$B$9)+IF(R736="",0,IF(R736=200,サマリー!$B$10,IF(R736=100,サマリー!$B$11,0)))+IF(S736="",0,S736*サマリー!$B$12)</f>
        <v>0</v>
      </c>
      <c r="D736" s="27">
        <f>T736+U736+V736+W736+X736+IF(Y736="",0,Y736*サマリー!$B$9)+IF(Z736="",0,IF(Z736=200,サマリー!$B$10,IF(Z736=100,サマリー!$B$11,0)))+IF(AA736="",0,AA736*サマリー!$B$12)</f>
        <v>0</v>
      </c>
      <c r="E736" s="27">
        <f t="shared" si="22"/>
        <v>0</v>
      </c>
      <c r="I736" s="30"/>
      <c r="J736" s="30"/>
      <c r="K736" s="30"/>
      <c r="L736" s="30"/>
      <c r="M736" s="30"/>
      <c r="N736" s="30"/>
      <c r="O736" s="30"/>
      <c r="P736" s="30"/>
      <c r="Q736" s="31"/>
      <c r="R736" s="31"/>
      <c r="S736" s="31"/>
      <c r="T736" s="32"/>
      <c r="U736" s="32"/>
      <c r="V736" s="32"/>
      <c r="W736" s="32"/>
      <c r="X736" s="32"/>
      <c r="Y736" s="33"/>
      <c r="Z736" s="33"/>
      <c r="AA736" s="33"/>
    </row>
    <row r="737" spans="1:27">
      <c r="A737" s="29"/>
      <c r="B737" s="19">
        <f t="shared" si="23"/>
        <v>46327</v>
      </c>
      <c r="C737" s="27">
        <f>I737+J737+K737+L737+M737+N737+O737+P737+IF(Q737="",0,Q737*サマリー!$B$9)+IF(R737="",0,IF(R737=200,サマリー!$B$10,IF(R737=100,サマリー!$B$11,0)))+IF(S737="",0,S737*サマリー!$B$12)</f>
        <v>0</v>
      </c>
      <c r="D737" s="27">
        <f>T737+U737+V737+W737+X737+IF(Y737="",0,Y737*サマリー!$B$9)+IF(Z737="",0,IF(Z737=200,サマリー!$B$10,IF(Z737=100,サマリー!$B$11,0)))+IF(AA737="",0,AA737*サマリー!$B$12)</f>
        <v>0</v>
      </c>
      <c r="E737" s="27">
        <f t="shared" si="22"/>
        <v>0</v>
      </c>
      <c r="I737" s="30"/>
      <c r="J737" s="30"/>
      <c r="K737" s="30"/>
      <c r="L737" s="30"/>
      <c r="M737" s="30"/>
      <c r="N737" s="30"/>
      <c r="O737" s="30"/>
      <c r="P737" s="30"/>
      <c r="Q737" s="31"/>
      <c r="R737" s="31"/>
      <c r="S737" s="31"/>
      <c r="T737" s="32"/>
      <c r="U737" s="32"/>
      <c r="V737" s="32"/>
      <c r="W737" s="32"/>
      <c r="X737" s="32"/>
      <c r="Y737" s="33"/>
      <c r="Z737" s="33"/>
      <c r="AA737" s="33"/>
    </row>
    <row r="738" spans="1:27">
      <c r="A738" s="29"/>
      <c r="B738" s="19">
        <f t="shared" si="23"/>
        <v>46327</v>
      </c>
      <c r="C738" s="27">
        <f>I738+J738+K738+L738+M738+N738+O738+P738+IF(Q738="",0,Q738*サマリー!$B$9)+IF(R738="",0,IF(R738=200,サマリー!$B$10,IF(R738=100,サマリー!$B$11,0)))+IF(S738="",0,S738*サマリー!$B$12)</f>
        <v>0</v>
      </c>
      <c r="D738" s="27">
        <f>T738+U738+V738+W738+X738+IF(Y738="",0,Y738*サマリー!$B$9)+IF(Z738="",0,IF(Z738=200,サマリー!$B$10,IF(Z738=100,サマリー!$B$11,0)))+IF(AA738="",0,AA738*サマリー!$B$12)</f>
        <v>0</v>
      </c>
      <c r="E738" s="27">
        <f t="shared" si="22"/>
        <v>0</v>
      </c>
      <c r="I738" s="30"/>
      <c r="J738" s="30"/>
      <c r="K738" s="30"/>
      <c r="L738" s="30"/>
      <c r="M738" s="30"/>
      <c r="N738" s="30"/>
      <c r="O738" s="30"/>
      <c r="P738" s="30"/>
      <c r="Q738" s="31"/>
      <c r="R738" s="31"/>
      <c r="S738" s="31"/>
      <c r="T738" s="32"/>
      <c r="U738" s="32"/>
      <c r="V738" s="32"/>
      <c r="W738" s="32"/>
      <c r="X738" s="32"/>
      <c r="Y738" s="33"/>
      <c r="Z738" s="33"/>
      <c r="AA738" s="33"/>
    </row>
    <row r="739" spans="1:27">
      <c r="A739" s="29"/>
      <c r="B739" s="19">
        <f t="shared" si="23"/>
        <v>46327</v>
      </c>
      <c r="C739" s="27">
        <f>I739+J739+K739+L739+M739+N739+O739+P739+IF(Q739="",0,Q739*サマリー!$B$9)+IF(R739="",0,IF(R739=200,サマリー!$B$10,IF(R739=100,サマリー!$B$11,0)))+IF(S739="",0,S739*サマリー!$B$12)</f>
        <v>0</v>
      </c>
      <c r="D739" s="27">
        <f>T739+U739+V739+W739+X739+IF(Y739="",0,Y739*サマリー!$B$9)+IF(Z739="",0,IF(Z739=200,サマリー!$B$10,IF(Z739=100,サマリー!$B$11,0)))+IF(AA739="",0,AA739*サマリー!$B$12)</f>
        <v>0</v>
      </c>
      <c r="E739" s="27">
        <f t="shared" si="22"/>
        <v>0</v>
      </c>
      <c r="I739" s="30"/>
      <c r="J739" s="30"/>
      <c r="K739" s="30"/>
      <c r="L739" s="30"/>
      <c r="M739" s="30"/>
      <c r="N739" s="30"/>
      <c r="O739" s="30"/>
      <c r="P739" s="30"/>
      <c r="Q739" s="31"/>
      <c r="R739" s="31"/>
      <c r="S739" s="31"/>
      <c r="T739" s="32"/>
      <c r="U739" s="32"/>
      <c r="V739" s="32"/>
      <c r="W739" s="32"/>
      <c r="X739" s="32"/>
      <c r="Y739" s="33"/>
      <c r="Z739" s="33"/>
      <c r="AA739" s="33"/>
    </row>
    <row r="740" spans="1:27">
      <c r="A740" s="29"/>
      <c r="B740" s="19">
        <f t="shared" si="23"/>
        <v>46327</v>
      </c>
      <c r="C740" s="27">
        <f>I740+J740+K740+L740+M740+N740+O740+P740+IF(Q740="",0,Q740*サマリー!$B$9)+IF(R740="",0,IF(R740=200,サマリー!$B$10,IF(R740=100,サマリー!$B$11,0)))+IF(S740="",0,S740*サマリー!$B$12)</f>
        <v>0</v>
      </c>
      <c r="D740" s="27">
        <f>T740+U740+V740+W740+X740+IF(Y740="",0,Y740*サマリー!$B$9)+IF(Z740="",0,IF(Z740=200,サマリー!$B$10,IF(Z740=100,サマリー!$B$11,0)))+IF(AA740="",0,AA740*サマリー!$B$12)</f>
        <v>0</v>
      </c>
      <c r="E740" s="27">
        <f t="shared" si="22"/>
        <v>0</v>
      </c>
      <c r="I740" s="30"/>
      <c r="J740" s="30"/>
      <c r="K740" s="30"/>
      <c r="L740" s="30"/>
      <c r="M740" s="30"/>
      <c r="N740" s="30"/>
      <c r="O740" s="30"/>
      <c r="P740" s="30"/>
      <c r="Q740" s="31"/>
      <c r="R740" s="31"/>
      <c r="S740" s="31"/>
      <c r="T740" s="32"/>
      <c r="U740" s="32"/>
      <c r="V740" s="32"/>
      <c r="W740" s="32"/>
      <c r="X740" s="32"/>
      <c r="Y740" s="33"/>
      <c r="Z740" s="33"/>
      <c r="AA740" s="33"/>
    </row>
    <row r="741" spans="1:27">
      <c r="A741" s="29"/>
      <c r="B741" s="19">
        <f t="shared" si="23"/>
        <v>46327</v>
      </c>
      <c r="C741" s="27">
        <f>I741+J741+K741+L741+M741+N741+O741+P741+IF(Q741="",0,Q741*サマリー!$B$9)+IF(R741="",0,IF(R741=200,サマリー!$B$10,IF(R741=100,サマリー!$B$11,0)))+IF(S741="",0,S741*サマリー!$B$12)</f>
        <v>0</v>
      </c>
      <c r="D741" s="27">
        <f>T741+U741+V741+W741+X741+IF(Y741="",0,Y741*サマリー!$B$9)+IF(Z741="",0,IF(Z741=200,サマリー!$B$10,IF(Z741=100,サマリー!$B$11,0)))+IF(AA741="",0,AA741*サマリー!$B$12)</f>
        <v>0</v>
      </c>
      <c r="E741" s="27">
        <f t="shared" si="22"/>
        <v>0</v>
      </c>
      <c r="I741" s="30"/>
      <c r="J741" s="30"/>
      <c r="K741" s="30"/>
      <c r="L741" s="30"/>
      <c r="M741" s="30"/>
      <c r="N741" s="30"/>
      <c r="O741" s="30"/>
      <c r="P741" s="30"/>
      <c r="Q741" s="31"/>
      <c r="R741" s="31"/>
      <c r="S741" s="31"/>
      <c r="T741" s="32"/>
      <c r="U741" s="32"/>
      <c r="V741" s="32"/>
      <c r="W741" s="32"/>
      <c r="X741" s="32"/>
      <c r="Y741" s="33"/>
      <c r="Z741" s="33"/>
      <c r="AA741" s="33"/>
    </row>
    <row r="742" spans="1:27">
      <c r="A742" s="29"/>
      <c r="B742" s="19">
        <f t="shared" si="23"/>
        <v>46327</v>
      </c>
      <c r="C742" s="27">
        <f>I742+J742+K742+L742+M742+N742+O742+P742+IF(Q742="",0,Q742*サマリー!$B$9)+IF(R742="",0,IF(R742=200,サマリー!$B$10,IF(R742=100,サマリー!$B$11,0)))+IF(S742="",0,S742*サマリー!$B$12)</f>
        <v>0</v>
      </c>
      <c r="D742" s="27">
        <f>T742+U742+V742+W742+X742+IF(Y742="",0,Y742*サマリー!$B$9)+IF(Z742="",0,IF(Z742=200,サマリー!$B$10,IF(Z742=100,サマリー!$B$11,0)))+IF(AA742="",0,AA742*サマリー!$B$12)</f>
        <v>0</v>
      </c>
      <c r="E742" s="27">
        <f t="shared" si="22"/>
        <v>0</v>
      </c>
      <c r="I742" s="30"/>
      <c r="J742" s="30"/>
      <c r="K742" s="30"/>
      <c r="L742" s="30"/>
      <c r="M742" s="30"/>
      <c r="N742" s="30"/>
      <c r="O742" s="30"/>
      <c r="P742" s="30"/>
      <c r="Q742" s="31"/>
      <c r="R742" s="31"/>
      <c r="S742" s="31"/>
      <c r="T742" s="32"/>
      <c r="U742" s="32"/>
      <c r="V742" s="32"/>
      <c r="W742" s="32"/>
      <c r="X742" s="32"/>
      <c r="Y742" s="33"/>
      <c r="Z742" s="33"/>
      <c r="AA742" s="33"/>
    </row>
    <row r="743" spans="1:27">
      <c r="A743" s="29"/>
      <c r="B743" s="19">
        <f t="shared" si="23"/>
        <v>46327</v>
      </c>
      <c r="C743" s="27">
        <f>I743+J743+K743+L743+M743+N743+O743+P743+IF(Q743="",0,Q743*サマリー!$B$9)+IF(R743="",0,IF(R743=200,サマリー!$B$10,IF(R743=100,サマリー!$B$11,0)))+IF(S743="",0,S743*サマリー!$B$12)</f>
        <v>0</v>
      </c>
      <c r="D743" s="27">
        <f>T743+U743+V743+W743+X743+IF(Y743="",0,Y743*サマリー!$B$9)+IF(Z743="",0,IF(Z743=200,サマリー!$B$10,IF(Z743=100,サマリー!$B$11,0)))+IF(AA743="",0,AA743*サマリー!$B$12)</f>
        <v>0</v>
      </c>
      <c r="E743" s="27">
        <f t="shared" si="22"/>
        <v>0</v>
      </c>
      <c r="I743" s="30"/>
      <c r="J743" s="30"/>
      <c r="K743" s="30"/>
      <c r="L743" s="30"/>
      <c r="M743" s="30"/>
      <c r="N743" s="30"/>
      <c r="O743" s="30"/>
      <c r="P743" s="30"/>
      <c r="Q743" s="31"/>
      <c r="R743" s="31"/>
      <c r="S743" s="31"/>
      <c r="T743" s="32"/>
      <c r="U743" s="32"/>
      <c r="V743" s="32"/>
      <c r="W743" s="32"/>
      <c r="X743" s="32"/>
      <c r="Y743" s="33"/>
      <c r="Z743" s="33"/>
      <c r="AA743" s="33"/>
    </row>
    <row r="744" spans="1:27">
      <c r="A744" s="29"/>
      <c r="B744" s="19">
        <f t="shared" si="23"/>
        <v>46327</v>
      </c>
      <c r="C744" s="27">
        <f>I744+J744+K744+L744+M744+N744+O744+P744+IF(Q744="",0,Q744*サマリー!$B$9)+IF(R744="",0,IF(R744=200,サマリー!$B$10,IF(R744=100,サマリー!$B$11,0)))+IF(S744="",0,S744*サマリー!$B$12)</f>
        <v>0</v>
      </c>
      <c r="D744" s="27">
        <f>T744+U744+V744+W744+X744+IF(Y744="",0,Y744*サマリー!$B$9)+IF(Z744="",0,IF(Z744=200,サマリー!$B$10,IF(Z744=100,サマリー!$B$11,0)))+IF(AA744="",0,AA744*サマリー!$B$12)</f>
        <v>0</v>
      </c>
      <c r="E744" s="27">
        <f t="shared" si="22"/>
        <v>0</v>
      </c>
      <c r="I744" s="30"/>
      <c r="J744" s="30"/>
      <c r="K744" s="30"/>
      <c r="L744" s="30"/>
      <c r="M744" s="30"/>
      <c r="N744" s="30"/>
      <c r="O744" s="30"/>
      <c r="P744" s="30"/>
      <c r="Q744" s="31"/>
      <c r="R744" s="31"/>
      <c r="S744" s="31"/>
      <c r="T744" s="32"/>
      <c r="U744" s="32"/>
      <c r="V744" s="32"/>
      <c r="W744" s="32"/>
      <c r="X744" s="32"/>
      <c r="Y744" s="33"/>
      <c r="Z744" s="33"/>
      <c r="AA744" s="33"/>
    </row>
    <row r="745" spans="1:27">
      <c r="A745" s="29"/>
      <c r="B745" s="19">
        <f t="shared" si="23"/>
        <v>46327</v>
      </c>
      <c r="C745" s="27">
        <f>I745+J745+K745+L745+M745+N745+O745+P745+IF(Q745="",0,Q745*サマリー!$B$9)+IF(R745="",0,IF(R745=200,サマリー!$B$10,IF(R745=100,サマリー!$B$11,0)))+IF(S745="",0,S745*サマリー!$B$12)</f>
        <v>0</v>
      </c>
      <c r="D745" s="27">
        <f>T745+U745+V745+W745+X745+IF(Y745="",0,Y745*サマリー!$B$9)+IF(Z745="",0,IF(Z745=200,サマリー!$B$10,IF(Z745=100,サマリー!$B$11,0)))+IF(AA745="",0,AA745*サマリー!$B$12)</f>
        <v>0</v>
      </c>
      <c r="E745" s="27">
        <f t="shared" si="22"/>
        <v>0</v>
      </c>
      <c r="I745" s="30"/>
      <c r="J745" s="30"/>
      <c r="K745" s="30"/>
      <c r="L745" s="30"/>
      <c r="M745" s="30"/>
      <c r="N745" s="30"/>
      <c r="O745" s="30"/>
      <c r="P745" s="30"/>
      <c r="Q745" s="31"/>
      <c r="R745" s="31"/>
      <c r="S745" s="31"/>
      <c r="T745" s="32"/>
      <c r="U745" s="32"/>
      <c r="V745" s="32"/>
      <c r="W745" s="32"/>
      <c r="X745" s="32"/>
      <c r="Y745" s="33"/>
      <c r="Z745" s="33"/>
      <c r="AA745" s="33"/>
    </row>
    <row r="746" spans="1:27">
      <c r="A746" s="29"/>
      <c r="B746" s="19">
        <f t="shared" si="23"/>
        <v>46327</v>
      </c>
      <c r="C746" s="27">
        <f>I746+J746+K746+L746+M746+N746+O746+P746+IF(Q746="",0,Q746*サマリー!$B$9)+IF(R746="",0,IF(R746=200,サマリー!$B$10,IF(R746=100,サマリー!$B$11,0)))+IF(S746="",0,S746*サマリー!$B$12)</f>
        <v>0</v>
      </c>
      <c r="D746" s="27">
        <f>T746+U746+V746+W746+X746+IF(Y746="",0,Y746*サマリー!$B$9)+IF(Z746="",0,IF(Z746=200,サマリー!$B$10,IF(Z746=100,サマリー!$B$11,0)))+IF(AA746="",0,AA746*サマリー!$B$12)</f>
        <v>0</v>
      </c>
      <c r="E746" s="27">
        <f t="shared" si="22"/>
        <v>0</v>
      </c>
      <c r="I746" s="30"/>
      <c r="J746" s="30"/>
      <c r="K746" s="30"/>
      <c r="L746" s="30"/>
      <c r="M746" s="30"/>
      <c r="N746" s="30"/>
      <c r="O746" s="30"/>
      <c r="P746" s="30"/>
      <c r="Q746" s="31"/>
      <c r="R746" s="31"/>
      <c r="S746" s="31"/>
      <c r="T746" s="32"/>
      <c r="U746" s="32"/>
      <c r="V746" s="32"/>
      <c r="W746" s="32"/>
      <c r="X746" s="32"/>
      <c r="Y746" s="33"/>
      <c r="Z746" s="33"/>
      <c r="AA746" s="33"/>
    </row>
    <row r="747" spans="1:27">
      <c r="A747" s="29"/>
      <c r="B747" s="19">
        <f t="shared" si="23"/>
        <v>46327</v>
      </c>
      <c r="C747" s="27">
        <f>I747+J747+K747+L747+M747+N747+O747+P747+IF(Q747="",0,Q747*サマリー!$B$9)+IF(R747="",0,IF(R747=200,サマリー!$B$10,IF(R747=100,サマリー!$B$11,0)))+IF(S747="",0,S747*サマリー!$B$12)</f>
        <v>0</v>
      </c>
      <c r="D747" s="27">
        <f>T747+U747+V747+W747+X747+IF(Y747="",0,Y747*サマリー!$B$9)+IF(Z747="",0,IF(Z747=200,サマリー!$B$10,IF(Z747=100,サマリー!$B$11,0)))+IF(AA747="",0,AA747*サマリー!$B$12)</f>
        <v>0</v>
      </c>
      <c r="E747" s="27">
        <f t="shared" si="22"/>
        <v>0</v>
      </c>
      <c r="I747" s="30"/>
      <c r="J747" s="30"/>
      <c r="K747" s="30"/>
      <c r="L747" s="30"/>
      <c r="M747" s="30"/>
      <c r="N747" s="30"/>
      <c r="O747" s="30"/>
      <c r="P747" s="30"/>
      <c r="Q747" s="31"/>
      <c r="R747" s="31"/>
      <c r="S747" s="31"/>
      <c r="T747" s="32"/>
      <c r="U747" s="32"/>
      <c r="V747" s="32"/>
      <c r="W747" s="32"/>
      <c r="X747" s="32"/>
      <c r="Y747" s="33"/>
      <c r="Z747" s="33"/>
      <c r="AA747" s="33"/>
    </row>
    <row r="748" spans="1:27">
      <c r="A748" s="29"/>
      <c r="B748" s="19">
        <f t="shared" si="23"/>
        <v>46327</v>
      </c>
      <c r="C748" s="27">
        <f>I748+J748+K748+L748+M748+N748+O748+P748+IF(Q748="",0,Q748*サマリー!$B$9)+IF(R748="",0,IF(R748=200,サマリー!$B$10,IF(R748=100,サマリー!$B$11,0)))+IF(S748="",0,S748*サマリー!$B$12)</f>
        <v>0</v>
      </c>
      <c r="D748" s="27">
        <f>T748+U748+V748+W748+X748+IF(Y748="",0,Y748*サマリー!$B$9)+IF(Z748="",0,IF(Z748=200,サマリー!$B$10,IF(Z748=100,サマリー!$B$11,0)))+IF(AA748="",0,AA748*サマリー!$B$12)</f>
        <v>0</v>
      </c>
      <c r="E748" s="27">
        <f t="shared" si="22"/>
        <v>0</v>
      </c>
      <c r="I748" s="30"/>
      <c r="J748" s="30"/>
      <c r="K748" s="30"/>
      <c r="L748" s="30"/>
      <c r="M748" s="30"/>
      <c r="N748" s="30"/>
      <c r="O748" s="30"/>
      <c r="P748" s="30"/>
      <c r="Q748" s="31"/>
      <c r="R748" s="31"/>
      <c r="S748" s="31"/>
      <c r="T748" s="32"/>
      <c r="U748" s="32"/>
      <c r="V748" s="32"/>
      <c r="W748" s="32"/>
      <c r="X748" s="32"/>
      <c r="Y748" s="33"/>
      <c r="Z748" s="33"/>
      <c r="AA748" s="33"/>
    </row>
    <row r="749" spans="1:27">
      <c r="A749" s="29"/>
      <c r="B749" s="19">
        <f t="shared" si="23"/>
        <v>46327</v>
      </c>
      <c r="C749" s="27">
        <f>I749+J749+K749+L749+M749+N749+O749+P749+IF(Q749="",0,Q749*サマリー!$B$9)+IF(R749="",0,IF(R749=200,サマリー!$B$10,IF(R749=100,サマリー!$B$11,0)))+IF(S749="",0,S749*サマリー!$B$12)</f>
        <v>0</v>
      </c>
      <c r="D749" s="27">
        <f>T749+U749+V749+W749+X749+IF(Y749="",0,Y749*サマリー!$B$9)+IF(Z749="",0,IF(Z749=200,サマリー!$B$10,IF(Z749=100,サマリー!$B$11,0)))+IF(AA749="",0,AA749*サマリー!$B$12)</f>
        <v>0</v>
      </c>
      <c r="E749" s="27">
        <f t="shared" si="22"/>
        <v>0</v>
      </c>
      <c r="I749" s="30"/>
      <c r="J749" s="30"/>
      <c r="K749" s="30"/>
      <c r="L749" s="30"/>
      <c r="M749" s="30"/>
      <c r="N749" s="30"/>
      <c r="O749" s="30"/>
      <c r="P749" s="30"/>
      <c r="Q749" s="31"/>
      <c r="R749" s="31"/>
      <c r="S749" s="31"/>
      <c r="T749" s="32"/>
      <c r="U749" s="32"/>
      <c r="V749" s="32"/>
      <c r="W749" s="32"/>
      <c r="X749" s="32"/>
      <c r="Y749" s="33"/>
      <c r="Z749" s="33"/>
      <c r="AA749" s="33"/>
    </row>
    <row r="750" spans="1:27">
      <c r="A750" s="29"/>
      <c r="B750" s="19">
        <f t="shared" si="23"/>
        <v>46327</v>
      </c>
      <c r="C750" s="27">
        <f>I750+J750+K750+L750+M750+N750+O750+P750+IF(Q750="",0,Q750*サマリー!$B$9)+IF(R750="",0,IF(R750=200,サマリー!$B$10,IF(R750=100,サマリー!$B$11,0)))+IF(S750="",0,S750*サマリー!$B$12)</f>
        <v>0</v>
      </c>
      <c r="D750" s="27">
        <f>T750+U750+V750+W750+X750+IF(Y750="",0,Y750*サマリー!$B$9)+IF(Z750="",0,IF(Z750=200,サマリー!$B$10,IF(Z750=100,サマリー!$B$11,0)))+IF(AA750="",0,AA750*サマリー!$B$12)</f>
        <v>0</v>
      </c>
      <c r="E750" s="27">
        <f t="shared" si="22"/>
        <v>0</v>
      </c>
      <c r="I750" s="30"/>
      <c r="J750" s="30"/>
      <c r="K750" s="30"/>
      <c r="L750" s="30"/>
      <c r="M750" s="30"/>
      <c r="N750" s="30"/>
      <c r="O750" s="30"/>
      <c r="P750" s="30"/>
      <c r="Q750" s="31"/>
      <c r="R750" s="31"/>
      <c r="S750" s="31"/>
      <c r="T750" s="32"/>
      <c r="U750" s="32"/>
      <c r="V750" s="32"/>
      <c r="W750" s="32"/>
      <c r="X750" s="32"/>
      <c r="Y750" s="33"/>
      <c r="Z750" s="33"/>
      <c r="AA750" s="33"/>
    </row>
    <row r="751" spans="1:27">
      <c r="A751" s="29"/>
      <c r="B751" s="19">
        <f t="shared" si="23"/>
        <v>46327</v>
      </c>
      <c r="C751" s="27">
        <f>I751+J751+K751+L751+M751+N751+O751+P751+IF(Q751="",0,Q751*サマリー!$B$9)+IF(R751="",0,IF(R751=200,サマリー!$B$10,IF(R751=100,サマリー!$B$11,0)))+IF(S751="",0,S751*サマリー!$B$12)</f>
        <v>0</v>
      </c>
      <c r="D751" s="27">
        <f>T751+U751+V751+W751+X751+IF(Y751="",0,Y751*サマリー!$B$9)+IF(Z751="",0,IF(Z751=200,サマリー!$B$10,IF(Z751=100,サマリー!$B$11,0)))+IF(AA751="",0,AA751*サマリー!$B$12)</f>
        <v>0</v>
      </c>
      <c r="E751" s="27">
        <f t="shared" si="22"/>
        <v>0</v>
      </c>
      <c r="I751" s="30"/>
      <c r="J751" s="30"/>
      <c r="K751" s="30"/>
      <c r="L751" s="30"/>
      <c r="M751" s="30"/>
      <c r="N751" s="30"/>
      <c r="O751" s="30"/>
      <c r="P751" s="30"/>
      <c r="Q751" s="31"/>
      <c r="R751" s="31"/>
      <c r="S751" s="31"/>
      <c r="T751" s="32"/>
      <c r="U751" s="32"/>
      <c r="V751" s="32"/>
      <c r="W751" s="32"/>
      <c r="X751" s="32"/>
      <c r="Y751" s="33"/>
      <c r="Z751" s="33"/>
      <c r="AA751" s="33"/>
    </row>
    <row r="752" spans="1:27">
      <c r="A752" s="29"/>
      <c r="B752" s="19">
        <f t="shared" si="23"/>
        <v>46327</v>
      </c>
      <c r="C752" s="27">
        <f>I752+J752+K752+L752+M752+N752+O752+P752+IF(Q752="",0,Q752*サマリー!$B$9)+IF(R752="",0,IF(R752=200,サマリー!$B$10,IF(R752=100,サマリー!$B$11,0)))+IF(S752="",0,S752*サマリー!$B$12)</f>
        <v>0</v>
      </c>
      <c r="D752" s="27">
        <f>T752+U752+V752+W752+X752+IF(Y752="",0,Y752*サマリー!$B$9)+IF(Z752="",0,IF(Z752=200,サマリー!$B$10,IF(Z752=100,サマリー!$B$11,0)))+IF(AA752="",0,AA752*サマリー!$B$12)</f>
        <v>0</v>
      </c>
      <c r="E752" s="27">
        <f t="shared" si="22"/>
        <v>0</v>
      </c>
      <c r="I752" s="30"/>
      <c r="J752" s="30"/>
      <c r="K752" s="30"/>
      <c r="L752" s="30"/>
      <c r="M752" s="30"/>
      <c r="N752" s="30"/>
      <c r="O752" s="30"/>
      <c r="P752" s="30"/>
      <c r="Q752" s="31"/>
      <c r="R752" s="31"/>
      <c r="S752" s="31"/>
      <c r="T752" s="32"/>
      <c r="U752" s="32"/>
      <c r="V752" s="32"/>
      <c r="W752" s="32"/>
      <c r="X752" s="32"/>
      <c r="Y752" s="33"/>
      <c r="Z752" s="33"/>
      <c r="AA752" s="33"/>
    </row>
    <row r="753" spans="1:27">
      <c r="A753" s="29"/>
      <c r="B753" s="19">
        <f t="shared" si="23"/>
        <v>46327</v>
      </c>
      <c r="C753" s="27">
        <f>I753+J753+K753+L753+M753+N753+O753+P753+IF(Q753="",0,Q753*サマリー!$B$9)+IF(R753="",0,IF(R753=200,サマリー!$B$10,IF(R753=100,サマリー!$B$11,0)))+IF(S753="",0,S753*サマリー!$B$12)</f>
        <v>0</v>
      </c>
      <c r="D753" s="27">
        <f>T753+U753+V753+W753+X753+IF(Y753="",0,Y753*サマリー!$B$9)+IF(Z753="",0,IF(Z753=200,サマリー!$B$10,IF(Z753=100,サマリー!$B$11,0)))+IF(AA753="",0,AA753*サマリー!$B$12)</f>
        <v>0</v>
      </c>
      <c r="E753" s="27">
        <f t="shared" si="22"/>
        <v>0</v>
      </c>
      <c r="I753" s="30"/>
      <c r="J753" s="30"/>
      <c r="K753" s="30"/>
      <c r="L753" s="30"/>
      <c r="M753" s="30"/>
      <c r="N753" s="30"/>
      <c r="O753" s="30"/>
      <c r="P753" s="30"/>
      <c r="Q753" s="31"/>
      <c r="R753" s="31"/>
      <c r="S753" s="31"/>
      <c r="T753" s="32"/>
      <c r="U753" s="32"/>
      <c r="V753" s="32"/>
      <c r="W753" s="32"/>
      <c r="X753" s="32"/>
      <c r="Y753" s="33"/>
      <c r="Z753" s="33"/>
      <c r="AA753" s="33"/>
    </row>
    <row r="754" spans="1:27">
      <c r="A754" s="29"/>
      <c r="B754" s="19">
        <f t="shared" si="23"/>
        <v>46327</v>
      </c>
      <c r="C754" s="27">
        <f>I754+J754+K754+L754+M754+N754+O754+P754+IF(Q754="",0,Q754*サマリー!$B$9)+IF(R754="",0,IF(R754=200,サマリー!$B$10,IF(R754=100,サマリー!$B$11,0)))+IF(S754="",0,S754*サマリー!$B$12)</f>
        <v>0</v>
      </c>
      <c r="D754" s="27">
        <f>T754+U754+V754+W754+X754+IF(Y754="",0,Y754*サマリー!$B$9)+IF(Z754="",0,IF(Z754=200,サマリー!$B$10,IF(Z754=100,サマリー!$B$11,0)))+IF(AA754="",0,AA754*サマリー!$B$12)</f>
        <v>0</v>
      </c>
      <c r="E754" s="27">
        <f t="shared" si="22"/>
        <v>0</v>
      </c>
      <c r="I754" s="30"/>
      <c r="J754" s="30"/>
      <c r="K754" s="30"/>
      <c r="L754" s="30"/>
      <c r="M754" s="30"/>
      <c r="N754" s="30"/>
      <c r="O754" s="30"/>
      <c r="P754" s="30"/>
      <c r="Q754" s="31"/>
      <c r="R754" s="31"/>
      <c r="S754" s="31"/>
      <c r="T754" s="32"/>
      <c r="U754" s="32"/>
      <c r="V754" s="32"/>
      <c r="W754" s="32"/>
      <c r="X754" s="32"/>
      <c r="Y754" s="33"/>
      <c r="Z754" s="33"/>
      <c r="AA754" s="33"/>
    </row>
    <row r="755" spans="1:27">
      <c r="A755" s="29"/>
      <c r="B755" s="19">
        <f t="shared" si="23"/>
        <v>46327</v>
      </c>
      <c r="C755" s="27">
        <f>I755+J755+K755+L755+M755+N755+O755+P755+IF(Q755="",0,Q755*サマリー!$B$9)+IF(R755="",0,IF(R755=200,サマリー!$B$10,IF(R755=100,サマリー!$B$11,0)))+IF(S755="",0,S755*サマリー!$B$12)</f>
        <v>0</v>
      </c>
      <c r="D755" s="27">
        <f>T755+U755+V755+W755+X755+IF(Y755="",0,Y755*サマリー!$B$9)+IF(Z755="",0,IF(Z755=200,サマリー!$B$10,IF(Z755=100,サマリー!$B$11,0)))+IF(AA755="",0,AA755*サマリー!$B$12)</f>
        <v>0</v>
      </c>
      <c r="E755" s="27">
        <f t="shared" si="22"/>
        <v>0</v>
      </c>
      <c r="I755" s="30"/>
      <c r="J755" s="30"/>
      <c r="K755" s="30"/>
      <c r="L755" s="30"/>
      <c r="M755" s="30"/>
      <c r="N755" s="30"/>
      <c r="O755" s="30"/>
      <c r="P755" s="30"/>
      <c r="Q755" s="31"/>
      <c r="R755" s="31"/>
      <c r="S755" s="31"/>
      <c r="T755" s="32"/>
      <c r="U755" s="32"/>
      <c r="V755" s="32"/>
      <c r="W755" s="32"/>
      <c r="X755" s="32"/>
      <c r="Y755" s="33"/>
      <c r="Z755" s="33"/>
      <c r="AA755" s="33"/>
    </row>
    <row r="756" spans="1:27">
      <c r="A756" s="29"/>
      <c r="B756" s="19">
        <f t="shared" si="23"/>
        <v>46327</v>
      </c>
      <c r="C756" s="27">
        <f>I756+J756+K756+L756+M756+N756+O756+P756+IF(Q756="",0,Q756*サマリー!$B$9)+IF(R756="",0,IF(R756=200,サマリー!$B$10,IF(R756=100,サマリー!$B$11,0)))+IF(S756="",0,S756*サマリー!$B$12)</f>
        <v>0</v>
      </c>
      <c r="D756" s="27">
        <f>T756+U756+V756+W756+X756+IF(Y756="",0,Y756*サマリー!$B$9)+IF(Z756="",0,IF(Z756=200,サマリー!$B$10,IF(Z756=100,サマリー!$B$11,0)))+IF(AA756="",0,AA756*サマリー!$B$12)</f>
        <v>0</v>
      </c>
      <c r="E756" s="27">
        <f t="shared" si="22"/>
        <v>0</v>
      </c>
      <c r="I756" s="30"/>
      <c r="J756" s="30"/>
      <c r="K756" s="30"/>
      <c r="L756" s="30"/>
      <c r="M756" s="30"/>
      <c r="N756" s="30"/>
      <c r="O756" s="30"/>
      <c r="P756" s="30"/>
      <c r="Q756" s="31"/>
      <c r="R756" s="31"/>
      <c r="S756" s="31"/>
      <c r="T756" s="32"/>
      <c r="U756" s="32"/>
      <c r="V756" s="32"/>
      <c r="W756" s="32"/>
      <c r="X756" s="32"/>
      <c r="Y756" s="33"/>
      <c r="Z756" s="33"/>
      <c r="AA756" s="33"/>
    </row>
    <row r="757" spans="1:27">
      <c r="A757" s="29"/>
      <c r="B757" s="19">
        <f t="shared" si="23"/>
        <v>46327</v>
      </c>
      <c r="C757" s="27">
        <f>I757+J757+K757+L757+M757+N757+O757+P757+IF(Q757="",0,Q757*サマリー!$B$9)+IF(R757="",0,IF(R757=200,サマリー!$B$10,IF(R757=100,サマリー!$B$11,0)))+IF(S757="",0,S757*サマリー!$B$12)</f>
        <v>0</v>
      </c>
      <c r="D757" s="27">
        <f>T757+U757+V757+W757+X757+IF(Y757="",0,Y757*サマリー!$B$9)+IF(Z757="",0,IF(Z757=200,サマリー!$B$10,IF(Z757=100,サマリー!$B$11,0)))+IF(AA757="",0,AA757*サマリー!$B$12)</f>
        <v>0</v>
      </c>
      <c r="E757" s="27">
        <f t="shared" si="22"/>
        <v>0</v>
      </c>
      <c r="I757" s="30"/>
      <c r="J757" s="30"/>
      <c r="K757" s="30"/>
      <c r="L757" s="30"/>
      <c r="M757" s="30"/>
      <c r="N757" s="30"/>
      <c r="O757" s="30"/>
      <c r="P757" s="30"/>
      <c r="Q757" s="31"/>
      <c r="R757" s="31"/>
      <c r="S757" s="31"/>
      <c r="T757" s="32"/>
      <c r="U757" s="32"/>
      <c r="V757" s="32"/>
      <c r="W757" s="32"/>
      <c r="X757" s="32"/>
      <c r="Y757" s="33"/>
      <c r="Z757" s="33"/>
      <c r="AA757" s="33"/>
    </row>
    <row r="758" spans="1:27">
      <c r="A758" s="29"/>
      <c r="B758" s="19">
        <f t="shared" si="23"/>
        <v>46327</v>
      </c>
      <c r="C758" s="27">
        <f>I758+J758+K758+L758+M758+N758+O758+P758+IF(Q758="",0,Q758*サマリー!$B$9)+IF(R758="",0,IF(R758=200,サマリー!$B$10,IF(R758=100,サマリー!$B$11,0)))+IF(S758="",0,S758*サマリー!$B$12)</f>
        <v>0</v>
      </c>
      <c r="D758" s="27">
        <f>T758+U758+V758+W758+X758+IF(Y758="",0,Y758*サマリー!$B$9)+IF(Z758="",0,IF(Z758=200,サマリー!$B$10,IF(Z758=100,サマリー!$B$11,0)))+IF(AA758="",0,AA758*サマリー!$B$12)</f>
        <v>0</v>
      </c>
      <c r="E758" s="27">
        <f t="shared" si="22"/>
        <v>0</v>
      </c>
      <c r="I758" s="30"/>
      <c r="J758" s="30"/>
      <c r="K758" s="30"/>
      <c r="L758" s="30"/>
      <c r="M758" s="30"/>
      <c r="N758" s="30"/>
      <c r="O758" s="30"/>
      <c r="P758" s="30"/>
      <c r="Q758" s="31"/>
      <c r="R758" s="31"/>
      <c r="S758" s="31"/>
      <c r="T758" s="32"/>
      <c r="U758" s="32"/>
      <c r="V758" s="32"/>
      <c r="W758" s="32"/>
      <c r="X758" s="32"/>
      <c r="Y758" s="33"/>
      <c r="Z758" s="33"/>
      <c r="AA758" s="33"/>
    </row>
    <row r="759" spans="1:27">
      <c r="A759" s="29"/>
      <c r="B759" s="19">
        <f t="shared" si="23"/>
        <v>46327</v>
      </c>
      <c r="C759" s="27">
        <f>I759+J759+K759+L759+M759+N759+O759+P759+IF(Q759="",0,Q759*サマリー!$B$9)+IF(R759="",0,IF(R759=200,サマリー!$B$10,IF(R759=100,サマリー!$B$11,0)))+IF(S759="",0,S759*サマリー!$B$12)</f>
        <v>0</v>
      </c>
      <c r="D759" s="27">
        <f>T759+U759+V759+W759+X759+IF(Y759="",0,Y759*サマリー!$B$9)+IF(Z759="",0,IF(Z759=200,サマリー!$B$10,IF(Z759=100,サマリー!$B$11,0)))+IF(AA759="",0,AA759*サマリー!$B$12)</f>
        <v>0</v>
      </c>
      <c r="E759" s="27">
        <f t="shared" si="22"/>
        <v>0</v>
      </c>
      <c r="I759" s="30"/>
      <c r="J759" s="30"/>
      <c r="K759" s="30"/>
      <c r="L759" s="30"/>
      <c r="M759" s="30"/>
      <c r="N759" s="30"/>
      <c r="O759" s="30"/>
      <c r="P759" s="30"/>
      <c r="Q759" s="31"/>
      <c r="R759" s="31"/>
      <c r="S759" s="31"/>
      <c r="T759" s="32"/>
      <c r="U759" s="32"/>
      <c r="V759" s="32"/>
      <c r="W759" s="32"/>
      <c r="X759" s="32"/>
      <c r="Y759" s="33"/>
      <c r="Z759" s="33"/>
      <c r="AA759" s="33"/>
    </row>
    <row r="760" spans="1:27">
      <c r="A760" s="29"/>
      <c r="B760" s="19">
        <f t="shared" si="23"/>
        <v>46327</v>
      </c>
      <c r="C760" s="27">
        <f>I760+J760+K760+L760+M760+N760+O760+P760+IF(Q760="",0,Q760*サマリー!$B$9)+IF(R760="",0,IF(R760=200,サマリー!$B$10,IF(R760=100,サマリー!$B$11,0)))+IF(S760="",0,S760*サマリー!$B$12)</f>
        <v>0</v>
      </c>
      <c r="D760" s="27">
        <f>T760+U760+V760+W760+X760+IF(Y760="",0,Y760*サマリー!$B$9)+IF(Z760="",0,IF(Z760=200,サマリー!$B$10,IF(Z760=100,サマリー!$B$11,0)))+IF(AA760="",0,AA760*サマリー!$B$12)</f>
        <v>0</v>
      </c>
      <c r="E760" s="27">
        <f t="shared" si="22"/>
        <v>0</v>
      </c>
      <c r="I760" s="30"/>
      <c r="J760" s="30"/>
      <c r="K760" s="30"/>
      <c r="L760" s="30"/>
      <c r="M760" s="30"/>
      <c r="N760" s="30"/>
      <c r="O760" s="30"/>
      <c r="P760" s="30"/>
      <c r="Q760" s="31"/>
      <c r="R760" s="31"/>
      <c r="S760" s="31"/>
      <c r="T760" s="32"/>
      <c r="U760" s="32"/>
      <c r="V760" s="32"/>
      <c r="W760" s="32"/>
      <c r="X760" s="32"/>
      <c r="Y760" s="33"/>
      <c r="Z760" s="33"/>
      <c r="AA760" s="33"/>
    </row>
    <row r="761" spans="1:27">
      <c r="A761" s="29"/>
      <c r="B761" s="19">
        <f t="shared" si="23"/>
        <v>46327</v>
      </c>
      <c r="C761" s="27">
        <f>I761+J761+K761+L761+M761+N761+O761+P761+IF(Q761="",0,Q761*サマリー!$B$9)+IF(R761="",0,IF(R761=200,サマリー!$B$10,IF(R761=100,サマリー!$B$11,0)))+IF(S761="",0,S761*サマリー!$B$12)</f>
        <v>0</v>
      </c>
      <c r="D761" s="27">
        <f>T761+U761+V761+W761+X761+IF(Y761="",0,Y761*サマリー!$B$9)+IF(Z761="",0,IF(Z761=200,サマリー!$B$10,IF(Z761=100,サマリー!$B$11,0)))+IF(AA761="",0,AA761*サマリー!$B$12)</f>
        <v>0</v>
      </c>
      <c r="E761" s="27">
        <f t="shared" si="22"/>
        <v>0</v>
      </c>
      <c r="I761" s="30"/>
      <c r="J761" s="30"/>
      <c r="K761" s="30"/>
      <c r="L761" s="30"/>
      <c r="M761" s="30"/>
      <c r="N761" s="30"/>
      <c r="O761" s="30"/>
      <c r="P761" s="30"/>
      <c r="Q761" s="31"/>
      <c r="R761" s="31"/>
      <c r="S761" s="31"/>
      <c r="T761" s="32"/>
      <c r="U761" s="32"/>
      <c r="V761" s="32"/>
      <c r="W761" s="32"/>
      <c r="X761" s="32"/>
      <c r="Y761" s="33"/>
      <c r="Z761" s="33"/>
      <c r="AA761" s="33"/>
    </row>
    <row r="762" spans="1:27">
      <c r="A762" s="29"/>
      <c r="B762" s="19">
        <f t="shared" si="23"/>
        <v>46327</v>
      </c>
      <c r="C762" s="27">
        <f>I762+J762+K762+L762+M762+N762+O762+P762+IF(Q762="",0,Q762*サマリー!$B$9)+IF(R762="",0,IF(R762=200,サマリー!$B$10,IF(R762=100,サマリー!$B$11,0)))+IF(S762="",0,S762*サマリー!$B$12)</f>
        <v>0</v>
      </c>
      <c r="D762" s="27">
        <f>T762+U762+V762+W762+X762+IF(Y762="",0,Y762*サマリー!$B$9)+IF(Z762="",0,IF(Z762=200,サマリー!$B$10,IF(Z762=100,サマリー!$B$11,0)))+IF(AA762="",0,AA762*サマリー!$B$12)</f>
        <v>0</v>
      </c>
      <c r="E762" s="27">
        <f t="shared" si="22"/>
        <v>0</v>
      </c>
      <c r="I762" s="30"/>
      <c r="J762" s="30"/>
      <c r="K762" s="30"/>
      <c r="L762" s="30"/>
      <c r="M762" s="30"/>
      <c r="N762" s="30"/>
      <c r="O762" s="30"/>
      <c r="P762" s="30"/>
      <c r="Q762" s="31"/>
      <c r="R762" s="31"/>
      <c r="S762" s="31"/>
      <c r="T762" s="32"/>
      <c r="U762" s="32"/>
      <c r="V762" s="32"/>
      <c r="W762" s="32"/>
      <c r="X762" s="32"/>
      <c r="Y762" s="33"/>
      <c r="Z762" s="33"/>
      <c r="AA762" s="33"/>
    </row>
    <row r="763" spans="1:27">
      <c r="A763" s="29"/>
      <c r="B763" s="19">
        <f t="shared" si="23"/>
        <v>46327</v>
      </c>
      <c r="C763" s="27">
        <f>I763+J763+K763+L763+M763+N763+O763+P763+IF(Q763="",0,Q763*サマリー!$B$9)+IF(R763="",0,IF(R763=200,サマリー!$B$10,IF(R763=100,サマリー!$B$11,0)))+IF(S763="",0,S763*サマリー!$B$12)</f>
        <v>0</v>
      </c>
      <c r="D763" s="27">
        <f>T763+U763+V763+W763+X763+IF(Y763="",0,Y763*サマリー!$B$9)+IF(Z763="",0,IF(Z763=200,サマリー!$B$10,IF(Z763=100,サマリー!$B$11,0)))+IF(AA763="",0,AA763*サマリー!$B$12)</f>
        <v>0</v>
      </c>
      <c r="E763" s="27">
        <f t="shared" si="22"/>
        <v>0</v>
      </c>
      <c r="I763" s="30"/>
      <c r="J763" s="30"/>
      <c r="K763" s="30"/>
      <c r="L763" s="30"/>
      <c r="M763" s="30"/>
      <c r="N763" s="30"/>
      <c r="O763" s="30"/>
      <c r="P763" s="30"/>
      <c r="Q763" s="31"/>
      <c r="R763" s="31"/>
      <c r="S763" s="31"/>
      <c r="T763" s="32"/>
      <c r="U763" s="32"/>
      <c r="V763" s="32"/>
      <c r="W763" s="32"/>
      <c r="X763" s="32"/>
      <c r="Y763" s="33"/>
      <c r="Z763" s="33"/>
      <c r="AA763" s="33"/>
    </row>
    <row r="764" spans="1:27">
      <c r="A764" s="29"/>
      <c r="B764" s="19">
        <f t="shared" si="23"/>
        <v>46327</v>
      </c>
      <c r="C764" s="27">
        <f>I764+J764+K764+L764+M764+N764+O764+P764+IF(Q764="",0,Q764*サマリー!$B$9)+IF(R764="",0,IF(R764=200,サマリー!$B$10,IF(R764=100,サマリー!$B$11,0)))+IF(S764="",0,S764*サマリー!$B$12)</f>
        <v>0</v>
      </c>
      <c r="D764" s="27">
        <f>T764+U764+V764+W764+X764+IF(Y764="",0,Y764*サマリー!$B$9)+IF(Z764="",0,IF(Z764=200,サマリー!$B$10,IF(Z764=100,サマリー!$B$11,0)))+IF(AA764="",0,AA764*サマリー!$B$12)</f>
        <v>0</v>
      </c>
      <c r="E764" s="27">
        <f t="shared" si="22"/>
        <v>0</v>
      </c>
      <c r="I764" s="30"/>
      <c r="J764" s="30"/>
      <c r="K764" s="30"/>
      <c r="L764" s="30"/>
      <c r="M764" s="30"/>
      <c r="N764" s="30"/>
      <c r="O764" s="30"/>
      <c r="P764" s="30"/>
      <c r="Q764" s="31"/>
      <c r="R764" s="31"/>
      <c r="S764" s="31"/>
      <c r="T764" s="32"/>
      <c r="U764" s="32"/>
      <c r="V764" s="32"/>
      <c r="W764" s="32"/>
      <c r="X764" s="32"/>
      <c r="Y764" s="33"/>
      <c r="Z764" s="33"/>
      <c r="AA764" s="33"/>
    </row>
    <row r="765" spans="1:27">
      <c r="A765" s="29"/>
      <c r="B765" s="19">
        <f t="shared" si="23"/>
        <v>46327</v>
      </c>
      <c r="C765" s="27">
        <f>I765+J765+K765+L765+M765+N765+O765+P765+IF(Q765="",0,Q765*サマリー!$B$9)+IF(R765="",0,IF(R765=200,サマリー!$B$10,IF(R765=100,サマリー!$B$11,0)))+IF(S765="",0,S765*サマリー!$B$12)</f>
        <v>0</v>
      </c>
      <c r="D765" s="27">
        <f>T765+U765+V765+W765+X765+IF(Y765="",0,Y765*サマリー!$B$9)+IF(Z765="",0,IF(Z765=200,サマリー!$B$10,IF(Z765=100,サマリー!$B$11,0)))+IF(AA765="",0,AA765*サマリー!$B$12)</f>
        <v>0</v>
      </c>
      <c r="E765" s="27">
        <f t="shared" si="22"/>
        <v>0</v>
      </c>
      <c r="I765" s="30"/>
      <c r="J765" s="30"/>
      <c r="K765" s="30"/>
      <c r="L765" s="30"/>
      <c r="M765" s="30"/>
      <c r="N765" s="30"/>
      <c r="O765" s="30"/>
      <c r="P765" s="30"/>
      <c r="Q765" s="31"/>
      <c r="R765" s="31"/>
      <c r="S765" s="31"/>
      <c r="T765" s="32"/>
      <c r="U765" s="32"/>
      <c r="V765" s="32"/>
      <c r="W765" s="32"/>
      <c r="X765" s="32"/>
      <c r="Y765" s="33"/>
      <c r="Z765" s="33"/>
      <c r="AA765" s="33"/>
    </row>
    <row r="766" spans="1:27">
      <c r="A766" s="29"/>
      <c r="B766" s="19">
        <f t="shared" si="23"/>
        <v>46327</v>
      </c>
      <c r="C766" s="27">
        <f>I766+J766+K766+L766+M766+N766+O766+P766+IF(Q766="",0,Q766*サマリー!$B$9)+IF(R766="",0,IF(R766=200,サマリー!$B$10,IF(R766=100,サマリー!$B$11,0)))+IF(S766="",0,S766*サマリー!$B$12)</f>
        <v>0</v>
      </c>
      <c r="D766" s="27">
        <f>T766+U766+V766+W766+X766+IF(Y766="",0,Y766*サマリー!$B$9)+IF(Z766="",0,IF(Z766=200,サマリー!$B$10,IF(Z766=100,サマリー!$B$11,0)))+IF(AA766="",0,AA766*サマリー!$B$12)</f>
        <v>0</v>
      </c>
      <c r="E766" s="27">
        <f t="shared" si="22"/>
        <v>0</v>
      </c>
      <c r="I766" s="30"/>
      <c r="J766" s="30"/>
      <c r="K766" s="30"/>
      <c r="L766" s="30"/>
      <c r="M766" s="30"/>
      <c r="N766" s="30"/>
      <c r="O766" s="30"/>
      <c r="P766" s="30"/>
      <c r="Q766" s="31"/>
      <c r="R766" s="31"/>
      <c r="S766" s="31"/>
      <c r="T766" s="32"/>
      <c r="U766" s="32"/>
      <c r="V766" s="32"/>
      <c r="W766" s="32"/>
      <c r="X766" s="32"/>
      <c r="Y766" s="33"/>
      <c r="Z766" s="33"/>
      <c r="AA766" s="33"/>
    </row>
    <row r="767" spans="1:27">
      <c r="A767" s="29"/>
      <c r="B767" s="19">
        <f t="shared" si="23"/>
        <v>46327</v>
      </c>
      <c r="C767" s="27">
        <f>I767+J767+K767+L767+M767+N767+O767+P767+IF(Q767="",0,Q767*サマリー!$B$9)+IF(R767="",0,IF(R767=200,サマリー!$B$10,IF(R767=100,サマリー!$B$11,0)))+IF(S767="",0,S767*サマリー!$B$12)</f>
        <v>0</v>
      </c>
      <c r="D767" s="27">
        <f>T767+U767+V767+W767+X767+IF(Y767="",0,Y767*サマリー!$B$9)+IF(Z767="",0,IF(Z767=200,サマリー!$B$10,IF(Z767=100,サマリー!$B$11,0)))+IF(AA767="",0,AA767*サマリー!$B$12)</f>
        <v>0</v>
      </c>
      <c r="E767" s="27">
        <f t="shared" si="22"/>
        <v>0</v>
      </c>
      <c r="I767" s="30"/>
      <c r="J767" s="30"/>
      <c r="K767" s="30"/>
      <c r="L767" s="30"/>
      <c r="M767" s="30"/>
      <c r="N767" s="30"/>
      <c r="O767" s="30"/>
      <c r="P767" s="30"/>
      <c r="Q767" s="31"/>
      <c r="R767" s="31"/>
      <c r="S767" s="31"/>
      <c r="T767" s="32"/>
      <c r="U767" s="32"/>
      <c r="V767" s="32"/>
      <c r="W767" s="32"/>
      <c r="X767" s="32"/>
      <c r="Y767" s="33"/>
      <c r="Z767" s="33"/>
      <c r="AA767" s="33"/>
    </row>
    <row r="768" spans="1:27">
      <c r="A768" s="29"/>
      <c r="B768" s="19">
        <f t="shared" si="23"/>
        <v>46327</v>
      </c>
      <c r="C768" s="27">
        <f>I768+J768+K768+L768+M768+N768+O768+P768+IF(Q768="",0,Q768*サマリー!$B$9)+IF(R768="",0,IF(R768=200,サマリー!$B$10,IF(R768=100,サマリー!$B$11,0)))+IF(S768="",0,S768*サマリー!$B$12)</f>
        <v>0</v>
      </c>
      <c r="D768" s="27">
        <f>T768+U768+V768+W768+X768+IF(Y768="",0,Y768*サマリー!$B$9)+IF(Z768="",0,IF(Z768=200,サマリー!$B$10,IF(Z768=100,サマリー!$B$11,0)))+IF(AA768="",0,AA768*サマリー!$B$12)</f>
        <v>0</v>
      </c>
      <c r="E768" s="27">
        <f t="shared" si="22"/>
        <v>0</v>
      </c>
      <c r="I768" s="30"/>
      <c r="J768" s="30"/>
      <c r="K768" s="30"/>
      <c r="L768" s="30"/>
      <c r="M768" s="30"/>
      <c r="N768" s="30"/>
      <c r="O768" s="30"/>
      <c r="P768" s="30"/>
      <c r="Q768" s="31"/>
      <c r="R768" s="31"/>
      <c r="S768" s="31"/>
      <c r="T768" s="32"/>
      <c r="U768" s="32"/>
      <c r="V768" s="32"/>
      <c r="W768" s="32"/>
      <c r="X768" s="32"/>
      <c r="Y768" s="33"/>
      <c r="Z768" s="33"/>
      <c r="AA768" s="33"/>
    </row>
    <row r="769" spans="1:27">
      <c r="A769" s="29"/>
      <c r="B769" s="19">
        <f t="shared" si="23"/>
        <v>46327</v>
      </c>
      <c r="C769" s="27">
        <f>I769+J769+K769+L769+M769+N769+O769+P769+IF(Q769="",0,Q769*サマリー!$B$9)+IF(R769="",0,IF(R769=200,サマリー!$B$10,IF(R769=100,サマリー!$B$11,0)))+IF(S769="",0,S769*サマリー!$B$12)</f>
        <v>0</v>
      </c>
      <c r="D769" s="27">
        <f>T769+U769+V769+W769+X769+IF(Y769="",0,Y769*サマリー!$B$9)+IF(Z769="",0,IF(Z769=200,サマリー!$B$10,IF(Z769=100,サマリー!$B$11,0)))+IF(AA769="",0,AA769*サマリー!$B$12)</f>
        <v>0</v>
      </c>
      <c r="E769" s="27">
        <f t="shared" si="22"/>
        <v>0</v>
      </c>
      <c r="I769" s="30"/>
      <c r="J769" s="30"/>
      <c r="K769" s="30"/>
      <c r="L769" s="30"/>
      <c r="M769" s="30"/>
      <c r="N769" s="30"/>
      <c r="O769" s="30"/>
      <c r="P769" s="30"/>
      <c r="Q769" s="31"/>
      <c r="R769" s="31"/>
      <c r="S769" s="31"/>
      <c r="T769" s="32"/>
      <c r="U769" s="32"/>
      <c r="V769" s="32"/>
      <c r="W769" s="32"/>
      <c r="X769" s="32"/>
      <c r="Y769" s="33"/>
      <c r="Z769" s="33"/>
      <c r="AA769" s="33"/>
    </row>
    <row r="770" spans="1:27">
      <c r="A770" s="29"/>
      <c r="B770" s="19">
        <f t="shared" si="23"/>
        <v>46327</v>
      </c>
      <c r="C770" s="27">
        <f>I770+J770+K770+L770+M770+N770+O770+P770+IF(Q770="",0,Q770*サマリー!$B$9)+IF(R770="",0,IF(R770=200,サマリー!$B$10,IF(R770=100,サマリー!$B$11,0)))+IF(S770="",0,S770*サマリー!$B$12)</f>
        <v>0</v>
      </c>
      <c r="D770" s="27">
        <f>T770+U770+V770+W770+X770+IF(Y770="",0,Y770*サマリー!$B$9)+IF(Z770="",0,IF(Z770=200,サマリー!$B$10,IF(Z770=100,サマリー!$B$11,0)))+IF(AA770="",0,AA770*サマリー!$B$12)</f>
        <v>0</v>
      </c>
      <c r="E770" s="27">
        <f t="shared" si="22"/>
        <v>0</v>
      </c>
      <c r="I770" s="30"/>
      <c r="J770" s="30"/>
      <c r="K770" s="30"/>
      <c r="L770" s="30"/>
      <c r="M770" s="30"/>
      <c r="N770" s="30"/>
      <c r="O770" s="30"/>
      <c r="P770" s="30"/>
      <c r="Q770" s="31"/>
      <c r="R770" s="31"/>
      <c r="S770" s="31"/>
      <c r="T770" s="32"/>
      <c r="U770" s="32"/>
      <c r="V770" s="32"/>
      <c r="W770" s="32"/>
      <c r="X770" s="32"/>
      <c r="Y770" s="33"/>
      <c r="Z770" s="33"/>
      <c r="AA770" s="33"/>
    </row>
    <row r="771" spans="1:27">
      <c r="A771" s="29"/>
      <c r="B771" s="19">
        <f t="shared" si="23"/>
        <v>46327</v>
      </c>
      <c r="C771" s="27">
        <f>I771+J771+K771+L771+M771+N771+O771+P771+IF(Q771="",0,Q771*サマリー!$B$9)+IF(R771="",0,IF(R771=200,サマリー!$B$10,IF(R771=100,サマリー!$B$11,0)))+IF(S771="",0,S771*サマリー!$B$12)</f>
        <v>0</v>
      </c>
      <c r="D771" s="27">
        <f>T771+U771+V771+W771+X771+IF(Y771="",0,Y771*サマリー!$B$9)+IF(Z771="",0,IF(Z771=200,サマリー!$B$10,IF(Z771=100,サマリー!$B$11,0)))+IF(AA771="",0,AA771*サマリー!$B$12)</f>
        <v>0</v>
      </c>
      <c r="E771" s="27">
        <f t="shared" si="22"/>
        <v>0</v>
      </c>
      <c r="I771" s="30"/>
      <c r="J771" s="30"/>
      <c r="K771" s="30"/>
      <c r="L771" s="30"/>
      <c r="M771" s="30"/>
      <c r="N771" s="30"/>
      <c r="O771" s="30"/>
      <c r="P771" s="30"/>
      <c r="Q771" s="31"/>
      <c r="R771" s="31"/>
      <c r="S771" s="31"/>
      <c r="T771" s="32"/>
      <c r="U771" s="32"/>
      <c r="V771" s="32"/>
      <c r="W771" s="32"/>
      <c r="X771" s="32"/>
      <c r="Y771" s="33"/>
      <c r="Z771" s="33"/>
      <c r="AA771" s="33"/>
    </row>
    <row r="772" spans="1:27">
      <c r="A772" s="29"/>
      <c r="B772" s="19">
        <f t="shared" si="23"/>
        <v>46327</v>
      </c>
      <c r="C772" s="27">
        <f>I772+J772+K772+L772+M772+N772+O772+P772+IF(Q772="",0,Q772*サマリー!$B$9)+IF(R772="",0,IF(R772=200,サマリー!$B$10,IF(R772=100,サマリー!$B$11,0)))+IF(S772="",0,S772*サマリー!$B$12)</f>
        <v>0</v>
      </c>
      <c r="D772" s="27">
        <f>T772+U772+V772+W772+X772+IF(Y772="",0,Y772*サマリー!$B$9)+IF(Z772="",0,IF(Z772=200,サマリー!$B$10,IF(Z772=100,サマリー!$B$11,0)))+IF(AA772="",0,AA772*サマリー!$B$12)</f>
        <v>0</v>
      </c>
      <c r="E772" s="27">
        <f t="shared" si="22"/>
        <v>0</v>
      </c>
      <c r="I772" s="30"/>
      <c r="J772" s="30"/>
      <c r="K772" s="30"/>
      <c r="L772" s="30"/>
      <c r="M772" s="30"/>
      <c r="N772" s="30"/>
      <c r="O772" s="30"/>
      <c r="P772" s="30"/>
      <c r="Q772" s="31"/>
      <c r="R772" s="31"/>
      <c r="S772" s="31"/>
      <c r="T772" s="32"/>
      <c r="U772" s="32"/>
      <c r="V772" s="32"/>
      <c r="W772" s="32"/>
      <c r="X772" s="32"/>
      <c r="Y772" s="33"/>
      <c r="Z772" s="33"/>
      <c r="AA772" s="33"/>
    </row>
    <row r="773" spans="1:27">
      <c r="A773" s="29"/>
      <c r="B773" s="19">
        <f t="shared" si="23"/>
        <v>46327</v>
      </c>
      <c r="C773" s="27">
        <f>I773+J773+K773+L773+M773+N773+O773+P773+IF(Q773="",0,Q773*サマリー!$B$9)+IF(R773="",0,IF(R773=200,サマリー!$B$10,IF(R773=100,サマリー!$B$11,0)))+IF(S773="",0,S773*サマリー!$B$12)</f>
        <v>0</v>
      </c>
      <c r="D773" s="27">
        <f>T773+U773+V773+W773+X773+IF(Y773="",0,Y773*サマリー!$B$9)+IF(Z773="",0,IF(Z773=200,サマリー!$B$10,IF(Z773=100,サマリー!$B$11,0)))+IF(AA773="",0,AA773*サマリー!$B$12)</f>
        <v>0</v>
      </c>
      <c r="E773" s="27">
        <f t="shared" si="22"/>
        <v>0</v>
      </c>
      <c r="I773" s="30"/>
      <c r="J773" s="30"/>
      <c r="K773" s="30"/>
      <c r="L773" s="30"/>
      <c r="M773" s="30"/>
      <c r="N773" s="30"/>
      <c r="O773" s="30"/>
      <c r="P773" s="30"/>
      <c r="Q773" s="31"/>
      <c r="R773" s="31"/>
      <c r="S773" s="31"/>
      <c r="T773" s="32"/>
      <c r="U773" s="32"/>
      <c r="V773" s="32"/>
      <c r="W773" s="32"/>
      <c r="X773" s="32"/>
      <c r="Y773" s="33"/>
      <c r="Z773" s="33"/>
      <c r="AA773" s="33"/>
    </row>
    <row r="774" spans="1:27">
      <c r="A774" s="29"/>
      <c r="B774" s="19">
        <f t="shared" si="23"/>
        <v>46327</v>
      </c>
      <c r="C774" s="27">
        <f>I774+J774+K774+L774+M774+N774+O774+P774+IF(Q774="",0,Q774*サマリー!$B$9)+IF(R774="",0,IF(R774=200,サマリー!$B$10,IF(R774=100,サマリー!$B$11,0)))+IF(S774="",0,S774*サマリー!$B$12)</f>
        <v>0</v>
      </c>
      <c r="D774" s="27">
        <f>T774+U774+V774+W774+X774+IF(Y774="",0,Y774*サマリー!$B$9)+IF(Z774="",0,IF(Z774=200,サマリー!$B$10,IF(Z774=100,サマリー!$B$11,0)))+IF(AA774="",0,AA774*サマリー!$B$12)</f>
        <v>0</v>
      </c>
      <c r="E774" s="27">
        <f t="shared" ref="E774:E837" si="24">C774+D774</f>
        <v>0</v>
      </c>
      <c r="I774" s="30"/>
      <c r="J774" s="30"/>
      <c r="K774" s="30"/>
      <c r="L774" s="30"/>
      <c r="M774" s="30"/>
      <c r="N774" s="30"/>
      <c r="O774" s="30"/>
      <c r="P774" s="30"/>
      <c r="Q774" s="31"/>
      <c r="R774" s="31"/>
      <c r="S774" s="31"/>
      <c r="T774" s="32"/>
      <c r="U774" s="32"/>
      <c r="V774" s="32"/>
      <c r="W774" s="32"/>
      <c r="X774" s="32"/>
      <c r="Y774" s="33"/>
      <c r="Z774" s="33"/>
      <c r="AA774" s="33"/>
    </row>
    <row r="775" spans="1:27">
      <c r="A775" s="29"/>
      <c r="B775" s="19">
        <f t="shared" ref="B775:B838" si="25">IF(A775="",B774,IF(A775&lt;DAY(B774),DATE(YEAR(B774),MONTH(B774)+1,A775),DATE(YEAR(B774),MONTH(B774),A775)))</f>
        <v>46327</v>
      </c>
      <c r="C775" s="27">
        <f>I775+J775+K775+L775+M775+N775+O775+P775+IF(Q775="",0,Q775*サマリー!$B$9)+IF(R775="",0,IF(R775=200,サマリー!$B$10,IF(R775=100,サマリー!$B$11,0)))+IF(S775="",0,S775*サマリー!$B$12)</f>
        <v>0</v>
      </c>
      <c r="D775" s="27">
        <f>T775+U775+V775+W775+X775+IF(Y775="",0,Y775*サマリー!$B$9)+IF(Z775="",0,IF(Z775=200,サマリー!$B$10,IF(Z775=100,サマリー!$B$11,0)))+IF(AA775="",0,AA775*サマリー!$B$12)</f>
        <v>0</v>
      </c>
      <c r="E775" s="27">
        <f t="shared" si="24"/>
        <v>0</v>
      </c>
      <c r="I775" s="30"/>
      <c r="J775" s="30"/>
      <c r="K775" s="30"/>
      <c r="L775" s="30"/>
      <c r="M775" s="30"/>
      <c r="N775" s="30"/>
      <c r="O775" s="30"/>
      <c r="P775" s="30"/>
      <c r="Q775" s="31"/>
      <c r="R775" s="31"/>
      <c r="S775" s="31"/>
      <c r="T775" s="32"/>
      <c r="U775" s="32"/>
      <c r="V775" s="32"/>
      <c r="W775" s="32"/>
      <c r="X775" s="32"/>
      <c r="Y775" s="33"/>
      <c r="Z775" s="33"/>
      <c r="AA775" s="33"/>
    </row>
    <row r="776" spans="1:27">
      <c r="A776" s="29"/>
      <c r="B776" s="19">
        <f t="shared" si="25"/>
        <v>46327</v>
      </c>
      <c r="C776" s="27">
        <f>I776+J776+K776+L776+M776+N776+O776+P776+IF(Q776="",0,Q776*サマリー!$B$9)+IF(R776="",0,IF(R776=200,サマリー!$B$10,IF(R776=100,サマリー!$B$11,0)))+IF(S776="",0,S776*サマリー!$B$12)</f>
        <v>0</v>
      </c>
      <c r="D776" s="27">
        <f>T776+U776+V776+W776+X776+IF(Y776="",0,Y776*サマリー!$B$9)+IF(Z776="",0,IF(Z776=200,サマリー!$B$10,IF(Z776=100,サマリー!$B$11,0)))+IF(AA776="",0,AA776*サマリー!$B$12)</f>
        <v>0</v>
      </c>
      <c r="E776" s="27">
        <f t="shared" si="24"/>
        <v>0</v>
      </c>
      <c r="I776" s="30"/>
      <c r="J776" s="30"/>
      <c r="K776" s="30"/>
      <c r="L776" s="30"/>
      <c r="M776" s="30"/>
      <c r="N776" s="30"/>
      <c r="O776" s="30"/>
      <c r="P776" s="30"/>
      <c r="Q776" s="31"/>
      <c r="R776" s="31"/>
      <c r="S776" s="31"/>
      <c r="T776" s="32"/>
      <c r="U776" s="32"/>
      <c r="V776" s="32"/>
      <c r="W776" s="32"/>
      <c r="X776" s="32"/>
      <c r="Y776" s="33"/>
      <c r="Z776" s="33"/>
      <c r="AA776" s="33"/>
    </row>
    <row r="777" spans="1:27">
      <c r="A777" s="29"/>
      <c r="B777" s="19">
        <f t="shared" si="25"/>
        <v>46327</v>
      </c>
      <c r="C777" s="27">
        <f>I777+J777+K777+L777+M777+N777+O777+P777+IF(Q777="",0,Q777*サマリー!$B$9)+IF(R777="",0,IF(R777=200,サマリー!$B$10,IF(R777=100,サマリー!$B$11,0)))+IF(S777="",0,S777*サマリー!$B$12)</f>
        <v>0</v>
      </c>
      <c r="D777" s="27">
        <f>T777+U777+V777+W777+X777+IF(Y777="",0,Y777*サマリー!$B$9)+IF(Z777="",0,IF(Z777=200,サマリー!$B$10,IF(Z777=100,サマリー!$B$11,0)))+IF(AA777="",0,AA777*サマリー!$B$12)</f>
        <v>0</v>
      </c>
      <c r="E777" s="27">
        <f t="shared" si="24"/>
        <v>0</v>
      </c>
      <c r="I777" s="30"/>
      <c r="J777" s="30"/>
      <c r="K777" s="30"/>
      <c r="L777" s="30"/>
      <c r="M777" s="30"/>
      <c r="N777" s="30"/>
      <c r="O777" s="30"/>
      <c r="P777" s="30"/>
      <c r="Q777" s="31"/>
      <c r="R777" s="31"/>
      <c r="S777" s="31"/>
      <c r="T777" s="32"/>
      <c r="U777" s="32"/>
      <c r="V777" s="32"/>
      <c r="W777" s="32"/>
      <c r="X777" s="32"/>
      <c r="Y777" s="33"/>
      <c r="Z777" s="33"/>
      <c r="AA777" s="33"/>
    </row>
    <row r="778" spans="1:27">
      <c r="A778" s="29"/>
      <c r="B778" s="19">
        <f t="shared" si="25"/>
        <v>46327</v>
      </c>
      <c r="C778" s="27">
        <f>I778+J778+K778+L778+M778+N778+O778+P778+IF(Q778="",0,Q778*サマリー!$B$9)+IF(R778="",0,IF(R778=200,サマリー!$B$10,IF(R778=100,サマリー!$B$11,0)))+IF(S778="",0,S778*サマリー!$B$12)</f>
        <v>0</v>
      </c>
      <c r="D778" s="27">
        <f>T778+U778+V778+W778+X778+IF(Y778="",0,Y778*サマリー!$B$9)+IF(Z778="",0,IF(Z778=200,サマリー!$B$10,IF(Z778=100,サマリー!$B$11,0)))+IF(AA778="",0,AA778*サマリー!$B$12)</f>
        <v>0</v>
      </c>
      <c r="E778" s="27">
        <f t="shared" si="24"/>
        <v>0</v>
      </c>
      <c r="I778" s="30"/>
      <c r="J778" s="30"/>
      <c r="K778" s="30"/>
      <c r="L778" s="30"/>
      <c r="M778" s="30"/>
      <c r="N778" s="30"/>
      <c r="O778" s="30"/>
      <c r="P778" s="30"/>
      <c r="Q778" s="31"/>
      <c r="R778" s="31"/>
      <c r="S778" s="31"/>
      <c r="T778" s="32"/>
      <c r="U778" s="32"/>
      <c r="V778" s="32"/>
      <c r="W778" s="32"/>
      <c r="X778" s="32"/>
      <c r="Y778" s="33"/>
      <c r="Z778" s="33"/>
      <c r="AA778" s="33"/>
    </row>
    <row r="779" spans="1:27">
      <c r="A779" s="29"/>
      <c r="B779" s="19">
        <f t="shared" si="25"/>
        <v>46327</v>
      </c>
      <c r="C779" s="27">
        <f>I779+J779+K779+L779+M779+N779+O779+P779+IF(Q779="",0,Q779*サマリー!$B$9)+IF(R779="",0,IF(R779=200,サマリー!$B$10,IF(R779=100,サマリー!$B$11,0)))+IF(S779="",0,S779*サマリー!$B$12)</f>
        <v>0</v>
      </c>
      <c r="D779" s="27">
        <f>T779+U779+V779+W779+X779+IF(Y779="",0,Y779*サマリー!$B$9)+IF(Z779="",0,IF(Z779=200,サマリー!$B$10,IF(Z779=100,サマリー!$B$11,0)))+IF(AA779="",0,AA779*サマリー!$B$12)</f>
        <v>0</v>
      </c>
      <c r="E779" s="27">
        <f t="shared" si="24"/>
        <v>0</v>
      </c>
      <c r="I779" s="30"/>
      <c r="J779" s="30"/>
      <c r="K779" s="30"/>
      <c r="L779" s="30"/>
      <c r="M779" s="30"/>
      <c r="N779" s="30"/>
      <c r="O779" s="30"/>
      <c r="P779" s="30"/>
      <c r="Q779" s="31"/>
      <c r="R779" s="31"/>
      <c r="S779" s="31"/>
      <c r="T779" s="32"/>
      <c r="U779" s="32"/>
      <c r="V779" s="32"/>
      <c r="W779" s="32"/>
      <c r="X779" s="32"/>
      <c r="Y779" s="33"/>
      <c r="Z779" s="33"/>
      <c r="AA779" s="33"/>
    </row>
    <row r="780" spans="1:27">
      <c r="A780" s="29"/>
      <c r="B780" s="19">
        <f t="shared" si="25"/>
        <v>46327</v>
      </c>
      <c r="C780" s="27">
        <f>I780+J780+K780+L780+M780+N780+O780+P780+IF(Q780="",0,Q780*サマリー!$B$9)+IF(R780="",0,IF(R780=200,サマリー!$B$10,IF(R780=100,サマリー!$B$11,0)))+IF(S780="",0,S780*サマリー!$B$12)</f>
        <v>0</v>
      </c>
      <c r="D780" s="27">
        <f>T780+U780+V780+W780+X780+IF(Y780="",0,Y780*サマリー!$B$9)+IF(Z780="",0,IF(Z780=200,サマリー!$B$10,IF(Z780=100,サマリー!$B$11,0)))+IF(AA780="",0,AA780*サマリー!$B$12)</f>
        <v>0</v>
      </c>
      <c r="E780" s="27">
        <f t="shared" si="24"/>
        <v>0</v>
      </c>
      <c r="I780" s="30"/>
      <c r="J780" s="30"/>
      <c r="K780" s="30"/>
      <c r="L780" s="30"/>
      <c r="M780" s="30"/>
      <c r="N780" s="30"/>
      <c r="O780" s="30"/>
      <c r="P780" s="30"/>
      <c r="Q780" s="31"/>
      <c r="R780" s="31"/>
      <c r="S780" s="31"/>
      <c r="T780" s="32"/>
      <c r="U780" s="32"/>
      <c r="V780" s="32"/>
      <c r="W780" s="32"/>
      <c r="X780" s="32"/>
      <c r="Y780" s="33"/>
      <c r="Z780" s="33"/>
      <c r="AA780" s="33"/>
    </row>
    <row r="781" spans="1:27">
      <c r="A781" s="29"/>
      <c r="B781" s="19">
        <f t="shared" si="25"/>
        <v>46327</v>
      </c>
      <c r="C781" s="27">
        <f>I781+J781+K781+L781+M781+N781+O781+P781+IF(Q781="",0,Q781*サマリー!$B$9)+IF(R781="",0,IF(R781=200,サマリー!$B$10,IF(R781=100,サマリー!$B$11,0)))+IF(S781="",0,S781*サマリー!$B$12)</f>
        <v>0</v>
      </c>
      <c r="D781" s="27">
        <f>T781+U781+V781+W781+X781+IF(Y781="",0,Y781*サマリー!$B$9)+IF(Z781="",0,IF(Z781=200,サマリー!$B$10,IF(Z781=100,サマリー!$B$11,0)))+IF(AA781="",0,AA781*サマリー!$B$12)</f>
        <v>0</v>
      </c>
      <c r="E781" s="27">
        <f t="shared" si="24"/>
        <v>0</v>
      </c>
      <c r="I781" s="30"/>
      <c r="J781" s="30"/>
      <c r="K781" s="30"/>
      <c r="L781" s="30"/>
      <c r="M781" s="30"/>
      <c r="N781" s="30"/>
      <c r="O781" s="30"/>
      <c r="P781" s="30"/>
      <c r="Q781" s="31"/>
      <c r="R781" s="31"/>
      <c r="S781" s="31"/>
      <c r="T781" s="32"/>
      <c r="U781" s="32"/>
      <c r="V781" s="32"/>
      <c r="W781" s="32"/>
      <c r="X781" s="32"/>
      <c r="Y781" s="33"/>
      <c r="Z781" s="33"/>
      <c r="AA781" s="33"/>
    </row>
    <row r="782" spans="1:27">
      <c r="A782" s="29"/>
      <c r="B782" s="19">
        <f t="shared" si="25"/>
        <v>46327</v>
      </c>
      <c r="C782" s="27">
        <f>I782+J782+K782+L782+M782+N782+O782+P782+IF(Q782="",0,Q782*サマリー!$B$9)+IF(R782="",0,IF(R782=200,サマリー!$B$10,IF(R782=100,サマリー!$B$11,0)))+IF(S782="",0,S782*サマリー!$B$12)</f>
        <v>0</v>
      </c>
      <c r="D782" s="27">
        <f>T782+U782+V782+W782+X782+IF(Y782="",0,Y782*サマリー!$B$9)+IF(Z782="",0,IF(Z782=200,サマリー!$B$10,IF(Z782=100,サマリー!$B$11,0)))+IF(AA782="",0,AA782*サマリー!$B$12)</f>
        <v>0</v>
      </c>
      <c r="E782" s="27">
        <f t="shared" si="24"/>
        <v>0</v>
      </c>
      <c r="I782" s="30"/>
      <c r="J782" s="30"/>
      <c r="K782" s="30"/>
      <c r="L782" s="30"/>
      <c r="M782" s="30"/>
      <c r="N782" s="30"/>
      <c r="O782" s="30"/>
      <c r="P782" s="30"/>
      <c r="Q782" s="31"/>
      <c r="R782" s="31"/>
      <c r="S782" s="31"/>
      <c r="T782" s="32"/>
      <c r="U782" s="32"/>
      <c r="V782" s="32"/>
      <c r="W782" s="32"/>
      <c r="X782" s="32"/>
      <c r="Y782" s="33"/>
      <c r="Z782" s="33"/>
      <c r="AA782" s="33"/>
    </row>
    <row r="783" spans="1:27">
      <c r="A783" s="29"/>
      <c r="B783" s="19">
        <f t="shared" si="25"/>
        <v>46327</v>
      </c>
      <c r="C783" s="27">
        <f>I783+J783+K783+L783+M783+N783+O783+P783+IF(Q783="",0,Q783*サマリー!$B$9)+IF(R783="",0,IF(R783=200,サマリー!$B$10,IF(R783=100,サマリー!$B$11,0)))+IF(S783="",0,S783*サマリー!$B$12)</f>
        <v>0</v>
      </c>
      <c r="D783" s="27">
        <f>T783+U783+V783+W783+X783+IF(Y783="",0,Y783*サマリー!$B$9)+IF(Z783="",0,IF(Z783=200,サマリー!$B$10,IF(Z783=100,サマリー!$B$11,0)))+IF(AA783="",0,AA783*サマリー!$B$12)</f>
        <v>0</v>
      </c>
      <c r="E783" s="27">
        <f t="shared" si="24"/>
        <v>0</v>
      </c>
      <c r="I783" s="30"/>
      <c r="J783" s="30"/>
      <c r="K783" s="30"/>
      <c r="L783" s="30"/>
      <c r="M783" s="30"/>
      <c r="N783" s="30"/>
      <c r="O783" s="30"/>
      <c r="P783" s="30"/>
      <c r="Q783" s="31"/>
      <c r="R783" s="31"/>
      <c r="S783" s="31"/>
      <c r="T783" s="32"/>
      <c r="U783" s="32"/>
      <c r="V783" s="32"/>
      <c r="W783" s="32"/>
      <c r="X783" s="32"/>
      <c r="Y783" s="33"/>
      <c r="Z783" s="33"/>
      <c r="AA783" s="33"/>
    </row>
    <row r="784" spans="1:27">
      <c r="A784" s="29"/>
      <c r="B784" s="19">
        <f t="shared" si="25"/>
        <v>46327</v>
      </c>
      <c r="C784" s="27">
        <f>I784+J784+K784+L784+M784+N784+O784+P784+IF(Q784="",0,Q784*サマリー!$B$9)+IF(R784="",0,IF(R784=200,サマリー!$B$10,IF(R784=100,サマリー!$B$11,0)))+IF(S784="",0,S784*サマリー!$B$12)</f>
        <v>0</v>
      </c>
      <c r="D784" s="27">
        <f>T784+U784+V784+W784+X784+IF(Y784="",0,Y784*サマリー!$B$9)+IF(Z784="",0,IF(Z784=200,サマリー!$B$10,IF(Z784=100,サマリー!$B$11,0)))+IF(AA784="",0,AA784*サマリー!$B$12)</f>
        <v>0</v>
      </c>
      <c r="E784" s="27">
        <f t="shared" si="24"/>
        <v>0</v>
      </c>
      <c r="I784" s="30"/>
      <c r="J784" s="30"/>
      <c r="K784" s="30"/>
      <c r="L784" s="30"/>
      <c r="M784" s="30"/>
      <c r="N784" s="30"/>
      <c r="O784" s="30"/>
      <c r="P784" s="30"/>
      <c r="Q784" s="31"/>
      <c r="R784" s="31"/>
      <c r="S784" s="31"/>
      <c r="T784" s="32"/>
      <c r="U784" s="32"/>
      <c r="V784" s="32"/>
      <c r="W784" s="32"/>
      <c r="X784" s="32"/>
      <c r="Y784" s="33"/>
      <c r="Z784" s="33"/>
      <c r="AA784" s="33"/>
    </row>
    <row r="785" spans="1:27">
      <c r="A785" s="29"/>
      <c r="B785" s="19">
        <f t="shared" si="25"/>
        <v>46327</v>
      </c>
      <c r="C785" s="27">
        <f>I785+J785+K785+L785+M785+N785+O785+P785+IF(Q785="",0,Q785*サマリー!$B$9)+IF(R785="",0,IF(R785=200,サマリー!$B$10,IF(R785=100,サマリー!$B$11,0)))+IF(S785="",0,S785*サマリー!$B$12)</f>
        <v>0</v>
      </c>
      <c r="D785" s="27">
        <f>T785+U785+V785+W785+X785+IF(Y785="",0,Y785*サマリー!$B$9)+IF(Z785="",0,IF(Z785=200,サマリー!$B$10,IF(Z785=100,サマリー!$B$11,0)))+IF(AA785="",0,AA785*サマリー!$B$12)</f>
        <v>0</v>
      </c>
      <c r="E785" s="27">
        <f t="shared" si="24"/>
        <v>0</v>
      </c>
      <c r="I785" s="30"/>
      <c r="J785" s="30"/>
      <c r="K785" s="30"/>
      <c r="L785" s="30"/>
      <c r="M785" s="30"/>
      <c r="N785" s="30"/>
      <c r="O785" s="30"/>
      <c r="P785" s="30"/>
      <c r="Q785" s="31"/>
      <c r="R785" s="31"/>
      <c r="S785" s="31"/>
      <c r="T785" s="32"/>
      <c r="U785" s="32"/>
      <c r="V785" s="32"/>
      <c r="W785" s="32"/>
      <c r="X785" s="32"/>
      <c r="Y785" s="33"/>
      <c r="Z785" s="33"/>
      <c r="AA785" s="33"/>
    </row>
    <row r="786" spans="1:27">
      <c r="A786" s="29"/>
      <c r="B786" s="19">
        <f t="shared" si="25"/>
        <v>46327</v>
      </c>
      <c r="C786" s="27">
        <f>I786+J786+K786+L786+M786+N786+O786+P786+IF(Q786="",0,Q786*サマリー!$B$9)+IF(R786="",0,IF(R786=200,サマリー!$B$10,IF(R786=100,サマリー!$B$11,0)))+IF(S786="",0,S786*サマリー!$B$12)</f>
        <v>0</v>
      </c>
      <c r="D786" s="27">
        <f>T786+U786+V786+W786+X786+IF(Y786="",0,Y786*サマリー!$B$9)+IF(Z786="",0,IF(Z786=200,サマリー!$B$10,IF(Z786=100,サマリー!$B$11,0)))+IF(AA786="",0,AA786*サマリー!$B$12)</f>
        <v>0</v>
      </c>
      <c r="E786" s="27">
        <f t="shared" si="24"/>
        <v>0</v>
      </c>
      <c r="I786" s="30"/>
      <c r="J786" s="30"/>
      <c r="K786" s="30"/>
      <c r="L786" s="30"/>
      <c r="M786" s="30"/>
      <c r="N786" s="30"/>
      <c r="O786" s="30"/>
      <c r="P786" s="30"/>
      <c r="Q786" s="31"/>
      <c r="R786" s="31"/>
      <c r="S786" s="31"/>
      <c r="T786" s="32"/>
      <c r="U786" s="32"/>
      <c r="V786" s="32"/>
      <c r="W786" s="32"/>
      <c r="X786" s="32"/>
      <c r="Y786" s="33"/>
      <c r="Z786" s="33"/>
      <c r="AA786" s="33"/>
    </row>
    <row r="787" spans="1:27">
      <c r="A787" s="29"/>
      <c r="B787" s="19">
        <f t="shared" si="25"/>
        <v>46327</v>
      </c>
      <c r="C787" s="27">
        <f>I787+J787+K787+L787+M787+N787+O787+P787+IF(Q787="",0,Q787*サマリー!$B$9)+IF(R787="",0,IF(R787=200,サマリー!$B$10,IF(R787=100,サマリー!$B$11,0)))+IF(S787="",0,S787*サマリー!$B$12)</f>
        <v>0</v>
      </c>
      <c r="D787" s="27">
        <f>T787+U787+V787+W787+X787+IF(Y787="",0,Y787*サマリー!$B$9)+IF(Z787="",0,IF(Z787=200,サマリー!$B$10,IF(Z787=100,サマリー!$B$11,0)))+IF(AA787="",0,AA787*サマリー!$B$12)</f>
        <v>0</v>
      </c>
      <c r="E787" s="27">
        <f t="shared" si="24"/>
        <v>0</v>
      </c>
      <c r="I787" s="30"/>
      <c r="J787" s="30"/>
      <c r="K787" s="30"/>
      <c r="L787" s="30"/>
      <c r="M787" s="30"/>
      <c r="N787" s="30"/>
      <c r="O787" s="30"/>
      <c r="P787" s="30"/>
      <c r="Q787" s="31"/>
      <c r="R787" s="31"/>
      <c r="S787" s="31"/>
      <c r="T787" s="32"/>
      <c r="U787" s="32"/>
      <c r="V787" s="32"/>
      <c r="W787" s="32"/>
      <c r="X787" s="32"/>
      <c r="Y787" s="33"/>
      <c r="Z787" s="33"/>
      <c r="AA787" s="33"/>
    </row>
    <row r="788" spans="1:27">
      <c r="A788" s="29"/>
      <c r="B788" s="19">
        <f t="shared" si="25"/>
        <v>46327</v>
      </c>
      <c r="C788" s="27">
        <f>I788+J788+K788+L788+M788+N788+O788+P788+IF(Q788="",0,Q788*サマリー!$B$9)+IF(R788="",0,IF(R788=200,サマリー!$B$10,IF(R788=100,サマリー!$B$11,0)))+IF(S788="",0,S788*サマリー!$B$12)</f>
        <v>0</v>
      </c>
      <c r="D788" s="27">
        <f>T788+U788+V788+W788+X788+IF(Y788="",0,Y788*サマリー!$B$9)+IF(Z788="",0,IF(Z788=200,サマリー!$B$10,IF(Z788=100,サマリー!$B$11,0)))+IF(AA788="",0,AA788*サマリー!$B$12)</f>
        <v>0</v>
      </c>
      <c r="E788" s="27">
        <f t="shared" si="24"/>
        <v>0</v>
      </c>
      <c r="I788" s="30"/>
      <c r="J788" s="30"/>
      <c r="K788" s="30"/>
      <c r="L788" s="30"/>
      <c r="M788" s="30"/>
      <c r="N788" s="30"/>
      <c r="O788" s="30"/>
      <c r="P788" s="30"/>
      <c r="Q788" s="31"/>
      <c r="R788" s="31"/>
      <c r="S788" s="31"/>
      <c r="T788" s="32"/>
      <c r="U788" s="32"/>
      <c r="V788" s="32"/>
      <c r="W788" s="32"/>
      <c r="X788" s="32"/>
      <c r="Y788" s="33"/>
      <c r="Z788" s="33"/>
      <c r="AA788" s="33"/>
    </row>
    <row r="789" spans="1:27">
      <c r="A789" s="29"/>
      <c r="B789" s="19">
        <f t="shared" si="25"/>
        <v>46327</v>
      </c>
      <c r="C789" s="27">
        <f>I789+J789+K789+L789+M789+N789+O789+P789+IF(Q789="",0,Q789*サマリー!$B$9)+IF(R789="",0,IF(R789=200,サマリー!$B$10,IF(R789=100,サマリー!$B$11,0)))+IF(S789="",0,S789*サマリー!$B$12)</f>
        <v>0</v>
      </c>
      <c r="D789" s="27">
        <f>T789+U789+V789+W789+X789+IF(Y789="",0,Y789*サマリー!$B$9)+IF(Z789="",0,IF(Z789=200,サマリー!$B$10,IF(Z789=100,サマリー!$B$11,0)))+IF(AA789="",0,AA789*サマリー!$B$12)</f>
        <v>0</v>
      </c>
      <c r="E789" s="27">
        <f t="shared" si="24"/>
        <v>0</v>
      </c>
      <c r="I789" s="30"/>
      <c r="J789" s="30"/>
      <c r="K789" s="30"/>
      <c r="L789" s="30"/>
      <c r="M789" s="30"/>
      <c r="N789" s="30"/>
      <c r="O789" s="30"/>
      <c r="P789" s="30"/>
      <c r="Q789" s="31"/>
      <c r="R789" s="31"/>
      <c r="S789" s="31"/>
      <c r="T789" s="32"/>
      <c r="U789" s="32"/>
      <c r="V789" s="32"/>
      <c r="W789" s="32"/>
      <c r="X789" s="32"/>
      <c r="Y789" s="33"/>
      <c r="Z789" s="33"/>
      <c r="AA789" s="33"/>
    </row>
    <row r="790" spans="1:27">
      <c r="A790" s="29"/>
      <c r="B790" s="19">
        <f t="shared" si="25"/>
        <v>46327</v>
      </c>
      <c r="C790" s="27">
        <f>I790+J790+K790+L790+M790+N790+O790+P790+IF(Q790="",0,Q790*サマリー!$B$9)+IF(R790="",0,IF(R790=200,サマリー!$B$10,IF(R790=100,サマリー!$B$11,0)))+IF(S790="",0,S790*サマリー!$B$12)</f>
        <v>0</v>
      </c>
      <c r="D790" s="27">
        <f>T790+U790+V790+W790+X790+IF(Y790="",0,Y790*サマリー!$B$9)+IF(Z790="",0,IF(Z790=200,サマリー!$B$10,IF(Z790=100,サマリー!$B$11,0)))+IF(AA790="",0,AA790*サマリー!$B$12)</f>
        <v>0</v>
      </c>
      <c r="E790" s="27">
        <f t="shared" si="24"/>
        <v>0</v>
      </c>
      <c r="I790" s="30"/>
      <c r="J790" s="30"/>
      <c r="K790" s="30"/>
      <c r="L790" s="30"/>
      <c r="M790" s="30"/>
      <c r="N790" s="30"/>
      <c r="O790" s="30"/>
      <c r="P790" s="30"/>
      <c r="Q790" s="31"/>
      <c r="R790" s="31"/>
      <c r="S790" s="31"/>
      <c r="T790" s="32"/>
      <c r="U790" s="32"/>
      <c r="V790" s="32"/>
      <c r="W790" s="32"/>
      <c r="X790" s="32"/>
      <c r="Y790" s="33"/>
      <c r="Z790" s="33"/>
      <c r="AA790" s="33"/>
    </row>
    <row r="791" spans="1:27">
      <c r="A791" s="29"/>
      <c r="B791" s="19">
        <f t="shared" si="25"/>
        <v>46327</v>
      </c>
      <c r="C791" s="27">
        <f>I791+J791+K791+L791+M791+N791+O791+P791+IF(Q791="",0,Q791*サマリー!$B$9)+IF(R791="",0,IF(R791=200,サマリー!$B$10,IF(R791=100,サマリー!$B$11,0)))+IF(S791="",0,S791*サマリー!$B$12)</f>
        <v>0</v>
      </c>
      <c r="D791" s="27">
        <f>T791+U791+V791+W791+X791+IF(Y791="",0,Y791*サマリー!$B$9)+IF(Z791="",0,IF(Z791=200,サマリー!$B$10,IF(Z791=100,サマリー!$B$11,0)))+IF(AA791="",0,AA791*サマリー!$B$12)</f>
        <v>0</v>
      </c>
      <c r="E791" s="27">
        <f t="shared" si="24"/>
        <v>0</v>
      </c>
      <c r="I791" s="30"/>
      <c r="J791" s="30"/>
      <c r="K791" s="30"/>
      <c r="L791" s="30"/>
      <c r="M791" s="30"/>
      <c r="N791" s="30"/>
      <c r="O791" s="30"/>
      <c r="P791" s="30"/>
      <c r="Q791" s="31"/>
      <c r="R791" s="31"/>
      <c r="S791" s="31"/>
      <c r="T791" s="32"/>
      <c r="U791" s="32"/>
      <c r="V791" s="32"/>
      <c r="W791" s="32"/>
      <c r="X791" s="32"/>
      <c r="Y791" s="33"/>
      <c r="Z791" s="33"/>
      <c r="AA791" s="33"/>
    </row>
    <row r="792" spans="1:27">
      <c r="A792" s="29"/>
      <c r="B792" s="19">
        <f t="shared" si="25"/>
        <v>46327</v>
      </c>
      <c r="C792" s="27">
        <f>I792+J792+K792+L792+M792+N792+O792+P792+IF(Q792="",0,Q792*サマリー!$B$9)+IF(R792="",0,IF(R792=200,サマリー!$B$10,IF(R792=100,サマリー!$B$11,0)))+IF(S792="",0,S792*サマリー!$B$12)</f>
        <v>0</v>
      </c>
      <c r="D792" s="27">
        <f>T792+U792+V792+W792+X792+IF(Y792="",0,Y792*サマリー!$B$9)+IF(Z792="",0,IF(Z792=200,サマリー!$B$10,IF(Z792=100,サマリー!$B$11,0)))+IF(AA792="",0,AA792*サマリー!$B$12)</f>
        <v>0</v>
      </c>
      <c r="E792" s="27">
        <f t="shared" si="24"/>
        <v>0</v>
      </c>
      <c r="I792" s="30"/>
      <c r="J792" s="30"/>
      <c r="K792" s="30"/>
      <c r="L792" s="30"/>
      <c r="M792" s="30"/>
      <c r="N792" s="30"/>
      <c r="O792" s="30"/>
      <c r="P792" s="30"/>
      <c r="Q792" s="31"/>
      <c r="R792" s="31"/>
      <c r="S792" s="31"/>
      <c r="T792" s="32"/>
      <c r="U792" s="32"/>
      <c r="V792" s="32"/>
      <c r="W792" s="32"/>
      <c r="X792" s="32"/>
      <c r="Y792" s="33"/>
      <c r="Z792" s="33"/>
      <c r="AA792" s="33"/>
    </row>
    <row r="793" spans="1:27">
      <c r="A793" s="29"/>
      <c r="B793" s="19">
        <f t="shared" si="25"/>
        <v>46327</v>
      </c>
      <c r="C793" s="27">
        <f>I793+J793+K793+L793+M793+N793+O793+P793+IF(Q793="",0,Q793*サマリー!$B$9)+IF(R793="",0,IF(R793=200,サマリー!$B$10,IF(R793=100,サマリー!$B$11,0)))+IF(S793="",0,S793*サマリー!$B$12)</f>
        <v>0</v>
      </c>
      <c r="D793" s="27">
        <f>T793+U793+V793+W793+X793+IF(Y793="",0,Y793*サマリー!$B$9)+IF(Z793="",0,IF(Z793=200,サマリー!$B$10,IF(Z793=100,サマリー!$B$11,0)))+IF(AA793="",0,AA793*サマリー!$B$12)</f>
        <v>0</v>
      </c>
      <c r="E793" s="27">
        <f t="shared" si="24"/>
        <v>0</v>
      </c>
      <c r="I793" s="30"/>
      <c r="J793" s="30"/>
      <c r="K793" s="30"/>
      <c r="L793" s="30"/>
      <c r="M793" s="30"/>
      <c r="N793" s="30"/>
      <c r="O793" s="30"/>
      <c r="P793" s="30"/>
      <c r="Q793" s="31"/>
      <c r="R793" s="31"/>
      <c r="S793" s="31"/>
      <c r="T793" s="32"/>
      <c r="U793" s="32"/>
      <c r="V793" s="32"/>
      <c r="W793" s="32"/>
      <c r="X793" s="32"/>
      <c r="Y793" s="33"/>
      <c r="Z793" s="33"/>
      <c r="AA793" s="33"/>
    </row>
    <row r="794" spans="1:27">
      <c r="A794" s="29"/>
      <c r="B794" s="19">
        <f t="shared" si="25"/>
        <v>46327</v>
      </c>
      <c r="C794" s="27">
        <f>I794+J794+K794+L794+M794+N794+O794+P794+IF(Q794="",0,Q794*サマリー!$B$9)+IF(R794="",0,IF(R794=200,サマリー!$B$10,IF(R794=100,サマリー!$B$11,0)))+IF(S794="",0,S794*サマリー!$B$12)</f>
        <v>0</v>
      </c>
      <c r="D794" s="27">
        <f>T794+U794+V794+W794+X794+IF(Y794="",0,Y794*サマリー!$B$9)+IF(Z794="",0,IF(Z794=200,サマリー!$B$10,IF(Z794=100,サマリー!$B$11,0)))+IF(AA794="",0,AA794*サマリー!$B$12)</f>
        <v>0</v>
      </c>
      <c r="E794" s="27">
        <f t="shared" si="24"/>
        <v>0</v>
      </c>
      <c r="I794" s="30"/>
      <c r="J794" s="30"/>
      <c r="K794" s="30"/>
      <c r="L794" s="30"/>
      <c r="M794" s="30"/>
      <c r="N794" s="30"/>
      <c r="O794" s="30"/>
      <c r="P794" s="30"/>
      <c r="Q794" s="31"/>
      <c r="R794" s="31"/>
      <c r="S794" s="31"/>
      <c r="T794" s="32"/>
      <c r="U794" s="32"/>
      <c r="V794" s="32"/>
      <c r="W794" s="32"/>
      <c r="X794" s="32"/>
      <c r="Y794" s="33"/>
      <c r="Z794" s="33"/>
      <c r="AA794" s="33"/>
    </row>
    <row r="795" spans="1:27">
      <c r="A795" s="29"/>
      <c r="B795" s="19">
        <f t="shared" si="25"/>
        <v>46327</v>
      </c>
      <c r="C795" s="27">
        <f>I795+J795+K795+L795+M795+N795+O795+P795+IF(Q795="",0,Q795*サマリー!$B$9)+IF(R795="",0,IF(R795=200,サマリー!$B$10,IF(R795=100,サマリー!$B$11,0)))+IF(S795="",0,S795*サマリー!$B$12)</f>
        <v>0</v>
      </c>
      <c r="D795" s="27">
        <f>T795+U795+V795+W795+X795+IF(Y795="",0,Y795*サマリー!$B$9)+IF(Z795="",0,IF(Z795=200,サマリー!$B$10,IF(Z795=100,サマリー!$B$11,0)))+IF(AA795="",0,AA795*サマリー!$B$12)</f>
        <v>0</v>
      </c>
      <c r="E795" s="27">
        <f t="shared" si="24"/>
        <v>0</v>
      </c>
      <c r="I795" s="30"/>
      <c r="J795" s="30"/>
      <c r="K795" s="30"/>
      <c r="L795" s="30"/>
      <c r="M795" s="30"/>
      <c r="N795" s="30"/>
      <c r="O795" s="30"/>
      <c r="P795" s="30"/>
      <c r="Q795" s="31"/>
      <c r="R795" s="31"/>
      <c r="S795" s="31"/>
      <c r="T795" s="32"/>
      <c r="U795" s="32"/>
      <c r="V795" s="32"/>
      <c r="W795" s="32"/>
      <c r="X795" s="32"/>
      <c r="Y795" s="33"/>
      <c r="Z795" s="33"/>
      <c r="AA795" s="33"/>
    </row>
    <row r="796" spans="1:27">
      <c r="A796" s="29"/>
      <c r="B796" s="19">
        <f t="shared" si="25"/>
        <v>46327</v>
      </c>
      <c r="C796" s="27">
        <f>I796+J796+K796+L796+M796+N796+O796+P796+IF(Q796="",0,Q796*サマリー!$B$9)+IF(R796="",0,IF(R796=200,サマリー!$B$10,IF(R796=100,サマリー!$B$11,0)))+IF(S796="",0,S796*サマリー!$B$12)</f>
        <v>0</v>
      </c>
      <c r="D796" s="27">
        <f>T796+U796+V796+W796+X796+IF(Y796="",0,Y796*サマリー!$B$9)+IF(Z796="",0,IF(Z796=200,サマリー!$B$10,IF(Z796=100,サマリー!$B$11,0)))+IF(AA796="",0,AA796*サマリー!$B$12)</f>
        <v>0</v>
      </c>
      <c r="E796" s="27">
        <f t="shared" si="24"/>
        <v>0</v>
      </c>
      <c r="I796" s="30"/>
      <c r="J796" s="30"/>
      <c r="K796" s="30"/>
      <c r="L796" s="30"/>
      <c r="M796" s="30"/>
      <c r="N796" s="30"/>
      <c r="O796" s="30"/>
      <c r="P796" s="30"/>
      <c r="Q796" s="31"/>
      <c r="R796" s="31"/>
      <c r="S796" s="31"/>
      <c r="T796" s="32"/>
      <c r="U796" s="32"/>
      <c r="V796" s="32"/>
      <c r="W796" s="32"/>
      <c r="X796" s="32"/>
      <c r="Y796" s="33"/>
      <c r="Z796" s="33"/>
      <c r="AA796" s="33"/>
    </row>
    <row r="797" spans="1:27">
      <c r="A797" s="29"/>
      <c r="B797" s="19">
        <f t="shared" si="25"/>
        <v>46327</v>
      </c>
      <c r="C797" s="27">
        <f>I797+J797+K797+L797+M797+N797+O797+P797+IF(Q797="",0,Q797*サマリー!$B$9)+IF(R797="",0,IF(R797=200,サマリー!$B$10,IF(R797=100,サマリー!$B$11,0)))+IF(S797="",0,S797*サマリー!$B$12)</f>
        <v>0</v>
      </c>
      <c r="D797" s="27">
        <f>T797+U797+V797+W797+X797+IF(Y797="",0,Y797*サマリー!$B$9)+IF(Z797="",0,IF(Z797=200,サマリー!$B$10,IF(Z797=100,サマリー!$B$11,0)))+IF(AA797="",0,AA797*サマリー!$B$12)</f>
        <v>0</v>
      </c>
      <c r="E797" s="27">
        <f t="shared" si="24"/>
        <v>0</v>
      </c>
      <c r="I797" s="30"/>
      <c r="J797" s="30"/>
      <c r="K797" s="30"/>
      <c r="L797" s="30"/>
      <c r="M797" s="30"/>
      <c r="N797" s="30"/>
      <c r="O797" s="30"/>
      <c r="P797" s="30"/>
      <c r="Q797" s="31"/>
      <c r="R797" s="31"/>
      <c r="S797" s="31"/>
      <c r="T797" s="32"/>
      <c r="U797" s="32"/>
      <c r="V797" s="32"/>
      <c r="W797" s="32"/>
      <c r="X797" s="32"/>
      <c r="Y797" s="33"/>
      <c r="Z797" s="33"/>
      <c r="AA797" s="33"/>
    </row>
    <row r="798" spans="1:27">
      <c r="A798" s="29"/>
      <c r="B798" s="19">
        <f t="shared" si="25"/>
        <v>46327</v>
      </c>
      <c r="C798" s="27">
        <f>I798+J798+K798+L798+M798+N798+O798+P798+IF(Q798="",0,Q798*サマリー!$B$9)+IF(R798="",0,IF(R798=200,サマリー!$B$10,IF(R798=100,サマリー!$B$11,0)))+IF(S798="",0,S798*サマリー!$B$12)</f>
        <v>0</v>
      </c>
      <c r="D798" s="27">
        <f>T798+U798+V798+W798+X798+IF(Y798="",0,Y798*サマリー!$B$9)+IF(Z798="",0,IF(Z798=200,サマリー!$B$10,IF(Z798=100,サマリー!$B$11,0)))+IF(AA798="",0,AA798*サマリー!$B$12)</f>
        <v>0</v>
      </c>
      <c r="E798" s="27">
        <f t="shared" si="24"/>
        <v>0</v>
      </c>
      <c r="I798" s="30"/>
      <c r="J798" s="30"/>
      <c r="K798" s="30"/>
      <c r="L798" s="30"/>
      <c r="M798" s="30"/>
      <c r="N798" s="30"/>
      <c r="O798" s="30"/>
      <c r="P798" s="30"/>
      <c r="Q798" s="31"/>
      <c r="R798" s="31"/>
      <c r="S798" s="31"/>
      <c r="T798" s="32"/>
      <c r="U798" s="32"/>
      <c r="V798" s="32"/>
      <c r="W798" s="32"/>
      <c r="X798" s="32"/>
      <c r="Y798" s="33"/>
      <c r="Z798" s="33"/>
      <c r="AA798" s="33"/>
    </row>
    <row r="799" spans="1:27">
      <c r="A799" s="29"/>
      <c r="B799" s="19">
        <f t="shared" si="25"/>
        <v>46327</v>
      </c>
      <c r="C799" s="27">
        <f>I799+J799+K799+L799+M799+N799+O799+P799+IF(Q799="",0,Q799*サマリー!$B$9)+IF(R799="",0,IF(R799=200,サマリー!$B$10,IF(R799=100,サマリー!$B$11,0)))+IF(S799="",0,S799*サマリー!$B$12)</f>
        <v>0</v>
      </c>
      <c r="D799" s="27">
        <f>T799+U799+V799+W799+X799+IF(Y799="",0,Y799*サマリー!$B$9)+IF(Z799="",0,IF(Z799=200,サマリー!$B$10,IF(Z799=100,サマリー!$B$11,0)))+IF(AA799="",0,AA799*サマリー!$B$12)</f>
        <v>0</v>
      </c>
      <c r="E799" s="27">
        <f t="shared" si="24"/>
        <v>0</v>
      </c>
      <c r="I799" s="30"/>
      <c r="J799" s="30"/>
      <c r="K799" s="30"/>
      <c r="L799" s="30"/>
      <c r="M799" s="30"/>
      <c r="N799" s="30"/>
      <c r="O799" s="30"/>
      <c r="P799" s="30"/>
      <c r="Q799" s="31"/>
      <c r="R799" s="31"/>
      <c r="S799" s="31"/>
      <c r="T799" s="32"/>
      <c r="U799" s="32"/>
      <c r="V799" s="32"/>
      <c r="W799" s="32"/>
      <c r="X799" s="32"/>
      <c r="Y799" s="33"/>
      <c r="Z799" s="33"/>
      <c r="AA799" s="33"/>
    </row>
    <row r="800" spans="1:27">
      <c r="A800" s="29"/>
      <c r="B800" s="19">
        <f t="shared" si="25"/>
        <v>46327</v>
      </c>
      <c r="C800" s="27">
        <f>I800+J800+K800+L800+M800+N800+O800+P800+IF(Q800="",0,Q800*サマリー!$B$9)+IF(R800="",0,IF(R800=200,サマリー!$B$10,IF(R800=100,サマリー!$B$11,0)))+IF(S800="",0,S800*サマリー!$B$12)</f>
        <v>0</v>
      </c>
      <c r="D800" s="27">
        <f>T800+U800+V800+W800+X800+IF(Y800="",0,Y800*サマリー!$B$9)+IF(Z800="",0,IF(Z800=200,サマリー!$B$10,IF(Z800=100,サマリー!$B$11,0)))+IF(AA800="",0,AA800*サマリー!$B$12)</f>
        <v>0</v>
      </c>
      <c r="E800" s="27">
        <f t="shared" si="24"/>
        <v>0</v>
      </c>
      <c r="I800" s="30"/>
      <c r="J800" s="30"/>
      <c r="K800" s="30"/>
      <c r="L800" s="30"/>
      <c r="M800" s="30"/>
      <c r="N800" s="30"/>
      <c r="O800" s="30"/>
      <c r="P800" s="30"/>
      <c r="Q800" s="31"/>
      <c r="R800" s="31"/>
      <c r="S800" s="31"/>
      <c r="T800" s="32"/>
      <c r="U800" s="32"/>
      <c r="V800" s="32"/>
      <c r="W800" s="32"/>
      <c r="X800" s="32"/>
      <c r="Y800" s="33"/>
      <c r="Z800" s="33"/>
      <c r="AA800" s="33"/>
    </row>
    <row r="801" spans="1:27">
      <c r="A801" s="29"/>
      <c r="B801" s="19">
        <f t="shared" si="25"/>
        <v>46327</v>
      </c>
      <c r="C801" s="27">
        <f>I801+J801+K801+L801+M801+N801+O801+P801+IF(Q801="",0,Q801*サマリー!$B$9)+IF(R801="",0,IF(R801=200,サマリー!$B$10,IF(R801=100,サマリー!$B$11,0)))+IF(S801="",0,S801*サマリー!$B$12)</f>
        <v>0</v>
      </c>
      <c r="D801" s="27">
        <f>T801+U801+V801+W801+X801+IF(Y801="",0,Y801*サマリー!$B$9)+IF(Z801="",0,IF(Z801=200,サマリー!$B$10,IF(Z801=100,サマリー!$B$11,0)))+IF(AA801="",0,AA801*サマリー!$B$12)</f>
        <v>0</v>
      </c>
      <c r="E801" s="27">
        <f t="shared" si="24"/>
        <v>0</v>
      </c>
      <c r="I801" s="30"/>
      <c r="J801" s="30"/>
      <c r="K801" s="30"/>
      <c r="L801" s="30"/>
      <c r="M801" s="30"/>
      <c r="N801" s="30"/>
      <c r="O801" s="30"/>
      <c r="P801" s="30"/>
      <c r="Q801" s="31"/>
      <c r="R801" s="31"/>
      <c r="S801" s="31"/>
      <c r="T801" s="32"/>
      <c r="U801" s="32"/>
      <c r="V801" s="32"/>
      <c r="W801" s="32"/>
      <c r="X801" s="32"/>
      <c r="Y801" s="33"/>
      <c r="Z801" s="33"/>
      <c r="AA801" s="33"/>
    </row>
    <row r="802" spans="1:27">
      <c r="A802" s="29"/>
      <c r="B802" s="19">
        <f t="shared" si="25"/>
        <v>46327</v>
      </c>
      <c r="C802" s="27">
        <f>I802+J802+K802+L802+M802+N802+O802+P802+IF(Q802="",0,Q802*サマリー!$B$9)+IF(R802="",0,IF(R802=200,サマリー!$B$10,IF(R802=100,サマリー!$B$11,0)))+IF(S802="",0,S802*サマリー!$B$12)</f>
        <v>0</v>
      </c>
      <c r="D802" s="27">
        <f>T802+U802+V802+W802+X802+IF(Y802="",0,Y802*サマリー!$B$9)+IF(Z802="",0,IF(Z802=200,サマリー!$B$10,IF(Z802=100,サマリー!$B$11,0)))+IF(AA802="",0,AA802*サマリー!$B$12)</f>
        <v>0</v>
      </c>
      <c r="E802" s="27">
        <f t="shared" si="24"/>
        <v>0</v>
      </c>
      <c r="I802" s="30"/>
      <c r="J802" s="30"/>
      <c r="K802" s="30"/>
      <c r="L802" s="30"/>
      <c r="M802" s="30"/>
      <c r="N802" s="30"/>
      <c r="O802" s="30"/>
      <c r="P802" s="30"/>
      <c r="Q802" s="31"/>
      <c r="R802" s="31"/>
      <c r="S802" s="31"/>
      <c r="T802" s="32"/>
      <c r="U802" s="32"/>
      <c r="V802" s="32"/>
      <c r="W802" s="32"/>
      <c r="X802" s="32"/>
      <c r="Y802" s="33"/>
      <c r="Z802" s="33"/>
      <c r="AA802" s="33"/>
    </row>
    <row r="803" spans="1:27">
      <c r="A803" s="29"/>
      <c r="B803" s="19">
        <f t="shared" si="25"/>
        <v>46327</v>
      </c>
      <c r="C803" s="27">
        <f>I803+J803+K803+L803+M803+N803+O803+P803+IF(Q803="",0,Q803*サマリー!$B$9)+IF(R803="",0,IF(R803=200,サマリー!$B$10,IF(R803=100,サマリー!$B$11,0)))+IF(S803="",0,S803*サマリー!$B$12)</f>
        <v>0</v>
      </c>
      <c r="D803" s="27">
        <f>T803+U803+V803+W803+X803+IF(Y803="",0,Y803*サマリー!$B$9)+IF(Z803="",0,IF(Z803=200,サマリー!$B$10,IF(Z803=100,サマリー!$B$11,0)))+IF(AA803="",0,AA803*サマリー!$B$12)</f>
        <v>0</v>
      </c>
      <c r="E803" s="27">
        <f t="shared" si="24"/>
        <v>0</v>
      </c>
      <c r="I803" s="30"/>
      <c r="J803" s="30"/>
      <c r="K803" s="30"/>
      <c r="L803" s="30"/>
      <c r="M803" s="30"/>
      <c r="N803" s="30"/>
      <c r="O803" s="30"/>
      <c r="P803" s="30"/>
      <c r="Q803" s="31"/>
      <c r="R803" s="31"/>
      <c r="S803" s="31"/>
      <c r="T803" s="32"/>
      <c r="U803" s="32"/>
      <c r="V803" s="32"/>
      <c r="W803" s="32"/>
      <c r="X803" s="32"/>
      <c r="Y803" s="33"/>
      <c r="Z803" s="33"/>
      <c r="AA803" s="33"/>
    </row>
    <row r="804" spans="1:27">
      <c r="A804" s="29"/>
      <c r="B804" s="19">
        <f t="shared" si="25"/>
        <v>46327</v>
      </c>
      <c r="C804" s="27">
        <f>I804+J804+K804+L804+M804+N804+O804+P804+IF(Q804="",0,Q804*サマリー!$B$9)+IF(R804="",0,IF(R804=200,サマリー!$B$10,IF(R804=100,サマリー!$B$11,0)))+IF(S804="",0,S804*サマリー!$B$12)</f>
        <v>0</v>
      </c>
      <c r="D804" s="27">
        <f>T804+U804+V804+W804+X804+IF(Y804="",0,Y804*サマリー!$B$9)+IF(Z804="",0,IF(Z804=200,サマリー!$B$10,IF(Z804=100,サマリー!$B$11,0)))+IF(AA804="",0,AA804*サマリー!$B$12)</f>
        <v>0</v>
      </c>
      <c r="E804" s="27">
        <f t="shared" si="24"/>
        <v>0</v>
      </c>
      <c r="I804" s="30"/>
      <c r="J804" s="30"/>
      <c r="K804" s="30"/>
      <c r="L804" s="30"/>
      <c r="M804" s="30"/>
      <c r="N804" s="30"/>
      <c r="O804" s="30"/>
      <c r="P804" s="30"/>
      <c r="Q804" s="31"/>
      <c r="R804" s="31"/>
      <c r="S804" s="31"/>
      <c r="T804" s="32"/>
      <c r="U804" s="32"/>
      <c r="V804" s="32"/>
      <c r="W804" s="32"/>
      <c r="X804" s="32"/>
      <c r="Y804" s="33"/>
      <c r="Z804" s="33"/>
      <c r="AA804" s="33"/>
    </row>
    <row r="805" spans="1:27">
      <c r="A805" s="29"/>
      <c r="B805" s="19">
        <f t="shared" si="25"/>
        <v>46327</v>
      </c>
      <c r="C805" s="27">
        <f>I805+J805+K805+L805+M805+N805+O805+P805+IF(Q805="",0,Q805*サマリー!$B$9)+IF(R805="",0,IF(R805=200,サマリー!$B$10,IF(R805=100,サマリー!$B$11,0)))+IF(S805="",0,S805*サマリー!$B$12)</f>
        <v>0</v>
      </c>
      <c r="D805" s="27">
        <f>T805+U805+V805+W805+X805+IF(Y805="",0,Y805*サマリー!$B$9)+IF(Z805="",0,IF(Z805=200,サマリー!$B$10,IF(Z805=100,サマリー!$B$11,0)))+IF(AA805="",0,AA805*サマリー!$B$12)</f>
        <v>0</v>
      </c>
      <c r="E805" s="27">
        <f t="shared" si="24"/>
        <v>0</v>
      </c>
      <c r="I805" s="30"/>
      <c r="J805" s="30"/>
      <c r="K805" s="30"/>
      <c r="L805" s="30"/>
      <c r="M805" s="30"/>
      <c r="N805" s="30"/>
      <c r="O805" s="30"/>
      <c r="P805" s="30"/>
      <c r="Q805" s="31"/>
      <c r="R805" s="31"/>
      <c r="S805" s="31"/>
      <c r="T805" s="32"/>
      <c r="U805" s="32"/>
      <c r="V805" s="32"/>
      <c r="W805" s="32"/>
      <c r="X805" s="32"/>
      <c r="Y805" s="33"/>
      <c r="Z805" s="33"/>
      <c r="AA805" s="33"/>
    </row>
    <row r="806" spans="1:27">
      <c r="A806" s="29"/>
      <c r="B806" s="19">
        <f t="shared" si="25"/>
        <v>46327</v>
      </c>
      <c r="C806" s="27">
        <f>I806+J806+K806+L806+M806+N806+O806+P806+IF(Q806="",0,Q806*サマリー!$B$9)+IF(R806="",0,IF(R806=200,サマリー!$B$10,IF(R806=100,サマリー!$B$11,0)))+IF(S806="",0,S806*サマリー!$B$12)</f>
        <v>0</v>
      </c>
      <c r="D806" s="27">
        <f>T806+U806+V806+W806+X806+IF(Y806="",0,Y806*サマリー!$B$9)+IF(Z806="",0,IF(Z806=200,サマリー!$B$10,IF(Z806=100,サマリー!$B$11,0)))+IF(AA806="",0,AA806*サマリー!$B$12)</f>
        <v>0</v>
      </c>
      <c r="E806" s="27">
        <f t="shared" si="24"/>
        <v>0</v>
      </c>
      <c r="I806" s="30"/>
      <c r="J806" s="30"/>
      <c r="K806" s="30"/>
      <c r="L806" s="30"/>
      <c r="M806" s="30"/>
      <c r="N806" s="30"/>
      <c r="O806" s="30"/>
      <c r="P806" s="30"/>
      <c r="Q806" s="31"/>
      <c r="R806" s="31"/>
      <c r="S806" s="31"/>
      <c r="T806" s="32"/>
      <c r="U806" s="32"/>
      <c r="V806" s="32"/>
      <c r="W806" s="32"/>
      <c r="X806" s="32"/>
      <c r="Y806" s="33"/>
      <c r="Z806" s="33"/>
      <c r="AA806" s="33"/>
    </row>
    <row r="807" spans="1:27">
      <c r="A807" s="29"/>
      <c r="B807" s="19">
        <f t="shared" si="25"/>
        <v>46327</v>
      </c>
      <c r="C807" s="27">
        <f>I807+J807+K807+L807+M807+N807+O807+P807+IF(Q807="",0,Q807*サマリー!$B$9)+IF(R807="",0,IF(R807=200,サマリー!$B$10,IF(R807=100,サマリー!$B$11,0)))+IF(S807="",0,S807*サマリー!$B$12)</f>
        <v>0</v>
      </c>
      <c r="D807" s="27">
        <f>T807+U807+V807+W807+X807+IF(Y807="",0,Y807*サマリー!$B$9)+IF(Z807="",0,IF(Z807=200,サマリー!$B$10,IF(Z807=100,サマリー!$B$11,0)))+IF(AA807="",0,AA807*サマリー!$B$12)</f>
        <v>0</v>
      </c>
      <c r="E807" s="27">
        <f t="shared" si="24"/>
        <v>0</v>
      </c>
      <c r="I807" s="30"/>
      <c r="J807" s="30"/>
      <c r="K807" s="30"/>
      <c r="L807" s="30"/>
      <c r="M807" s="30"/>
      <c r="N807" s="30"/>
      <c r="O807" s="30"/>
      <c r="P807" s="30"/>
      <c r="Q807" s="31"/>
      <c r="R807" s="31"/>
      <c r="S807" s="31"/>
      <c r="T807" s="32"/>
      <c r="U807" s="32"/>
      <c r="V807" s="32"/>
      <c r="W807" s="32"/>
      <c r="X807" s="32"/>
      <c r="Y807" s="33"/>
      <c r="Z807" s="33"/>
      <c r="AA807" s="33"/>
    </row>
    <row r="808" spans="1:27">
      <c r="A808" s="29"/>
      <c r="B808" s="19">
        <f t="shared" si="25"/>
        <v>46327</v>
      </c>
      <c r="C808" s="27">
        <f>I808+J808+K808+L808+M808+N808+O808+P808+IF(Q808="",0,Q808*サマリー!$B$9)+IF(R808="",0,IF(R808=200,サマリー!$B$10,IF(R808=100,サマリー!$B$11,0)))+IF(S808="",0,S808*サマリー!$B$12)</f>
        <v>0</v>
      </c>
      <c r="D808" s="27">
        <f>T808+U808+V808+W808+X808+IF(Y808="",0,Y808*サマリー!$B$9)+IF(Z808="",0,IF(Z808=200,サマリー!$B$10,IF(Z808=100,サマリー!$B$11,0)))+IF(AA808="",0,AA808*サマリー!$B$12)</f>
        <v>0</v>
      </c>
      <c r="E808" s="27">
        <f t="shared" si="24"/>
        <v>0</v>
      </c>
      <c r="I808" s="30"/>
      <c r="J808" s="30"/>
      <c r="K808" s="30"/>
      <c r="L808" s="30"/>
      <c r="M808" s="30"/>
      <c r="N808" s="30"/>
      <c r="O808" s="30"/>
      <c r="P808" s="30"/>
      <c r="Q808" s="31"/>
      <c r="R808" s="31"/>
      <c r="S808" s="31"/>
      <c r="T808" s="32"/>
      <c r="U808" s="32"/>
      <c r="V808" s="32"/>
      <c r="W808" s="32"/>
      <c r="X808" s="32"/>
      <c r="Y808" s="33"/>
      <c r="Z808" s="33"/>
      <c r="AA808" s="33"/>
    </row>
    <row r="809" spans="1:27">
      <c r="A809" s="29"/>
      <c r="B809" s="19">
        <f t="shared" si="25"/>
        <v>46327</v>
      </c>
      <c r="C809" s="27">
        <f>I809+J809+K809+L809+M809+N809+O809+P809+IF(Q809="",0,Q809*サマリー!$B$9)+IF(R809="",0,IF(R809=200,サマリー!$B$10,IF(R809=100,サマリー!$B$11,0)))+IF(S809="",0,S809*サマリー!$B$12)</f>
        <v>0</v>
      </c>
      <c r="D809" s="27">
        <f>T809+U809+V809+W809+X809+IF(Y809="",0,Y809*サマリー!$B$9)+IF(Z809="",0,IF(Z809=200,サマリー!$B$10,IF(Z809=100,サマリー!$B$11,0)))+IF(AA809="",0,AA809*サマリー!$B$12)</f>
        <v>0</v>
      </c>
      <c r="E809" s="27">
        <f t="shared" si="24"/>
        <v>0</v>
      </c>
      <c r="I809" s="30"/>
      <c r="J809" s="30"/>
      <c r="K809" s="30"/>
      <c r="L809" s="30"/>
      <c r="M809" s="30"/>
      <c r="N809" s="30"/>
      <c r="O809" s="30"/>
      <c r="P809" s="30"/>
      <c r="Q809" s="31"/>
      <c r="R809" s="31"/>
      <c r="S809" s="31"/>
      <c r="T809" s="32"/>
      <c r="U809" s="32"/>
      <c r="V809" s="32"/>
      <c r="W809" s="32"/>
      <c r="X809" s="32"/>
      <c r="Y809" s="33"/>
      <c r="Z809" s="33"/>
      <c r="AA809" s="33"/>
    </row>
    <row r="810" spans="1:27">
      <c r="A810" s="29"/>
      <c r="B810" s="19">
        <f t="shared" si="25"/>
        <v>46327</v>
      </c>
      <c r="C810" s="27">
        <f>I810+J810+K810+L810+M810+N810+O810+P810+IF(Q810="",0,Q810*サマリー!$B$9)+IF(R810="",0,IF(R810=200,サマリー!$B$10,IF(R810=100,サマリー!$B$11,0)))+IF(S810="",0,S810*サマリー!$B$12)</f>
        <v>0</v>
      </c>
      <c r="D810" s="27">
        <f>T810+U810+V810+W810+X810+IF(Y810="",0,Y810*サマリー!$B$9)+IF(Z810="",0,IF(Z810=200,サマリー!$B$10,IF(Z810=100,サマリー!$B$11,0)))+IF(AA810="",0,AA810*サマリー!$B$12)</f>
        <v>0</v>
      </c>
      <c r="E810" s="27">
        <f t="shared" si="24"/>
        <v>0</v>
      </c>
      <c r="I810" s="30"/>
      <c r="J810" s="30"/>
      <c r="K810" s="30"/>
      <c r="L810" s="30"/>
      <c r="M810" s="30"/>
      <c r="N810" s="30"/>
      <c r="O810" s="30"/>
      <c r="P810" s="30"/>
      <c r="Q810" s="31"/>
      <c r="R810" s="31"/>
      <c r="S810" s="31"/>
      <c r="T810" s="32"/>
      <c r="U810" s="32"/>
      <c r="V810" s="32"/>
      <c r="W810" s="32"/>
      <c r="X810" s="32"/>
      <c r="Y810" s="33"/>
      <c r="Z810" s="33"/>
      <c r="AA810" s="33"/>
    </row>
    <row r="811" spans="1:27">
      <c r="A811" s="29"/>
      <c r="B811" s="19">
        <f t="shared" si="25"/>
        <v>46327</v>
      </c>
      <c r="C811" s="27">
        <f>I811+J811+K811+L811+M811+N811+O811+P811+IF(Q811="",0,Q811*サマリー!$B$9)+IF(R811="",0,IF(R811=200,サマリー!$B$10,IF(R811=100,サマリー!$B$11,0)))+IF(S811="",0,S811*サマリー!$B$12)</f>
        <v>0</v>
      </c>
      <c r="D811" s="27">
        <f>T811+U811+V811+W811+X811+IF(Y811="",0,Y811*サマリー!$B$9)+IF(Z811="",0,IF(Z811=200,サマリー!$B$10,IF(Z811=100,サマリー!$B$11,0)))+IF(AA811="",0,AA811*サマリー!$B$12)</f>
        <v>0</v>
      </c>
      <c r="E811" s="27">
        <f t="shared" si="24"/>
        <v>0</v>
      </c>
      <c r="I811" s="30"/>
      <c r="J811" s="30"/>
      <c r="K811" s="30"/>
      <c r="L811" s="30"/>
      <c r="M811" s="30"/>
      <c r="N811" s="30"/>
      <c r="O811" s="30"/>
      <c r="P811" s="30"/>
      <c r="Q811" s="31"/>
      <c r="R811" s="31"/>
      <c r="S811" s="31"/>
      <c r="T811" s="32"/>
      <c r="U811" s="32"/>
      <c r="V811" s="32"/>
      <c r="W811" s="32"/>
      <c r="X811" s="32"/>
      <c r="Y811" s="33"/>
      <c r="Z811" s="33"/>
      <c r="AA811" s="33"/>
    </row>
    <row r="812" spans="1:27">
      <c r="A812" s="29"/>
      <c r="B812" s="19">
        <f t="shared" si="25"/>
        <v>46327</v>
      </c>
      <c r="C812" s="27">
        <f>I812+J812+K812+L812+M812+N812+O812+P812+IF(Q812="",0,Q812*サマリー!$B$9)+IF(R812="",0,IF(R812=200,サマリー!$B$10,IF(R812=100,サマリー!$B$11,0)))+IF(S812="",0,S812*サマリー!$B$12)</f>
        <v>0</v>
      </c>
      <c r="D812" s="27">
        <f>T812+U812+V812+W812+X812+IF(Y812="",0,Y812*サマリー!$B$9)+IF(Z812="",0,IF(Z812=200,サマリー!$B$10,IF(Z812=100,サマリー!$B$11,0)))+IF(AA812="",0,AA812*サマリー!$B$12)</f>
        <v>0</v>
      </c>
      <c r="E812" s="27">
        <f t="shared" si="24"/>
        <v>0</v>
      </c>
      <c r="I812" s="30"/>
      <c r="J812" s="30"/>
      <c r="K812" s="30"/>
      <c r="L812" s="30"/>
      <c r="M812" s="30"/>
      <c r="N812" s="30"/>
      <c r="O812" s="30"/>
      <c r="P812" s="30"/>
      <c r="Q812" s="31"/>
      <c r="R812" s="31"/>
      <c r="S812" s="31"/>
      <c r="T812" s="32"/>
      <c r="U812" s="32"/>
      <c r="V812" s="32"/>
      <c r="W812" s="32"/>
      <c r="X812" s="32"/>
      <c r="Y812" s="33"/>
      <c r="Z812" s="33"/>
      <c r="AA812" s="33"/>
    </row>
    <row r="813" spans="1:27">
      <c r="A813" s="29"/>
      <c r="B813" s="19">
        <f t="shared" si="25"/>
        <v>46327</v>
      </c>
      <c r="C813" s="27">
        <f>I813+J813+K813+L813+M813+N813+O813+P813+IF(Q813="",0,Q813*サマリー!$B$9)+IF(R813="",0,IF(R813=200,サマリー!$B$10,IF(R813=100,サマリー!$B$11,0)))+IF(S813="",0,S813*サマリー!$B$12)</f>
        <v>0</v>
      </c>
      <c r="D813" s="27">
        <f>T813+U813+V813+W813+X813+IF(Y813="",0,Y813*サマリー!$B$9)+IF(Z813="",0,IF(Z813=200,サマリー!$B$10,IF(Z813=100,サマリー!$B$11,0)))+IF(AA813="",0,AA813*サマリー!$B$12)</f>
        <v>0</v>
      </c>
      <c r="E813" s="27">
        <f t="shared" si="24"/>
        <v>0</v>
      </c>
      <c r="I813" s="30"/>
      <c r="J813" s="30"/>
      <c r="K813" s="30"/>
      <c r="L813" s="30"/>
      <c r="M813" s="30"/>
      <c r="N813" s="30"/>
      <c r="O813" s="30"/>
      <c r="P813" s="30"/>
      <c r="Q813" s="31"/>
      <c r="R813" s="31"/>
      <c r="S813" s="31"/>
      <c r="T813" s="32"/>
      <c r="U813" s="32"/>
      <c r="V813" s="32"/>
      <c r="W813" s="32"/>
      <c r="X813" s="32"/>
      <c r="Y813" s="33"/>
      <c r="Z813" s="33"/>
      <c r="AA813" s="33"/>
    </row>
    <row r="814" spans="1:27">
      <c r="A814" s="29"/>
      <c r="B814" s="19">
        <f t="shared" si="25"/>
        <v>46327</v>
      </c>
      <c r="C814" s="27">
        <f>I814+J814+K814+L814+M814+N814+O814+P814+IF(Q814="",0,Q814*サマリー!$B$9)+IF(R814="",0,IF(R814=200,サマリー!$B$10,IF(R814=100,サマリー!$B$11,0)))+IF(S814="",0,S814*サマリー!$B$12)</f>
        <v>0</v>
      </c>
      <c r="D814" s="27">
        <f>T814+U814+V814+W814+X814+IF(Y814="",0,Y814*サマリー!$B$9)+IF(Z814="",0,IF(Z814=200,サマリー!$B$10,IF(Z814=100,サマリー!$B$11,0)))+IF(AA814="",0,AA814*サマリー!$B$12)</f>
        <v>0</v>
      </c>
      <c r="E814" s="27">
        <f t="shared" si="24"/>
        <v>0</v>
      </c>
      <c r="I814" s="30"/>
      <c r="J814" s="30"/>
      <c r="K814" s="30"/>
      <c r="L814" s="30"/>
      <c r="M814" s="30"/>
      <c r="N814" s="30"/>
      <c r="O814" s="30"/>
      <c r="P814" s="30"/>
      <c r="Q814" s="31"/>
      <c r="R814" s="31"/>
      <c r="S814" s="31"/>
      <c r="T814" s="32"/>
      <c r="U814" s="32"/>
      <c r="V814" s="32"/>
      <c r="W814" s="32"/>
      <c r="X814" s="32"/>
      <c r="Y814" s="33"/>
      <c r="Z814" s="33"/>
      <c r="AA814" s="33"/>
    </row>
    <row r="815" spans="1:27">
      <c r="A815" s="29"/>
      <c r="B815" s="19">
        <f t="shared" si="25"/>
        <v>46327</v>
      </c>
      <c r="C815" s="27">
        <f>I815+J815+K815+L815+M815+N815+O815+P815+IF(Q815="",0,Q815*サマリー!$B$9)+IF(R815="",0,IF(R815=200,サマリー!$B$10,IF(R815=100,サマリー!$B$11,0)))+IF(S815="",0,S815*サマリー!$B$12)</f>
        <v>0</v>
      </c>
      <c r="D815" s="27">
        <f>T815+U815+V815+W815+X815+IF(Y815="",0,Y815*サマリー!$B$9)+IF(Z815="",0,IF(Z815=200,サマリー!$B$10,IF(Z815=100,サマリー!$B$11,0)))+IF(AA815="",0,AA815*サマリー!$B$12)</f>
        <v>0</v>
      </c>
      <c r="E815" s="27">
        <f t="shared" si="24"/>
        <v>0</v>
      </c>
      <c r="I815" s="30"/>
      <c r="J815" s="30"/>
      <c r="K815" s="30"/>
      <c r="L815" s="30"/>
      <c r="M815" s="30"/>
      <c r="N815" s="30"/>
      <c r="O815" s="30"/>
      <c r="P815" s="30"/>
      <c r="Q815" s="31"/>
      <c r="R815" s="31"/>
      <c r="S815" s="31"/>
      <c r="T815" s="32"/>
      <c r="U815" s="32"/>
      <c r="V815" s="32"/>
      <c r="W815" s="32"/>
      <c r="X815" s="32"/>
      <c r="Y815" s="33"/>
      <c r="Z815" s="33"/>
      <c r="AA815" s="33"/>
    </row>
    <row r="816" spans="1:27">
      <c r="A816" s="29"/>
      <c r="B816" s="19">
        <f t="shared" si="25"/>
        <v>46327</v>
      </c>
      <c r="C816" s="27">
        <f>I816+J816+K816+L816+M816+N816+O816+P816+IF(Q816="",0,Q816*サマリー!$B$9)+IF(R816="",0,IF(R816=200,サマリー!$B$10,IF(R816=100,サマリー!$B$11,0)))+IF(S816="",0,S816*サマリー!$B$12)</f>
        <v>0</v>
      </c>
      <c r="D816" s="27">
        <f>T816+U816+V816+W816+X816+IF(Y816="",0,Y816*サマリー!$B$9)+IF(Z816="",0,IF(Z816=200,サマリー!$B$10,IF(Z816=100,サマリー!$B$11,0)))+IF(AA816="",0,AA816*サマリー!$B$12)</f>
        <v>0</v>
      </c>
      <c r="E816" s="27">
        <f t="shared" si="24"/>
        <v>0</v>
      </c>
      <c r="I816" s="30"/>
      <c r="J816" s="30"/>
      <c r="K816" s="30"/>
      <c r="L816" s="30"/>
      <c r="M816" s="30"/>
      <c r="N816" s="30"/>
      <c r="O816" s="30"/>
      <c r="P816" s="30"/>
      <c r="Q816" s="31"/>
      <c r="R816" s="31"/>
      <c r="S816" s="31"/>
      <c r="T816" s="32"/>
      <c r="U816" s="32"/>
      <c r="V816" s="32"/>
      <c r="W816" s="32"/>
      <c r="X816" s="32"/>
      <c r="Y816" s="33"/>
      <c r="Z816" s="33"/>
      <c r="AA816" s="33"/>
    </row>
    <row r="817" spans="1:27">
      <c r="A817" s="29"/>
      <c r="B817" s="19">
        <f t="shared" si="25"/>
        <v>46327</v>
      </c>
      <c r="C817" s="27">
        <f>I817+J817+K817+L817+M817+N817+O817+P817+IF(Q817="",0,Q817*サマリー!$B$9)+IF(R817="",0,IF(R817=200,サマリー!$B$10,IF(R817=100,サマリー!$B$11,0)))+IF(S817="",0,S817*サマリー!$B$12)</f>
        <v>0</v>
      </c>
      <c r="D817" s="27">
        <f>T817+U817+V817+W817+X817+IF(Y817="",0,Y817*サマリー!$B$9)+IF(Z817="",0,IF(Z817=200,サマリー!$B$10,IF(Z817=100,サマリー!$B$11,0)))+IF(AA817="",0,AA817*サマリー!$B$12)</f>
        <v>0</v>
      </c>
      <c r="E817" s="27">
        <f t="shared" si="24"/>
        <v>0</v>
      </c>
      <c r="I817" s="30"/>
      <c r="J817" s="30"/>
      <c r="K817" s="30"/>
      <c r="L817" s="30"/>
      <c r="M817" s="30"/>
      <c r="N817" s="30"/>
      <c r="O817" s="30"/>
      <c r="P817" s="30"/>
      <c r="Q817" s="31"/>
      <c r="R817" s="31"/>
      <c r="S817" s="31"/>
      <c r="T817" s="32"/>
      <c r="U817" s="32"/>
      <c r="V817" s="32"/>
      <c r="W817" s="32"/>
      <c r="X817" s="32"/>
      <c r="Y817" s="33"/>
      <c r="Z817" s="33"/>
      <c r="AA817" s="33"/>
    </row>
    <row r="818" spans="1:27">
      <c r="A818" s="29"/>
      <c r="B818" s="19">
        <f t="shared" si="25"/>
        <v>46327</v>
      </c>
      <c r="C818" s="27">
        <f>I818+J818+K818+L818+M818+N818+O818+P818+IF(Q818="",0,Q818*サマリー!$B$9)+IF(R818="",0,IF(R818=200,サマリー!$B$10,IF(R818=100,サマリー!$B$11,0)))+IF(S818="",0,S818*サマリー!$B$12)</f>
        <v>0</v>
      </c>
      <c r="D818" s="27">
        <f>T818+U818+V818+W818+X818+IF(Y818="",0,Y818*サマリー!$B$9)+IF(Z818="",0,IF(Z818=200,サマリー!$B$10,IF(Z818=100,サマリー!$B$11,0)))+IF(AA818="",0,AA818*サマリー!$B$12)</f>
        <v>0</v>
      </c>
      <c r="E818" s="27">
        <f t="shared" si="24"/>
        <v>0</v>
      </c>
      <c r="I818" s="30"/>
      <c r="J818" s="30"/>
      <c r="K818" s="30"/>
      <c r="L818" s="30"/>
      <c r="M818" s="30"/>
      <c r="N818" s="30"/>
      <c r="O818" s="30"/>
      <c r="P818" s="30"/>
      <c r="Q818" s="31"/>
      <c r="R818" s="31"/>
      <c r="S818" s="31"/>
      <c r="T818" s="32"/>
      <c r="U818" s="32"/>
      <c r="V818" s="32"/>
      <c r="W818" s="32"/>
      <c r="X818" s="32"/>
      <c r="Y818" s="33"/>
      <c r="Z818" s="33"/>
      <c r="AA818" s="33"/>
    </row>
    <row r="819" spans="1:27">
      <c r="A819" s="29"/>
      <c r="B819" s="19">
        <f t="shared" si="25"/>
        <v>46327</v>
      </c>
      <c r="C819" s="27">
        <f>I819+J819+K819+L819+M819+N819+O819+P819+IF(Q819="",0,Q819*サマリー!$B$9)+IF(R819="",0,IF(R819=200,サマリー!$B$10,IF(R819=100,サマリー!$B$11,0)))+IF(S819="",0,S819*サマリー!$B$12)</f>
        <v>0</v>
      </c>
      <c r="D819" s="27">
        <f>T819+U819+V819+W819+X819+IF(Y819="",0,Y819*サマリー!$B$9)+IF(Z819="",0,IF(Z819=200,サマリー!$B$10,IF(Z819=100,サマリー!$B$11,0)))+IF(AA819="",0,AA819*サマリー!$B$12)</f>
        <v>0</v>
      </c>
      <c r="E819" s="27">
        <f t="shared" si="24"/>
        <v>0</v>
      </c>
      <c r="I819" s="30"/>
      <c r="J819" s="30"/>
      <c r="K819" s="30"/>
      <c r="L819" s="30"/>
      <c r="M819" s="30"/>
      <c r="N819" s="30"/>
      <c r="O819" s="30"/>
      <c r="P819" s="30"/>
      <c r="Q819" s="31"/>
      <c r="R819" s="31"/>
      <c r="S819" s="31"/>
      <c r="T819" s="32"/>
      <c r="U819" s="32"/>
      <c r="V819" s="32"/>
      <c r="W819" s="32"/>
      <c r="X819" s="32"/>
      <c r="Y819" s="33"/>
      <c r="Z819" s="33"/>
      <c r="AA819" s="33"/>
    </row>
    <row r="820" spans="1:27">
      <c r="A820" s="29"/>
      <c r="B820" s="19">
        <f t="shared" si="25"/>
        <v>46327</v>
      </c>
      <c r="C820" s="27">
        <f>I820+J820+K820+L820+M820+N820+O820+P820+IF(Q820="",0,Q820*サマリー!$B$9)+IF(R820="",0,IF(R820=200,サマリー!$B$10,IF(R820=100,サマリー!$B$11,0)))+IF(S820="",0,S820*サマリー!$B$12)</f>
        <v>0</v>
      </c>
      <c r="D820" s="27">
        <f>T820+U820+V820+W820+X820+IF(Y820="",0,Y820*サマリー!$B$9)+IF(Z820="",0,IF(Z820=200,サマリー!$B$10,IF(Z820=100,サマリー!$B$11,0)))+IF(AA820="",0,AA820*サマリー!$B$12)</f>
        <v>0</v>
      </c>
      <c r="E820" s="27">
        <f t="shared" si="24"/>
        <v>0</v>
      </c>
      <c r="I820" s="30"/>
      <c r="J820" s="30"/>
      <c r="K820" s="30"/>
      <c r="L820" s="30"/>
      <c r="M820" s="30"/>
      <c r="N820" s="30"/>
      <c r="O820" s="30"/>
      <c r="P820" s="30"/>
      <c r="Q820" s="31"/>
      <c r="R820" s="31"/>
      <c r="S820" s="31"/>
      <c r="T820" s="32"/>
      <c r="U820" s="32"/>
      <c r="V820" s="32"/>
      <c r="W820" s="32"/>
      <c r="X820" s="32"/>
      <c r="Y820" s="33"/>
      <c r="Z820" s="33"/>
      <c r="AA820" s="33"/>
    </row>
    <row r="821" spans="1:27">
      <c r="A821" s="29"/>
      <c r="B821" s="19">
        <f t="shared" si="25"/>
        <v>46327</v>
      </c>
      <c r="C821" s="27">
        <f>I821+J821+K821+L821+M821+N821+O821+P821+IF(Q821="",0,Q821*サマリー!$B$9)+IF(R821="",0,IF(R821=200,サマリー!$B$10,IF(R821=100,サマリー!$B$11,0)))+IF(S821="",0,S821*サマリー!$B$12)</f>
        <v>0</v>
      </c>
      <c r="D821" s="27">
        <f>T821+U821+V821+W821+X821+IF(Y821="",0,Y821*サマリー!$B$9)+IF(Z821="",0,IF(Z821=200,サマリー!$B$10,IF(Z821=100,サマリー!$B$11,0)))+IF(AA821="",0,AA821*サマリー!$B$12)</f>
        <v>0</v>
      </c>
      <c r="E821" s="27">
        <f t="shared" si="24"/>
        <v>0</v>
      </c>
      <c r="I821" s="30"/>
      <c r="J821" s="30"/>
      <c r="K821" s="30"/>
      <c r="L821" s="30"/>
      <c r="M821" s="30"/>
      <c r="N821" s="30"/>
      <c r="O821" s="30"/>
      <c r="P821" s="30"/>
      <c r="Q821" s="31"/>
      <c r="R821" s="31"/>
      <c r="S821" s="31"/>
      <c r="T821" s="32"/>
      <c r="U821" s="32"/>
      <c r="V821" s="32"/>
      <c r="W821" s="32"/>
      <c r="X821" s="32"/>
      <c r="Y821" s="33"/>
      <c r="Z821" s="33"/>
      <c r="AA821" s="33"/>
    </row>
    <row r="822" spans="1:27">
      <c r="A822" s="29"/>
      <c r="B822" s="19">
        <f t="shared" si="25"/>
        <v>46327</v>
      </c>
      <c r="C822" s="27">
        <f>I822+J822+K822+L822+M822+N822+O822+P822+IF(Q822="",0,Q822*サマリー!$B$9)+IF(R822="",0,IF(R822=200,サマリー!$B$10,IF(R822=100,サマリー!$B$11,0)))+IF(S822="",0,S822*サマリー!$B$12)</f>
        <v>0</v>
      </c>
      <c r="D822" s="27">
        <f>T822+U822+V822+W822+X822+IF(Y822="",0,Y822*サマリー!$B$9)+IF(Z822="",0,IF(Z822=200,サマリー!$B$10,IF(Z822=100,サマリー!$B$11,0)))+IF(AA822="",0,AA822*サマリー!$B$12)</f>
        <v>0</v>
      </c>
      <c r="E822" s="27">
        <f t="shared" si="24"/>
        <v>0</v>
      </c>
      <c r="I822" s="30"/>
      <c r="J822" s="30"/>
      <c r="K822" s="30"/>
      <c r="L822" s="30"/>
      <c r="M822" s="30"/>
      <c r="N822" s="30"/>
      <c r="O822" s="30"/>
      <c r="P822" s="30"/>
      <c r="Q822" s="31"/>
      <c r="R822" s="31"/>
      <c r="S822" s="31"/>
      <c r="T822" s="32"/>
      <c r="U822" s="32"/>
      <c r="V822" s="32"/>
      <c r="W822" s="32"/>
      <c r="X822" s="32"/>
      <c r="Y822" s="33"/>
      <c r="Z822" s="33"/>
      <c r="AA822" s="33"/>
    </row>
    <row r="823" spans="1:27">
      <c r="A823" s="29"/>
      <c r="B823" s="19">
        <f t="shared" si="25"/>
        <v>46327</v>
      </c>
      <c r="C823" s="27">
        <f>I823+J823+K823+L823+M823+N823+O823+P823+IF(Q823="",0,Q823*サマリー!$B$9)+IF(R823="",0,IF(R823=200,サマリー!$B$10,IF(R823=100,サマリー!$B$11,0)))+IF(S823="",0,S823*サマリー!$B$12)</f>
        <v>0</v>
      </c>
      <c r="D823" s="27">
        <f>T823+U823+V823+W823+X823+IF(Y823="",0,Y823*サマリー!$B$9)+IF(Z823="",0,IF(Z823=200,サマリー!$B$10,IF(Z823=100,サマリー!$B$11,0)))+IF(AA823="",0,AA823*サマリー!$B$12)</f>
        <v>0</v>
      </c>
      <c r="E823" s="27">
        <f t="shared" si="24"/>
        <v>0</v>
      </c>
      <c r="I823" s="30"/>
      <c r="J823" s="30"/>
      <c r="K823" s="30"/>
      <c r="L823" s="30"/>
      <c r="M823" s="30"/>
      <c r="N823" s="30"/>
      <c r="O823" s="30"/>
      <c r="P823" s="30"/>
      <c r="Q823" s="31"/>
      <c r="R823" s="31"/>
      <c r="S823" s="31"/>
      <c r="T823" s="32"/>
      <c r="U823" s="32"/>
      <c r="V823" s="32"/>
      <c r="W823" s="32"/>
      <c r="X823" s="32"/>
      <c r="Y823" s="33"/>
      <c r="Z823" s="33"/>
      <c r="AA823" s="33"/>
    </row>
    <row r="824" spans="1:27">
      <c r="A824" s="29"/>
      <c r="B824" s="19">
        <f t="shared" si="25"/>
        <v>46327</v>
      </c>
      <c r="C824" s="27">
        <f>I824+J824+K824+L824+M824+N824+O824+P824+IF(Q824="",0,Q824*サマリー!$B$9)+IF(R824="",0,IF(R824=200,サマリー!$B$10,IF(R824=100,サマリー!$B$11,0)))+IF(S824="",0,S824*サマリー!$B$12)</f>
        <v>0</v>
      </c>
      <c r="D824" s="27">
        <f>T824+U824+V824+W824+X824+IF(Y824="",0,Y824*サマリー!$B$9)+IF(Z824="",0,IF(Z824=200,サマリー!$B$10,IF(Z824=100,サマリー!$B$11,0)))+IF(AA824="",0,AA824*サマリー!$B$12)</f>
        <v>0</v>
      </c>
      <c r="E824" s="27">
        <f t="shared" si="24"/>
        <v>0</v>
      </c>
      <c r="I824" s="30"/>
      <c r="J824" s="30"/>
      <c r="K824" s="30"/>
      <c r="L824" s="30"/>
      <c r="M824" s="30"/>
      <c r="N824" s="30"/>
      <c r="O824" s="30"/>
      <c r="P824" s="30"/>
      <c r="Q824" s="31"/>
      <c r="R824" s="31"/>
      <c r="S824" s="31"/>
      <c r="T824" s="32"/>
      <c r="U824" s="32"/>
      <c r="V824" s="32"/>
      <c r="W824" s="32"/>
      <c r="X824" s="32"/>
      <c r="Y824" s="33"/>
      <c r="Z824" s="33"/>
      <c r="AA824" s="33"/>
    </row>
    <row r="825" spans="1:27">
      <c r="A825" s="29"/>
      <c r="B825" s="19">
        <f t="shared" si="25"/>
        <v>46327</v>
      </c>
      <c r="C825" s="27">
        <f>I825+J825+K825+L825+M825+N825+O825+P825+IF(Q825="",0,Q825*サマリー!$B$9)+IF(R825="",0,IF(R825=200,サマリー!$B$10,IF(R825=100,サマリー!$B$11,0)))+IF(S825="",0,S825*サマリー!$B$12)</f>
        <v>0</v>
      </c>
      <c r="D825" s="27">
        <f>T825+U825+V825+W825+X825+IF(Y825="",0,Y825*サマリー!$B$9)+IF(Z825="",0,IF(Z825=200,サマリー!$B$10,IF(Z825=100,サマリー!$B$11,0)))+IF(AA825="",0,AA825*サマリー!$B$12)</f>
        <v>0</v>
      </c>
      <c r="E825" s="27">
        <f t="shared" si="24"/>
        <v>0</v>
      </c>
      <c r="I825" s="30"/>
      <c r="J825" s="30"/>
      <c r="K825" s="30"/>
      <c r="L825" s="30"/>
      <c r="M825" s="30"/>
      <c r="N825" s="30"/>
      <c r="O825" s="30"/>
      <c r="P825" s="30"/>
      <c r="Q825" s="31"/>
      <c r="R825" s="31"/>
      <c r="S825" s="31"/>
      <c r="T825" s="32"/>
      <c r="U825" s="32"/>
      <c r="V825" s="32"/>
      <c r="W825" s="32"/>
      <c r="X825" s="32"/>
      <c r="Y825" s="33"/>
      <c r="Z825" s="33"/>
      <c r="AA825" s="33"/>
    </row>
    <row r="826" spans="1:27">
      <c r="A826" s="29"/>
      <c r="B826" s="19">
        <f t="shared" si="25"/>
        <v>46327</v>
      </c>
      <c r="C826" s="27">
        <f>I826+J826+K826+L826+M826+N826+O826+P826+IF(Q826="",0,Q826*サマリー!$B$9)+IF(R826="",0,IF(R826=200,サマリー!$B$10,IF(R826=100,サマリー!$B$11,0)))+IF(S826="",0,S826*サマリー!$B$12)</f>
        <v>0</v>
      </c>
      <c r="D826" s="27">
        <f>T826+U826+V826+W826+X826+IF(Y826="",0,Y826*サマリー!$B$9)+IF(Z826="",0,IF(Z826=200,サマリー!$B$10,IF(Z826=100,サマリー!$B$11,0)))+IF(AA826="",0,AA826*サマリー!$B$12)</f>
        <v>0</v>
      </c>
      <c r="E826" s="27">
        <f t="shared" si="24"/>
        <v>0</v>
      </c>
      <c r="I826" s="30"/>
      <c r="J826" s="30"/>
      <c r="K826" s="30"/>
      <c r="L826" s="30"/>
      <c r="M826" s="30"/>
      <c r="N826" s="30"/>
      <c r="O826" s="30"/>
      <c r="P826" s="30"/>
      <c r="Q826" s="31"/>
      <c r="R826" s="31"/>
      <c r="S826" s="31"/>
      <c r="T826" s="32"/>
      <c r="U826" s="32"/>
      <c r="V826" s="32"/>
      <c r="W826" s="32"/>
      <c r="X826" s="32"/>
      <c r="Y826" s="33"/>
      <c r="Z826" s="33"/>
      <c r="AA826" s="33"/>
    </row>
    <row r="827" spans="1:27">
      <c r="A827" s="29"/>
      <c r="B827" s="19">
        <f t="shared" si="25"/>
        <v>46327</v>
      </c>
      <c r="C827" s="27">
        <f>I827+J827+K827+L827+M827+N827+O827+P827+IF(Q827="",0,Q827*サマリー!$B$9)+IF(R827="",0,IF(R827=200,サマリー!$B$10,IF(R827=100,サマリー!$B$11,0)))+IF(S827="",0,S827*サマリー!$B$12)</f>
        <v>0</v>
      </c>
      <c r="D827" s="27">
        <f>T827+U827+V827+W827+X827+IF(Y827="",0,Y827*サマリー!$B$9)+IF(Z827="",0,IF(Z827=200,サマリー!$B$10,IF(Z827=100,サマリー!$B$11,0)))+IF(AA827="",0,AA827*サマリー!$B$12)</f>
        <v>0</v>
      </c>
      <c r="E827" s="27">
        <f t="shared" si="24"/>
        <v>0</v>
      </c>
      <c r="I827" s="30"/>
      <c r="J827" s="30"/>
      <c r="K827" s="30"/>
      <c r="L827" s="30"/>
      <c r="M827" s="30"/>
      <c r="N827" s="30"/>
      <c r="O827" s="30"/>
      <c r="P827" s="30"/>
      <c r="Q827" s="31"/>
      <c r="R827" s="31"/>
      <c r="S827" s="31"/>
      <c r="T827" s="32"/>
      <c r="U827" s="32"/>
      <c r="V827" s="32"/>
      <c r="W827" s="32"/>
      <c r="X827" s="32"/>
      <c r="Y827" s="33"/>
      <c r="Z827" s="33"/>
      <c r="AA827" s="33"/>
    </row>
    <row r="828" spans="1:27">
      <c r="A828" s="29"/>
      <c r="B828" s="19">
        <f t="shared" si="25"/>
        <v>46327</v>
      </c>
      <c r="C828" s="27">
        <f>I828+J828+K828+L828+M828+N828+O828+P828+IF(Q828="",0,Q828*サマリー!$B$9)+IF(R828="",0,IF(R828=200,サマリー!$B$10,IF(R828=100,サマリー!$B$11,0)))+IF(S828="",0,S828*サマリー!$B$12)</f>
        <v>0</v>
      </c>
      <c r="D828" s="27">
        <f>T828+U828+V828+W828+X828+IF(Y828="",0,Y828*サマリー!$B$9)+IF(Z828="",0,IF(Z828=200,サマリー!$B$10,IF(Z828=100,サマリー!$B$11,0)))+IF(AA828="",0,AA828*サマリー!$B$12)</f>
        <v>0</v>
      </c>
      <c r="E828" s="27">
        <f t="shared" si="24"/>
        <v>0</v>
      </c>
      <c r="I828" s="30"/>
      <c r="J828" s="30"/>
      <c r="K828" s="30"/>
      <c r="L828" s="30"/>
      <c r="M828" s="30"/>
      <c r="N828" s="30"/>
      <c r="O828" s="30"/>
      <c r="P828" s="30"/>
      <c r="Q828" s="31"/>
      <c r="R828" s="31"/>
      <c r="S828" s="31"/>
      <c r="T828" s="32"/>
      <c r="U828" s="32"/>
      <c r="V828" s="32"/>
      <c r="W828" s="32"/>
      <c r="X828" s="32"/>
      <c r="Y828" s="33"/>
      <c r="Z828" s="33"/>
      <c r="AA828" s="33"/>
    </row>
    <row r="829" spans="1:27">
      <c r="A829" s="29"/>
      <c r="B829" s="19">
        <f t="shared" si="25"/>
        <v>46327</v>
      </c>
      <c r="C829" s="27">
        <f>I829+J829+K829+L829+M829+N829+O829+P829+IF(Q829="",0,Q829*サマリー!$B$9)+IF(R829="",0,IF(R829=200,サマリー!$B$10,IF(R829=100,サマリー!$B$11,0)))+IF(S829="",0,S829*サマリー!$B$12)</f>
        <v>0</v>
      </c>
      <c r="D829" s="27">
        <f>T829+U829+V829+W829+X829+IF(Y829="",0,Y829*サマリー!$B$9)+IF(Z829="",0,IF(Z829=200,サマリー!$B$10,IF(Z829=100,サマリー!$B$11,0)))+IF(AA829="",0,AA829*サマリー!$B$12)</f>
        <v>0</v>
      </c>
      <c r="E829" s="27">
        <f t="shared" si="24"/>
        <v>0</v>
      </c>
      <c r="I829" s="30"/>
      <c r="J829" s="30"/>
      <c r="K829" s="30"/>
      <c r="L829" s="30"/>
      <c r="M829" s="30"/>
      <c r="N829" s="30"/>
      <c r="O829" s="30"/>
      <c r="P829" s="30"/>
      <c r="Q829" s="31"/>
      <c r="R829" s="31"/>
      <c r="S829" s="31"/>
      <c r="T829" s="32"/>
      <c r="U829" s="32"/>
      <c r="V829" s="32"/>
      <c r="W829" s="32"/>
      <c r="X829" s="32"/>
      <c r="Y829" s="33"/>
      <c r="Z829" s="33"/>
      <c r="AA829" s="33"/>
    </row>
    <row r="830" spans="1:27">
      <c r="A830" s="29"/>
      <c r="B830" s="19">
        <f t="shared" si="25"/>
        <v>46327</v>
      </c>
      <c r="C830" s="27">
        <f>I830+J830+K830+L830+M830+N830+O830+P830+IF(Q830="",0,Q830*サマリー!$B$9)+IF(R830="",0,IF(R830=200,サマリー!$B$10,IF(R830=100,サマリー!$B$11,0)))+IF(S830="",0,S830*サマリー!$B$12)</f>
        <v>0</v>
      </c>
      <c r="D830" s="27">
        <f>T830+U830+V830+W830+X830+IF(Y830="",0,Y830*サマリー!$B$9)+IF(Z830="",0,IF(Z830=200,サマリー!$B$10,IF(Z830=100,サマリー!$B$11,0)))+IF(AA830="",0,AA830*サマリー!$B$12)</f>
        <v>0</v>
      </c>
      <c r="E830" s="27">
        <f t="shared" si="24"/>
        <v>0</v>
      </c>
      <c r="I830" s="30"/>
      <c r="J830" s="30"/>
      <c r="K830" s="30"/>
      <c r="L830" s="30"/>
      <c r="M830" s="30"/>
      <c r="N830" s="30"/>
      <c r="O830" s="30"/>
      <c r="P830" s="30"/>
      <c r="Q830" s="31"/>
      <c r="R830" s="31"/>
      <c r="S830" s="31"/>
      <c r="T830" s="32"/>
      <c r="U830" s="32"/>
      <c r="V830" s="32"/>
      <c r="W830" s="32"/>
      <c r="X830" s="32"/>
      <c r="Y830" s="33"/>
      <c r="Z830" s="33"/>
      <c r="AA830" s="33"/>
    </row>
    <row r="831" spans="1:27">
      <c r="A831" s="29"/>
      <c r="B831" s="19">
        <f t="shared" si="25"/>
        <v>46327</v>
      </c>
      <c r="C831" s="27">
        <f>I831+J831+K831+L831+M831+N831+O831+P831+IF(Q831="",0,Q831*サマリー!$B$9)+IF(R831="",0,IF(R831=200,サマリー!$B$10,IF(R831=100,サマリー!$B$11,0)))+IF(S831="",0,S831*サマリー!$B$12)</f>
        <v>0</v>
      </c>
      <c r="D831" s="27">
        <f>T831+U831+V831+W831+X831+IF(Y831="",0,Y831*サマリー!$B$9)+IF(Z831="",0,IF(Z831=200,サマリー!$B$10,IF(Z831=100,サマリー!$B$11,0)))+IF(AA831="",0,AA831*サマリー!$B$12)</f>
        <v>0</v>
      </c>
      <c r="E831" s="27">
        <f t="shared" si="24"/>
        <v>0</v>
      </c>
      <c r="I831" s="30"/>
      <c r="J831" s="30"/>
      <c r="K831" s="30"/>
      <c r="L831" s="30"/>
      <c r="M831" s="30"/>
      <c r="N831" s="30"/>
      <c r="O831" s="30"/>
      <c r="P831" s="30"/>
      <c r="Q831" s="31"/>
      <c r="R831" s="31"/>
      <c r="S831" s="31"/>
      <c r="T831" s="32"/>
      <c r="U831" s="32"/>
      <c r="V831" s="32"/>
      <c r="W831" s="32"/>
      <c r="X831" s="32"/>
      <c r="Y831" s="33"/>
      <c r="Z831" s="33"/>
      <c r="AA831" s="33"/>
    </row>
    <row r="832" spans="1:27">
      <c r="A832" s="29"/>
      <c r="B832" s="19">
        <f t="shared" si="25"/>
        <v>46327</v>
      </c>
      <c r="C832" s="27">
        <f>I832+J832+K832+L832+M832+N832+O832+P832+IF(Q832="",0,Q832*サマリー!$B$9)+IF(R832="",0,IF(R832=200,サマリー!$B$10,IF(R832=100,サマリー!$B$11,0)))+IF(S832="",0,S832*サマリー!$B$12)</f>
        <v>0</v>
      </c>
      <c r="D832" s="27">
        <f>T832+U832+V832+W832+X832+IF(Y832="",0,Y832*サマリー!$B$9)+IF(Z832="",0,IF(Z832=200,サマリー!$B$10,IF(Z832=100,サマリー!$B$11,0)))+IF(AA832="",0,AA832*サマリー!$B$12)</f>
        <v>0</v>
      </c>
      <c r="E832" s="27">
        <f t="shared" si="24"/>
        <v>0</v>
      </c>
      <c r="I832" s="30"/>
      <c r="J832" s="30"/>
      <c r="K832" s="30"/>
      <c r="L832" s="30"/>
      <c r="M832" s="30"/>
      <c r="N832" s="30"/>
      <c r="O832" s="30"/>
      <c r="P832" s="30"/>
      <c r="Q832" s="31"/>
      <c r="R832" s="31"/>
      <c r="S832" s="31"/>
      <c r="T832" s="32"/>
      <c r="U832" s="32"/>
      <c r="V832" s="32"/>
      <c r="W832" s="32"/>
      <c r="X832" s="32"/>
      <c r="Y832" s="33"/>
      <c r="Z832" s="33"/>
      <c r="AA832" s="33"/>
    </row>
    <row r="833" spans="1:27">
      <c r="A833" s="29"/>
      <c r="B833" s="19">
        <f t="shared" si="25"/>
        <v>46327</v>
      </c>
      <c r="C833" s="27">
        <f>I833+J833+K833+L833+M833+N833+O833+P833+IF(Q833="",0,Q833*サマリー!$B$9)+IF(R833="",0,IF(R833=200,サマリー!$B$10,IF(R833=100,サマリー!$B$11,0)))+IF(S833="",0,S833*サマリー!$B$12)</f>
        <v>0</v>
      </c>
      <c r="D833" s="27">
        <f>T833+U833+V833+W833+X833+IF(Y833="",0,Y833*サマリー!$B$9)+IF(Z833="",0,IF(Z833=200,サマリー!$B$10,IF(Z833=100,サマリー!$B$11,0)))+IF(AA833="",0,AA833*サマリー!$B$12)</f>
        <v>0</v>
      </c>
      <c r="E833" s="27">
        <f t="shared" si="24"/>
        <v>0</v>
      </c>
      <c r="I833" s="30"/>
      <c r="J833" s="30"/>
      <c r="K833" s="30"/>
      <c r="L833" s="30"/>
      <c r="M833" s="30"/>
      <c r="N833" s="30"/>
      <c r="O833" s="30"/>
      <c r="P833" s="30"/>
      <c r="Q833" s="31"/>
      <c r="R833" s="31"/>
      <c r="S833" s="31"/>
      <c r="T833" s="32"/>
      <c r="U833" s="32"/>
      <c r="V833" s="32"/>
      <c r="W833" s="32"/>
      <c r="X833" s="32"/>
      <c r="Y833" s="33"/>
      <c r="Z833" s="33"/>
      <c r="AA833" s="33"/>
    </row>
    <row r="834" spans="1:27">
      <c r="A834" s="29"/>
      <c r="B834" s="19">
        <f t="shared" si="25"/>
        <v>46327</v>
      </c>
      <c r="C834" s="27">
        <f>I834+J834+K834+L834+M834+N834+O834+P834+IF(Q834="",0,Q834*サマリー!$B$9)+IF(R834="",0,IF(R834=200,サマリー!$B$10,IF(R834=100,サマリー!$B$11,0)))+IF(S834="",0,S834*サマリー!$B$12)</f>
        <v>0</v>
      </c>
      <c r="D834" s="27">
        <f>T834+U834+V834+W834+X834+IF(Y834="",0,Y834*サマリー!$B$9)+IF(Z834="",0,IF(Z834=200,サマリー!$B$10,IF(Z834=100,サマリー!$B$11,0)))+IF(AA834="",0,AA834*サマリー!$B$12)</f>
        <v>0</v>
      </c>
      <c r="E834" s="27">
        <f t="shared" si="24"/>
        <v>0</v>
      </c>
      <c r="I834" s="30"/>
      <c r="J834" s="30"/>
      <c r="K834" s="30"/>
      <c r="L834" s="30"/>
      <c r="M834" s="30"/>
      <c r="N834" s="30"/>
      <c r="O834" s="30"/>
      <c r="P834" s="30"/>
      <c r="Q834" s="31"/>
      <c r="R834" s="31"/>
      <c r="S834" s="31"/>
      <c r="T834" s="32"/>
      <c r="U834" s="32"/>
      <c r="V834" s="32"/>
      <c r="W834" s="32"/>
      <c r="X834" s="32"/>
      <c r="Y834" s="33"/>
      <c r="Z834" s="33"/>
      <c r="AA834" s="33"/>
    </row>
    <row r="835" spans="1:27">
      <c r="A835" s="29"/>
      <c r="B835" s="19">
        <f t="shared" si="25"/>
        <v>46327</v>
      </c>
      <c r="C835" s="27">
        <f>I835+J835+K835+L835+M835+N835+O835+P835+IF(Q835="",0,Q835*サマリー!$B$9)+IF(R835="",0,IF(R835=200,サマリー!$B$10,IF(R835=100,サマリー!$B$11,0)))+IF(S835="",0,S835*サマリー!$B$12)</f>
        <v>0</v>
      </c>
      <c r="D835" s="27">
        <f>T835+U835+V835+W835+X835+IF(Y835="",0,Y835*サマリー!$B$9)+IF(Z835="",0,IF(Z835=200,サマリー!$B$10,IF(Z835=100,サマリー!$B$11,0)))+IF(AA835="",0,AA835*サマリー!$B$12)</f>
        <v>0</v>
      </c>
      <c r="E835" s="27">
        <f t="shared" si="24"/>
        <v>0</v>
      </c>
      <c r="I835" s="30"/>
      <c r="J835" s="30"/>
      <c r="K835" s="30"/>
      <c r="L835" s="30"/>
      <c r="M835" s="30"/>
      <c r="N835" s="30"/>
      <c r="O835" s="30"/>
      <c r="P835" s="30"/>
      <c r="Q835" s="31"/>
      <c r="R835" s="31"/>
      <c r="S835" s="31"/>
      <c r="T835" s="32"/>
      <c r="U835" s="32"/>
      <c r="V835" s="32"/>
      <c r="W835" s="32"/>
      <c r="X835" s="32"/>
      <c r="Y835" s="33"/>
      <c r="Z835" s="33"/>
      <c r="AA835" s="33"/>
    </row>
    <row r="836" spans="1:27">
      <c r="A836" s="29"/>
      <c r="B836" s="19">
        <f t="shared" si="25"/>
        <v>46327</v>
      </c>
      <c r="C836" s="27">
        <f>I836+J836+K836+L836+M836+N836+O836+P836+IF(Q836="",0,Q836*サマリー!$B$9)+IF(R836="",0,IF(R836=200,サマリー!$B$10,IF(R836=100,サマリー!$B$11,0)))+IF(S836="",0,S836*サマリー!$B$12)</f>
        <v>0</v>
      </c>
      <c r="D836" s="27">
        <f>T836+U836+V836+W836+X836+IF(Y836="",0,Y836*サマリー!$B$9)+IF(Z836="",0,IF(Z836=200,サマリー!$B$10,IF(Z836=100,サマリー!$B$11,0)))+IF(AA836="",0,AA836*サマリー!$B$12)</f>
        <v>0</v>
      </c>
      <c r="E836" s="27">
        <f t="shared" si="24"/>
        <v>0</v>
      </c>
      <c r="I836" s="30"/>
      <c r="J836" s="30"/>
      <c r="K836" s="30"/>
      <c r="L836" s="30"/>
      <c r="M836" s="30"/>
      <c r="N836" s="30"/>
      <c r="O836" s="30"/>
      <c r="P836" s="30"/>
      <c r="Q836" s="31"/>
      <c r="R836" s="31"/>
      <c r="S836" s="31"/>
      <c r="T836" s="32"/>
      <c r="U836" s="32"/>
      <c r="V836" s="32"/>
      <c r="W836" s="32"/>
      <c r="X836" s="32"/>
      <c r="Y836" s="33"/>
      <c r="Z836" s="33"/>
      <c r="AA836" s="33"/>
    </row>
    <row r="837" spans="1:27">
      <c r="A837" s="29"/>
      <c r="B837" s="19">
        <f t="shared" si="25"/>
        <v>46327</v>
      </c>
      <c r="C837" s="27">
        <f>I837+J837+K837+L837+M837+N837+O837+P837+IF(Q837="",0,Q837*サマリー!$B$9)+IF(R837="",0,IF(R837=200,サマリー!$B$10,IF(R837=100,サマリー!$B$11,0)))+IF(S837="",0,S837*サマリー!$B$12)</f>
        <v>0</v>
      </c>
      <c r="D837" s="27">
        <f>T837+U837+V837+W837+X837+IF(Y837="",0,Y837*サマリー!$B$9)+IF(Z837="",0,IF(Z837=200,サマリー!$B$10,IF(Z837=100,サマリー!$B$11,0)))+IF(AA837="",0,AA837*サマリー!$B$12)</f>
        <v>0</v>
      </c>
      <c r="E837" s="27">
        <f t="shared" si="24"/>
        <v>0</v>
      </c>
      <c r="I837" s="30"/>
      <c r="J837" s="30"/>
      <c r="K837" s="30"/>
      <c r="L837" s="30"/>
      <c r="M837" s="30"/>
      <c r="N837" s="30"/>
      <c r="O837" s="30"/>
      <c r="P837" s="30"/>
      <c r="Q837" s="31"/>
      <c r="R837" s="31"/>
      <c r="S837" s="31"/>
      <c r="T837" s="32"/>
      <c r="U837" s="32"/>
      <c r="V837" s="32"/>
      <c r="W837" s="32"/>
      <c r="X837" s="32"/>
      <c r="Y837" s="33"/>
      <c r="Z837" s="33"/>
      <c r="AA837" s="33"/>
    </row>
    <row r="838" spans="1:27">
      <c r="A838" s="29"/>
      <c r="B838" s="19">
        <f t="shared" si="25"/>
        <v>46327</v>
      </c>
      <c r="C838" s="27">
        <f>I838+J838+K838+L838+M838+N838+O838+P838+IF(Q838="",0,Q838*サマリー!$B$9)+IF(R838="",0,IF(R838=200,サマリー!$B$10,IF(R838=100,サマリー!$B$11,0)))+IF(S838="",0,S838*サマリー!$B$12)</f>
        <v>0</v>
      </c>
      <c r="D838" s="27">
        <f>T838+U838+V838+W838+X838+IF(Y838="",0,Y838*サマリー!$B$9)+IF(Z838="",0,IF(Z838=200,サマリー!$B$10,IF(Z838=100,サマリー!$B$11,0)))+IF(AA838="",0,AA838*サマリー!$B$12)</f>
        <v>0</v>
      </c>
      <c r="E838" s="27">
        <f t="shared" ref="E838:E901" si="26">C838+D838</f>
        <v>0</v>
      </c>
      <c r="I838" s="30"/>
      <c r="J838" s="30"/>
      <c r="K838" s="30"/>
      <c r="L838" s="30"/>
      <c r="M838" s="30"/>
      <c r="N838" s="30"/>
      <c r="O838" s="30"/>
      <c r="P838" s="30"/>
      <c r="Q838" s="31"/>
      <c r="R838" s="31"/>
      <c r="S838" s="31"/>
      <c r="T838" s="32"/>
      <c r="U838" s="32"/>
      <c r="V838" s="32"/>
      <c r="W838" s="32"/>
      <c r="X838" s="32"/>
      <c r="Y838" s="33"/>
      <c r="Z838" s="33"/>
      <c r="AA838" s="33"/>
    </row>
    <row r="839" spans="1:27">
      <c r="A839" s="29"/>
      <c r="B839" s="19">
        <f t="shared" ref="B839:B902" si="27">IF(A839="",B838,IF(A839&lt;DAY(B838),DATE(YEAR(B838),MONTH(B838)+1,A839),DATE(YEAR(B838),MONTH(B838),A839)))</f>
        <v>46327</v>
      </c>
      <c r="C839" s="27">
        <f>I839+J839+K839+L839+M839+N839+O839+P839+IF(Q839="",0,Q839*サマリー!$B$9)+IF(R839="",0,IF(R839=200,サマリー!$B$10,IF(R839=100,サマリー!$B$11,0)))+IF(S839="",0,S839*サマリー!$B$12)</f>
        <v>0</v>
      </c>
      <c r="D839" s="27">
        <f>T839+U839+V839+W839+X839+IF(Y839="",0,Y839*サマリー!$B$9)+IF(Z839="",0,IF(Z839=200,サマリー!$B$10,IF(Z839=100,サマリー!$B$11,0)))+IF(AA839="",0,AA839*サマリー!$B$12)</f>
        <v>0</v>
      </c>
      <c r="E839" s="27">
        <f t="shared" si="26"/>
        <v>0</v>
      </c>
      <c r="I839" s="30"/>
      <c r="J839" s="30"/>
      <c r="K839" s="30"/>
      <c r="L839" s="30"/>
      <c r="M839" s="30"/>
      <c r="N839" s="30"/>
      <c r="O839" s="30"/>
      <c r="P839" s="30"/>
      <c r="Q839" s="31"/>
      <c r="R839" s="31"/>
      <c r="S839" s="31"/>
      <c r="T839" s="32"/>
      <c r="U839" s="32"/>
      <c r="V839" s="32"/>
      <c r="W839" s="32"/>
      <c r="X839" s="32"/>
      <c r="Y839" s="33"/>
      <c r="Z839" s="33"/>
      <c r="AA839" s="33"/>
    </row>
    <row r="840" spans="1:27">
      <c r="A840" s="29"/>
      <c r="B840" s="19">
        <f t="shared" si="27"/>
        <v>46327</v>
      </c>
      <c r="C840" s="27">
        <f>I840+J840+K840+L840+M840+N840+O840+P840+IF(Q840="",0,Q840*サマリー!$B$9)+IF(R840="",0,IF(R840=200,サマリー!$B$10,IF(R840=100,サマリー!$B$11,0)))+IF(S840="",0,S840*サマリー!$B$12)</f>
        <v>0</v>
      </c>
      <c r="D840" s="27">
        <f>T840+U840+V840+W840+X840+IF(Y840="",0,Y840*サマリー!$B$9)+IF(Z840="",0,IF(Z840=200,サマリー!$B$10,IF(Z840=100,サマリー!$B$11,0)))+IF(AA840="",0,AA840*サマリー!$B$12)</f>
        <v>0</v>
      </c>
      <c r="E840" s="27">
        <f t="shared" si="26"/>
        <v>0</v>
      </c>
      <c r="I840" s="30"/>
      <c r="J840" s="30"/>
      <c r="K840" s="30"/>
      <c r="L840" s="30"/>
      <c r="M840" s="30"/>
      <c r="N840" s="30"/>
      <c r="O840" s="30"/>
      <c r="P840" s="30"/>
      <c r="Q840" s="31"/>
      <c r="R840" s="31"/>
      <c r="S840" s="31"/>
      <c r="T840" s="32"/>
      <c r="U840" s="32"/>
      <c r="V840" s="32"/>
      <c r="W840" s="32"/>
      <c r="X840" s="32"/>
      <c r="Y840" s="33"/>
      <c r="Z840" s="33"/>
      <c r="AA840" s="33"/>
    </row>
    <row r="841" spans="1:27">
      <c r="A841" s="29"/>
      <c r="B841" s="19">
        <f t="shared" si="27"/>
        <v>46327</v>
      </c>
      <c r="C841" s="27">
        <f>I841+J841+K841+L841+M841+N841+O841+P841+IF(Q841="",0,Q841*サマリー!$B$9)+IF(R841="",0,IF(R841=200,サマリー!$B$10,IF(R841=100,サマリー!$B$11,0)))+IF(S841="",0,S841*サマリー!$B$12)</f>
        <v>0</v>
      </c>
      <c r="D841" s="27">
        <f>T841+U841+V841+W841+X841+IF(Y841="",0,Y841*サマリー!$B$9)+IF(Z841="",0,IF(Z841=200,サマリー!$B$10,IF(Z841=100,サマリー!$B$11,0)))+IF(AA841="",0,AA841*サマリー!$B$12)</f>
        <v>0</v>
      </c>
      <c r="E841" s="27">
        <f t="shared" si="26"/>
        <v>0</v>
      </c>
      <c r="I841" s="30"/>
      <c r="J841" s="30"/>
      <c r="K841" s="30"/>
      <c r="L841" s="30"/>
      <c r="M841" s="30"/>
      <c r="N841" s="30"/>
      <c r="O841" s="30"/>
      <c r="P841" s="30"/>
      <c r="Q841" s="31"/>
      <c r="R841" s="31"/>
      <c r="S841" s="31"/>
      <c r="T841" s="32"/>
      <c r="U841" s="32"/>
      <c r="V841" s="32"/>
      <c r="W841" s="32"/>
      <c r="X841" s="32"/>
      <c r="Y841" s="33"/>
      <c r="Z841" s="33"/>
      <c r="AA841" s="33"/>
    </row>
    <row r="842" spans="1:27">
      <c r="A842" s="29"/>
      <c r="B842" s="19">
        <f t="shared" si="27"/>
        <v>46327</v>
      </c>
      <c r="C842" s="27">
        <f>I842+J842+K842+L842+M842+N842+O842+P842+IF(Q842="",0,Q842*サマリー!$B$9)+IF(R842="",0,IF(R842=200,サマリー!$B$10,IF(R842=100,サマリー!$B$11,0)))+IF(S842="",0,S842*サマリー!$B$12)</f>
        <v>0</v>
      </c>
      <c r="D842" s="27">
        <f>T842+U842+V842+W842+X842+IF(Y842="",0,Y842*サマリー!$B$9)+IF(Z842="",0,IF(Z842=200,サマリー!$B$10,IF(Z842=100,サマリー!$B$11,0)))+IF(AA842="",0,AA842*サマリー!$B$12)</f>
        <v>0</v>
      </c>
      <c r="E842" s="27">
        <f t="shared" si="26"/>
        <v>0</v>
      </c>
      <c r="I842" s="30"/>
      <c r="J842" s="30"/>
      <c r="K842" s="30"/>
      <c r="L842" s="30"/>
      <c r="M842" s="30"/>
      <c r="N842" s="30"/>
      <c r="O842" s="30"/>
      <c r="P842" s="30"/>
      <c r="Q842" s="31"/>
      <c r="R842" s="31"/>
      <c r="S842" s="31"/>
      <c r="T842" s="32"/>
      <c r="U842" s="32"/>
      <c r="V842" s="32"/>
      <c r="W842" s="32"/>
      <c r="X842" s="32"/>
      <c r="Y842" s="33"/>
      <c r="Z842" s="33"/>
      <c r="AA842" s="33"/>
    </row>
    <row r="843" spans="1:27">
      <c r="A843" s="29"/>
      <c r="B843" s="19">
        <f t="shared" si="27"/>
        <v>46327</v>
      </c>
      <c r="C843" s="27">
        <f>I843+J843+K843+L843+M843+N843+O843+P843+IF(Q843="",0,Q843*サマリー!$B$9)+IF(R843="",0,IF(R843=200,サマリー!$B$10,IF(R843=100,サマリー!$B$11,0)))+IF(S843="",0,S843*サマリー!$B$12)</f>
        <v>0</v>
      </c>
      <c r="D843" s="27">
        <f>T843+U843+V843+W843+X843+IF(Y843="",0,Y843*サマリー!$B$9)+IF(Z843="",0,IF(Z843=200,サマリー!$B$10,IF(Z843=100,サマリー!$B$11,0)))+IF(AA843="",0,AA843*サマリー!$B$12)</f>
        <v>0</v>
      </c>
      <c r="E843" s="27">
        <f t="shared" si="26"/>
        <v>0</v>
      </c>
      <c r="I843" s="30"/>
      <c r="J843" s="30"/>
      <c r="K843" s="30"/>
      <c r="L843" s="30"/>
      <c r="M843" s="30"/>
      <c r="N843" s="30"/>
      <c r="O843" s="30"/>
      <c r="P843" s="30"/>
      <c r="Q843" s="31"/>
      <c r="R843" s="31"/>
      <c r="S843" s="31"/>
      <c r="T843" s="32"/>
      <c r="U843" s="32"/>
      <c r="V843" s="32"/>
      <c r="W843" s="32"/>
      <c r="X843" s="32"/>
      <c r="Y843" s="33"/>
      <c r="Z843" s="33"/>
      <c r="AA843" s="33"/>
    </row>
    <row r="844" spans="1:27">
      <c r="A844" s="29"/>
      <c r="B844" s="19">
        <f t="shared" si="27"/>
        <v>46327</v>
      </c>
      <c r="C844" s="27">
        <f>I844+J844+K844+L844+M844+N844+O844+P844+IF(Q844="",0,Q844*サマリー!$B$9)+IF(R844="",0,IF(R844=200,サマリー!$B$10,IF(R844=100,サマリー!$B$11,0)))+IF(S844="",0,S844*サマリー!$B$12)</f>
        <v>0</v>
      </c>
      <c r="D844" s="27">
        <f>T844+U844+V844+W844+X844+IF(Y844="",0,Y844*サマリー!$B$9)+IF(Z844="",0,IF(Z844=200,サマリー!$B$10,IF(Z844=100,サマリー!$B$11,0)))+IF(AA844="",0,AA844*サマリー!$B$12)</f>
        <v>0</v>
      </c>
      <c r="E844" s="27">
        <f t="shared" si="26"/>
        <v>0</v>
      </c>
      <c r="I844" s="30"/>
      <c r="J844" s="30"/>
      <c r="K844" s="30"/>
      <c r="L844" s="30"/>
      <c r="M844" s="30"/>
      <c r="N844" s="30"/>
      <c r="O844" s="30"/>
      <c r="P844" s="30"/>
      <c r="Q844" s="31"/>
      <c r="R844" s="31"/>
      <c r="S844" s="31"/>
      <c r="T844" s="32"/>
      <c r="U844" s="32"/>
      <c r="V844" s="32"/>
      <c r="W844" s="32"/>
      <c r="X844" s="32"/>
      <c r="Y844" s="33"/>
      <c r="Z844" s="33"/>
      <c r="AA844" s="33"/>
    </row>
    <row r="845" spans="1:27">
      <c r="A845" s="29"/>
      <c r="B845" s="19">
        <f t="shared" si="27"/>
        <v>46327</v>
      </c>
      <c r="C845" s="27">
        <f>I845+J845+K845+L845+M845+N845+O845+P845+IF(Q845="",0,Q845*サマリー!$B$9)+IF(R845="",0,IF(R845=200,サマリー!$B$10,IF(R845=100,サマリー!$B$11,0)))+IF(S845="",0,S845*サマリー!$B$12)</f>
        <v>0</v>
      </c>
      <c r="D845" s="27">
        <f>T845+U845+V845+W845+X845+IF(Y845="",0,Y845*サマリー!$B$9)+IF(Z845="",0,IF(Z845=200,サマリー!$B$10,IF(Z845=100,サマリー!$B$11,0)))+IF(AA845="",0,AA845*サマリー!$B$12)</f>
        <v>0</v>
      </c>
      <c r="E845" s="27">
        <f t="shared" si="26"/>
        <v>0</v>
      </c>
      <c r="I845" s="30"/>
      <c r="J845" s="30"/>
      <c r="K845" s="30"/>
      <c r="L845" s="30"/>
      <c r="M845" s="30"/>
      <c r="N845" s="30"/>
      <c r="O845" s="30"/>
      <c r="P845" s="30"/>
      <c r="Q845" s="31"/>
      <c r="R845" s="31"/>
      <c r="S845" s="31"/>
      <c r="T845" s="32"/>
      <c r="U845" s="32"/>
      <c r="V845" s="32"/>
      <c r="W845" s="32"/>
      <c r="X845" s="32"/>
      <c r="Y845" s="33"/>
      <c r="Z845" s="33"/>
      <c r="AA845" s="33"/>
    </row>
    <row r="846" spans="1:27">
      <c r="A846" s="29"/>
      <c r="B846" s="19">
        <f t="shared" si="27"/>
        <v>46327</v>
      </c>
      <c r="C846" s="27">
        <f>I846+J846+K846+L846+M846+N846+O846+P846+IF(Q846="",0,Q846*サマリー!$B$9)+IF(R846="",0,IF(R846=200,サマリー!$B$10,IF(R846=100,サマリー!$B$11,0)))+IF(S846="",0,S846*サマリー!$B$12)</f>
        <v>0</v>
      </c>
      <c r="D846" s="27">
        <f>T846+U846+V846+W846+X846+IF(Y846="",0,Y846*サマリー!$B$9)+IF(Z846="",0,IF(Z846=200,サマリー!$B$10,IF(Z846=100,サマリー!$B$11,0)))+IF(AA846="",0,AA846*サマリー!$B$12)</f>
        <v>0</v>
      </c>
      <c r="E846" s="27">
        <f t="shared" si="26"/>
        <v>0</v>
      </c>
      <c r="I846" s="30"/>
      <c r="J846" s="30"/>
      <c r="K846" s="30"/>
      <c r="L846" s="30"/>
      <c r="M846" s="30"/>
      <c r="N846" s="30"/>
      <c r="O846" s="30"/>
      <c r="P846" s="30"/>
      <c r="Q846" s="31"/>
      <c r="R846" s="31"/>
      <c r="S846" s="31"/>
      <c r="T846" s="32"/>
      <c r="U846" s="32"/>
      <c r="V846" s="32"/>
      <c r="W846" s="32"/>
      <c r="X846" s="32"/>
      <c r="Y846" s="33"/>
      <c r="Z846" s="33"/>
      <c r="AA846" s="33"/>
    </row>
    <row r="847" spans="1:27">
      <c r="A847" s="29"/>
      <c r="B847" s="19">
        <f t="shared" si="27"/>
        <v>46327</v>
      </c>
      <c r="C847" s="27">
        <f>I847+J847+K847+L847+M847+N847+O847+P847+IF(Q847="",0,Q847*サマリー!$B$9)+IF(R847="",0,IF(R847=200,サマリー!$B$10,IF(R847=100,サマリー!$B$11,0)))+IF(S847="",0,S847*サマリー!$B$12)</f>
        <v>0</v>
      </c>
      <c r="D847" s="27">
        <f>T847+U847+V847+W847+X847+IF(Y847="",0,Y847*サマリー!$B$9)+IF(Z847="",0,IF(Z847=200,サマリー!$B$10,IF(Z847=100,サマリー!$B$11,0)))+IF(AA847="",0,AA847*サマリー!$B$12)</f>
        <v>0</v>
      </c>
      <c r="E847" s="27">
        <f t="shared" si="26"/>
        <v>0</v>
      </c>
      <c r="I847" s="30"/>
      <c r="J847" s="30"/>
      <c r="K847" s="30"/>
      <c r="L847" s="30"/>
      <c r="M847" s="30"/>
      <c r="N847" s="30"/>
      <c r="O847" s="30"/>
      <c r="P847" s="30"/>
      <c r="Q847" s="31"/>
      <c r="R847" s="31"/>
      <c r="S847" s="31"/>
      <c r="T847" s="32"/>
      <c r="U847" s="32"/>
      <c r="V847" s="32"/>
      <c r="W847" s="32"/>
      <c r="X847" s="32"/>
      <c r="Y847" s="33"/>
      <c r="Z847" s="33"/>
      <c r="AA847" s="33"/>
    </row>
    <row r="848" spans="1:27">
      <c r="A848" s="29"/>
      <c r="B848" s="19">
        <f t="shared" si="27"/>
        <v>46327</v>
      </c>
      <c r="C848" s="27">
        <f>I848+J848+K848+L848+M848+N848+O848+P848+IF(Q848="",0,Q848*サマリー!$B$9)+IF(R848="",0,IF(R848=200,サマリー!$B$10,IF(R848=100,サマリー!$B$11,0)))+IF(S848="",0,S848*サマリー!$B$12)</f>
        <v>0</v>
      </c>
      <c r="D848" s="27">
        <f>T848+U848+V848+W848+X848+IF(Y848="",0,Y848*サマリー!$B$9)+IF(Z848="",0,IF(Z848=200,サマリー!$B$10,IF(Z848=100,サマリー!$B$11,0)))+IF(AA848="",0,AA848*サマリー!$B$12)</f>
        <v>0</v>
      </c>
      <c r="E848" s="27">
        <f t="shared" si="26"/>
        <v>0</v>
      </c>
      <c r="I848" s="30"/>
      <c r="J848" s="30"/>
      <c r="K848" s="30"/>
      <c r="L848" s="30"/>
      <c r="M848" s="30"/>
      <c r="N848" s="30"/>
      <c r="O848" s="30"/>
      <c r="P848" s="30"/>
      <c r="Q848" s="31"/>
      <c r="R848" s="31"/>
      <c r="S848" s="31"/>
      <c r="T848" s="32"/>
      <c r="U848" s="32"/>
      <c r="V848" s="32"/>
      <c r="W848" s="32"/>
      <c r="X848" s="32"/>
      <c r="Y848" s="33"/>
      <c r="Z848" s="33"/>
      <c r="AA848" s="33"/>
    </row>
    <row r="849" spans="1:27">
      <c r="A849" s="29"/>
      <c r="B849" s="19">
        <f t="shared" si="27"/>
        <v>46327</v>
      </c>
      <c r="C849" s="27">
        <f>I849+J849+K849+L849+M849+N849+O849+P849+IF(Q849="",0,Q849*サマリー!$B$9)+IF(R849="",0,IF(R849=200,サマリー!$B$10,IF(R849=100,サマリー!$B$11,0)))+IF(S849="",0,S849*サマリー!$B$12)</f>
        <v>0</v>
      </c>
      <c r="D849" s="27">
        <f>T849+U849+V849+W849+X849+IF(Y849="",0,Y849*サマリー!$B$9)+IF(Z849="",0,IF(Z849=200,サマリー!$B$10,IF(Z849=100,サマリー!$B$11,0)))+IF(AA849="",0,AA849*サマリー!$B$12)</f>
        <v>0</v>
      </c>
      <c r="E849" s="27">
        <f t="shared" si="26"/>
        <v>0</v>
      </c>
      <c r="I849" s="30"/>
      <c r="J849" s="30"/>
      <c r="K849" s="30"/>
      <c r="L849" s="30"/>
      <c r="M849" s="30"/>
      <c r="N849" s="30"/>
      <c r="O849" s="30"/>
      <c r="P849" s="30"/>
      <c r="Q849" s="31"/>
      <c r="R849" s="31"/>
      <c r="S849" s="31"/>
      <c r="T849" s="32"/>
      <c r="U849" s="32"/>
      <c r="V849" s="32"/>
      <c r="W849" s="32"/>
      <c r="X849" s="32"/>
      <c r="Y849" s="33"/>
      <c r="Z849" s="33"/>
      <c r="AA849" s="33"/>
    </row>
    <row r="850" spans="1:27">
      <c r="A850" s="29"/>
      <c r="B850" s="19">
        <f t="shared" si="27"/>
        <v>46327</v>
      </c>
      <c r="C850" s="27">
        <f>I850+J850+K850+L850+M850+N850+O850+P850+IF(Q850="",0,Q850*サマリー!$B$9)+IF(R850="",0,IF(R850=200,サマリー!$B$10,IF(R850=100,サマリー!$B$11,0)))+IF(S850="",0,S850*サマリー!$B$12)</f>
        <v>0</v>
      </c>
      <c r="D850" s="27">
        <f>T850+U850+V850+W850+X850+IF(Y850="",0,Y850*サマリー!$B$9)+IF(Z850="",0,IF(Z850=200,サマリー!$B$10,IF(Z850=100,サマリー!$B$11,0)))+IF(AA850="",0,AA850*サマリー!$B$12)</f>
        <v>0</v>
      </c>
      <c r="E850" s="27">
        <f t="shared" si="26"/>
        <v>0</v>
      </c>
      <c r="I850" s="30"/>
      <c r="J850" s="30"/>
      <c r="K850" s="30"/>
      <c r="L850" s="30"/>
      <c r="M850" s="30"/>
      <c r="N850" s="30"/>
      <c r="O850" s="30"/>
      <c r="P850" s="30"/>
      <c r="Q850" s="31"/>
      <c r="R850" s="31"/>
      <c r="S850" s="31"/>
      <c r="T850" s="32"/>
      <c r="U850" s="32"/>
      <c r="V850" s="32"/>
      <c r="W850" s="32"/>
      <c r="X850" s="32"/>
      <c r="Y850" s="33"/>
      <c r="Z850" s="33"/>
      <c r="AA850" s="33"/>
    </row>
    <row r="851" spans="1:27">
      <c r="A851" s="29"/>
      <c r="B851" s="19">
        <f t="shared" si="27"/>
        <v>46327</v>
      </c>
      <c r="C851" s="27">
        <f>I851+J851+K851+L851+M851+N851+O851+P851+IF(Q851="",0,Q851*サマリー!$B$9)+IF(R851="",0,IF(R851=200,サマリー!$B$10,IF(R851=100,サマリー!$B$11,0)))+IF(S851="",0,S851*サマリー!$B$12)</f>
        <v>0</v>
      </c>
      <c r="D851" s="27">
        <f>T851+U851+V851+W851+X851+IF(Y851="",0,Y851*サマリー!$B$9)+IF(Z851="",0,IF(Z851=200,サマリー!$B$10,IF(Z851=100,サマリー!$B$11,0)))+IF(AA851="",0,AA851*サマリー!$B$12)</f>
        <v>0</v>
      </c>
      <c r="E851" s="27">
        <f t="shared" si="26"/>
        <v>0</v>
      </c>
      <c r="I851" s="30"/>
      <c r="J851" s="30"/>
      <c r="K851" s="30"/>
      <c r="L851" s="30"/>
      <c r="M851" s="30"/>
      <c r="N851" s="30"/>
      <c r="O851" s="30"/>
      <c r="P851" s="30"/>
      <c r="Q851" s="31"/>
      <c r="R851" s="31"/>
      <c r="S851" s="31"/>
      <c r="T851" s="32"/>
      <c r="U851" s="32"/>
      <c r="V851" s="32"/>
      <c r="W851" s="32"/>
      <c r="X851" s="32"/>
      <c r="Y851" s="33"/>
      <c r="Z851" s="33"/>
      <c r="AA851" s="33"/>
    </row>
    <row r="852" spans="1:27">
      <c r="A852" s="29"/>
      <c r="B852" s="19">
        <f t="shared" si="27"/>
        <v>46327</v>
      </c>
      <c r="C852" s="27">
        <f>I852+J852+K852+L852+M852+N852+O852+P852+IF(Q852="",0,Q852*サマリー!$B$9)+IF(R852="",0,IF(R852=200,サマリー!$B$10,IF(R852=100,サマリー!$B$11,0)))+IF(S852="",0,S852*サマリー!$B$12)</f>
        <v>0</v>
      </c>
      <c r="D852" s="27">
        <f>T852+U852+V852+W852+X852+IF(Y852="",0,Y852*サマリー!$B$9)+IF(Z852="",0,IF(Z852=200,サマリー!$B$10,IF(Z852=100,サマリー!$B$11,0)))+IF(AA852="",0,AA852*サマリー!$B$12)</f>
        <v>0</v>
      </c>
      <c r="E852" s="27">
        <f t="shared" si="26"/>
        <v>0</v>
      </c>
      <c r="I852" s="30"/>
      <c r="J852" s="30"/>
      <c r="K852" s="30"/>
      <c r="L852" s="30"/>
      <c r="M852" s="30"/>
      <c r="N852" s="30"/>
      <c r="O852" s="30"/>
      <c r="P852" s="30"/>
      <c r="Q852" s="31"/>
      <c r="R852" s="31"/>
      <c r="S852" s="31"/>
      <c r="T852" s="32"/>
      <c r="U852" s="32"/>
      <c r="V852" s="32"/>
      <c r="W852" s="32"/>
      <c r="X852" s="32"/>
      <c r="Y852" s="33"/>
      <c r="Z852" s="33"/>
      <c r="AA852" s="33"/>
    </row>
    <row r="853" spans="1:27">
      <c r="A853" s="29"/>
      <c r="B853" s="19">
        <f t="shared" si="27"/>
        <v>46327</v>
      </c>
      <c r="C853" s="27">
        <f>I853+J853+K853+L853+M853+N853+O853+P853+IF(Q853="",0,Q853*サマリー!$B$9)+IF(R853="",0,IF(R853=200,サマリー!$B$10,IF(R853=100,サマリー!$B$11,0)))+IF(S853="",0,S853*サマリー!$B$12)</f>
        <v>0</v>
      </c>
      <c r="D853" s="27">
        <f>T853+U853+V853+W853+X853+IF(Y853="",0,Y853*サマリー!$B$9)+IF(Z853="",0,IF(Z853=200,サマリー!$B$10,IF(Z853=100,サマリー!$B$11,0)))+IF(AA853="",0,AA853*サマリー!$B$12)</f>
        <v>0</v>
      </c>
      <c r="E853" s="27">
        <f t="shared" si="26"/>
        <v>0</v>
      </c>
      <c r="I853" s="30"/>
      <c r="J853" s="30"/>
      <c r="K853" s="30"/>
      <c r="L853" s="30"/>
      <c r="M853" s="30"/>
      <c r="N853" s="30"/>
      <c r="O853" s="30"/>
      <c r="P853" s="30"/>
      <c r="Q853" s="31"/>
      <c r="R853" s="31"/>
      <c r="S853" s="31"/>
      <c r="T853" s="32"/>
      <c r="U853" s="32"/>
      <c r="V853" s="32"/>
      <c r="W853" s="32"/>
      <c r="X853" s="32"/>
      <c r="Y853" s="33"/>
      <c r="Z853" s="33"/>
      <c r="AA853" s="33"/>
    </row>
    <row r="854" spans="1:27">
      <c r="A854" s="29"/>
      <c r="B854" s="19">
        <f t="shared" si="27"/>
        <v>46327</v>
      </c>
      <c r="C854" s="27">
        <f>I854+J854+K854+L854+M854+N854+O854+P854+IF(Q854="",0,Q854*サマリー!$B$9)+IF(R854="",0,IF(R854=200,サマリー!$B$10,IF(R854=100,サマリー!$B$11,0)))+IF(S854="",0,S854*サマリー!$B$12)</f>
        <v>0</v>
      </c>
      <c r="D854" s="27">
        <f>T854+U854+V854+W854+X854+IF(Y854="",0,Y854*サマリー!$B$9)+IF(Z854="",0,IF(Z854=200,サマリー!$B$10,IF(Z854=100,サマリー!$B$11,0)))+IF(AA854="",0,AA854*サマリー!$B$12)</f>
        <v>0</v>
      </c>
      <c r="E854" s="27">
        <f t="shared" si="26"/>
        <v>0</v>
      </c>
      <c r="I854" s="30"/>
      <c r="J854" s="30"/>
      <c r="K854" s="30"/>
      <c r="L854" s="30"/>
      <c r="M854" s="30"/>
      <c r="N854" s="30"/>
      <c r="O854" s="30"/>
      <c r="P854" s="30"/>
      <c r="Q854" s="31"/>
      <c r="R854" s="31"/>
      <c r="S854" s="31"/>
      <c r="T854" s="32"/>
      <c r="U854" s="32"/>
      <c r="V854" s="32"/>
      <c r="W854" s="32"/>
      <c r="X854" s="32"/>
      <c r="Y854" s="33"/>
      <c r="Z854" s="33"/>
      <c r="AA854" s="33"/>
    </row>
    <row r="855" spans="1:27">
      <c r="A855" s="29"/>
      <c r="B855" s="19">
        <f t="shared" si="27"/>
        <v>46327</v>
      </c>
      <c r="C855" s="27">
        <f>I855+J855+K855+L855+M855+N855+O855+P855+IF(Q855="",0,Q855*サマリー!$B$9)+IF(R855="",0,IF(R855=200,サマリー!$B$10,IF(R855=100,サマリー!$B$11,0)))+IF(S855="",0,S855*サマリー!$B$12)</f>
        <v>0</v>
      </c>
      <c r="D855" s="27">
        <f>T855+U855+V855+W855+X855+IF(Y855="",0,Y855*サマリー!$B$9)+IF(Z855="",0,IF(Z855=200,サマリー!$B$10,IF(Z855=100,サマリー!$B$11,0)))+IF(AA855="",0,AA855*サマリー!$B$12)</f>
        <v>0</v>
      </c>
      <c r="E855" s="27">
        <f t="shared" si="26"/>
        <v>0</v>
      </c>
      <c r="I855" s="30"/>
      <c r="J855" s="30"/>
      <c r="K855" s="30"/>
      <c r="L855" s="30"/>
      <c r="M855" s="30"/>
      <c r="N855" s="30"/>
      <c r="O855" s="30"/>
      <c r="P855" s="30"/>
      <c r="Q855" s="31"/>
      <c r="R855" s="31"/>
      <c r="S855" s="31"/>
      <c r="T855" s="32"/>
      <c r="U855" s="32"/>
      <c r="V855" s="32"/>
      <c r="W855" s="32"/>
      <c r="X855" s="32"/>
      <c r="Y855" s="33"/>
      <c r="Z855" s="33"/>
      <c r="AA855" s="33"/>
    </row>
    <row r="856" spans="1:27">
      <c r="A856" s="29"/>
      <c r="B856" s="19">
        <f t="shared" si="27"/>
        <v>46327</v>
      </c>
      <c r="C856" s="27">
        <f>I856+J856+K856+L856+M856+N856+O856+P856+IF(Q856="",0,Q856*サマリー!$B$9)+IF(R856="",0,IF(R856=200,サマリー!$B$10,IF(R856=100,サマリー!$B$11,0)))+IF(S856="",0,S856*サマリー!$B$12)</f>
        <v>0</v>
      </c>
      <c r="D856" s="27">
        <f>T856+U856+V856+W856+X856+IF(Y856="",0,Y856*サマリー!$B$9)+IF(Z856="",0,IF(Z856=200,サマリー!$B$10,IF(Z856=100,サマリー!$B$11,0)))+IF(AA856="",0,AA856*サマリー!$B$12)</f>
        <v>0</v>
      </c>
      <c r="E856" s="27">
        <f t="shared" si="26"/>
        <v>0</v>
      </c>
      <c r="I856" s="30"/>
      <c r="J856" s="30"/>
      <c r="K856" s="30"/>
      <c r="L856" s="30"/>
      <c r="M856" s="30"/>
      <c r="N856" s="30"/>
      <c r="O856" s="30"/>
      <c r="P856" s="30"/>
      <c r="Q856" s="31"/>
      <c r="R856" s="31"/>
      <c r="S856" s="31"/>
      <c r="T856" s="32"/>
      <c r="U856" s="32"/>
      <c r="V856" s="32"/>
      <c r="W856" s="32"/>
      <c r="X856" s="32"/>
      <c r="Y856" s="33"/>
      <c r="Z856" s="33"/>
      <c r="AA856" s="33"/>
    </row>
    <row r="857" spans="1:27">
      <c r="A857" s="29"/>
      <c r="B857" s="19">
        <f t="shared" si="27"/>
        <v>46327</v>
      </c>
      <c r="C857" s="27">
        <f>I857+J857+K857+L857+M857+N857+O857+P857+IF(Q857="",0,Q857*サマリー!$B$9)+IF(R857="",0,IF(R857=200,サマリー!$B$10,IF(R857=100,サマリー!$B$11,0)))+IF(S857="",0,S857*サマリー!$B$12)</f>
        <v>0</v>
      </c>
      <c r="D857" s="27">
        <f>T857+U857+V857+W857+X857+IF(Y857="",0,Y857*サマリー!$B$9)+IF(Z857="",0,IF(Z857=200,サマリー!$B$10,IF(Z857=100,サマリー!$B$11,0)))+IF(AA857="",0,AA857*サマリー!$B$12)</f>
        <v>0</v>
      </c>
      <c r="E857" s="27">
        <f t="shared" si="26"/>
        <v>0</v>
      </c>
      <c r="I857" s="30"/>
      <c r="J857" s="30"/>
      <c r="K857" s="30"/>
      <c r="L857" s="30"/>
      <c r="M857" s="30"/>
      <c r="N857" s="30"/>
      <c r="O857" s="30"/>
      <c r="P857" s="30"/>
      <c r="Q857" s="31"/>
      <c r="R857" s="31"/>
      <c r="S857" s="31"/>
      <c r="T857" s="32"/>
      <c r="U857" s="32"/>
      <c r="V857" s="32"/>
      <c r="W857" s="32"/>
      <c r="X857" s="32"/>
      <c r="Y857" s="33"/>
      <c r="Z857" s="33"/>
      <c r="AA857" s="33"/>
    </row>
    <row r="858" spans="1:27">
      <c r="A858" s="29"/>
      <c r="B858" s="19">
        <f t="shared" si="27"/>
        <v>46327</v>
      </c>
      <c r="C858" s="27">
        <f>I858+J858+K858+L858+M858+N858+O858+P858+IF(Q858="",0,Q858*サマリー!$B$9)+IF(R858="",0,IF(R858=200,サマリー!$B$10,IF(R858=100,サマリー!$B$11,0)))+IF(S858="",0,S858*サマリー!$B$12)</f>
        <v>0</v>
      </c>
      <c r="D858" s="27">
        <f>T858+U858+V858+W858+X858+IF(Y858="",0,Y858*サマリー!$B$9)+IF(Z858="",0,IF(Z858=200,サマリー!$B$10,IF(Z858=100,サマリー!$B$11,0)))+IF(AA858="",0,AA858*サマリー!$B$12)</f>
        <v>0</v>
      </c>
      <c r="E858" s="27">
        <f t="shared" si="26"/>
        <v>0</v>
      </c>
      <c r="I858" s="30"/>
      <c r="J858" s="30"/>
      <c r="K858" s="30"/>
      <c r="L858" s="30"/>
      <c r="M858" s="30"/>
      <c r="N858" s="30"/>
      <c r="O858" s="30"/>
      <c r="P858" s="30"/>
      <c r="Q858" s="31"/>
      <c r="R858" s="31"/>
      <c r="S858" s="31"/>
      <c r="T858" s="32"/>
      <c r="U858" s="32"/>
      <c r="V858" s="32"/>
      <c r="W858" s="32"/>
      <c r="X858" s="32"/>
      <c r="Y858" s="33"/>
      <c r="Z858" s="33"/>
      <c r="AA858" s="33"/>
    </row>
    <row r="859" spans="1:27">
      <c r="A859" s="29"/>
      <c r="B859" s="19">
        <f t="shared" si="27"/>
        <v>46327</v>
      </c>
      <c r="C859" s="27">
        <f>I859+J859+K859+L859+M859+N859+O859+P859+IF(Q859="",0,Q859*サマリー!$B$9)+IF(R859="",0,IF(R859=200,サマリー!$B$10,IF(R859=100,サマリー!$B$11,0)))+IF(S859="",0,S859*サマリー!$B$12)</f>
        <v>0</v>
      </c>
      <c r="D859" s="27">
        <f>T859+U859+V859+W859+X859+IF(Y859="",0,Y859*サマリー!$B$9)+IF(Z859="",0,IF(Z859=200,サマリー!$B$10,IF(Z859=100,サマリー!$B$11,0)))+IF(AA859="",0,AA859*サマリー!$B$12)</f>
        <v>0</v>
      </c>
      <c r="E859" s="27">
        <f t="shared" si="26"/>
        <v>0</v>
      </c>
      <c r="I859" s="30"/>
      <c r="J859" s="30"/>
      <c r="K859" s="30"/>
      <c r="L859" s="30"/>
      <c r="M859" s="30"/>
      <c r="N859" s="30"/>
      <c r="O859" s="30"/>
      <c r="P859" s="30"/>
      <c r="Q859" s="31"/>
      <c r="R859" s="31"/>
      <c r="S859" s="31"/>
      <c r="T859" s="32"/>
      <c r="U859" s="32"/>
      <c r="V859" s="32"/>
      <c r="W859" s="32"/>
      <c r="X859" s="32"/>
      <c r="Y859" s="33"/>
      <c r="Z859" s="33"/>
      <c r="AA859" s="33"/>
    </row>
    <row r="860" spans="1:27">
      <c r="A860" s="29"/>
      <c r="B860" s="19">
        <f t="shared" si="27"/>
        <v>46327</v>
      </c>
      <c r="C860" s="27">
        <f>I860+J860+K860+L860+M860+N860+O860+P860+IF(Q860="",0,Q860*サマリー!$B$9)+IF(R860="",0,IF(R860=200,サマリー!$B$10,IF(R860=100,サマリー!$B$11,0)))+IF(S860="",0,S860*サマリー!$B$12)</f>
        <v>0</v>
      </c>
      <c r="D860" s="27">
        <f>T860+U860+V860+W860+X860+IF(Y860="",0,Y860*サマリー!$B$9)+IF(Z860="",0,IF(Z860=200,サマリー!$B$10,IF(Z860=100,サマリー!$B$11,0)))+IF(AA860="",0,AA860*サマリー!$B$12)</f>
        <v>0</v>
      </c>
      <c r="E860" s="27">
        <f t="shared" si="26"/>
        <v>0</v>
      </c>
      <c r="I860" s="30"/>
      <c r="J860" s="30"/>
      <c r="K860" s="30"/>
      <c r="L860" s="30"/>
      <c r="M860" s="30"/>
      <c r="N860" s="30"/>
      <c r="O860" s="30"/>
      <c r="P860" s="30"/>
      <c r="Q860" s="31"/>
      <c r="R860" s="31"/>
      <c r="S860" s="31"/>
      <c r="T860" s="32"/>
      <c r="U860" s="32"/>
      <c r="V860" s="32"/>
      <c r="W860" s="32"/>
      <c r="X860" s="32"/>
      <c r="Y860" s="33"/>
      <c r="Z860" s="33"/>
      <c r="AA860" s="33"/>
    </row>
    <row r="861" spans="1:27">
      <c r="A861" s="29"/>
      <c r="B861" s="19">
        <f t="shared" si="27"/>
        <v>46327</v>
      </c>
      <c r="C861" s="27">
        <f>I861+J861+K861+L861+M861+N861+O861+P861+IF(Q861="",0,Q861*サマリー!$B$9)+IF(R861="",0,IF(R861=200,サマリー!$B$10,IF(R861=100,サマリー!$B$11,0)))+IF(S861="",0,S861*サマリー!$B$12)</f>
        <v>0</v>
      </c>
      <c r="D861" s="27">
        <f>T861+U861+V861+W861+X861+IF(Y861="",0,Y861*サマリー!$B$9)+IF(Z861="",0,IF(Z861=200,サマリー!$B$10,IF(Z861=100,サマリー!$B$11,0)))+IF(AA861="",0,AA861*サマリー!$B$12)</f>
        <v>0</v>
      </c>
      <c r="E861" s="27">
        <f t="shared" si="26"/>
        <v>0</v>
      </c>
      <c r="I861" s="30"/>
      <c r="J861" s="30"/>
      <c r="K861" s="30"/>
      <c r="L861" s="30"/>
      <c r="M861" s="30"/>
      <c r="N861" s="30"/>
      <c r="O861" s="30"/>
      <c r="P861" s="30"/>
      <c r="Q861" s="31"/>
      <c r="R861" s="31"/>
      <c r="S861" s="31"/>
      <c r="T861" s="32"/>
      <c r="U861" s="32"/>
      <c r="V861" s="32"/>
      <c r="W861" s="32"/>
      <c r="X861" s="32"/>
      <c r="Y861" s="33"/>
      <c r="Z861" s="33"/>
      <c r="AA861" s="33"/>
    </row>
    <row r="862" spans="1:27">
      <c r="A862" s="29"/>
      <c r="B862" s="19">
        <f t="shared" si="27"/>
        <v>46327</v>
      </c>
      <c r="C862" s="27">
        <f>I862+J862+K862+L862+M862+N862+O862+P862+IF(Q862="",0,Q862*サマリー!$B$9)+IF(R862="",0,IF(R862=200,サマリー!$B$10,IF(R862=100,サマリー!$B$11,0)))+IF(S862="",0,S862*サマリー!$B$12)</f>
        <v>0</v>
      </c>
      <c r="D862" s="27">
        <f>T862+U862+V862+W862+X862+IF(Y862="",0,Y862*サマリー!$B$9)+IF(Z862="",0,IF(Z862=200,サマリー!$B$10,IF(Z862=100,サマリー!$B$11,0)))+IF(AA862="",0,AA862*サマリー!$B$12)</f>
        <v>0</v>
      </c>
      <c r="E862" s="27">
        <f t="shared" si="26"/>
        <v>0</v>
      </c>
      <c r="I862" s="30"/>
      <c r="J862" s="30"/>
      <c r="K862" s="30"/>
      <c r="L862" s="30"/>
      <c r="M862" s="30"/>
      <c r="N862" s="30"/>
      <c r="O862" s="30"/>
      <c r="P862" s="30"/>
      <c r="Q862" s="31"/>
      <c r="R862" s="31"/>
      <c r="S862" s="31"/>
      <c r="T862" s="32"/>
      <c r="U862" s="32"/>
      <c r="V862" s="32"/>
      <c r="W862" s="32"/>
      <c r="X862" s="32"/>
      <c r="Y862" s="33"/>
      <c r="Z862" s="33"/>
      <c r="AA862" s="33"/>
    </row>
    <row r="863" spans="1:27">
      <c r="A863" s="29"/>
      <c r="B863" s="19">
        <f t="shared" si="27"/>
        <v>46327</v>
      </c>
      <c r="C863" s="27">
        <f>I863+J863+K863+L863+M863+N863+O863+P863+IF(Q863="",0,Q863*サマリー!$B$9)+IF(R863="",0,IF(R863=200,サマリー!$B$10,IF(R863=100,サマリー!$B$11,0)))+IF(S863="",0,S863*サマリー!$B$12)</f>
        <v>0</v>
      </c>
      <c r="D863" s="27">
        <f>T863+U863+V863+W863+X863+IF(Y863="",0,Y863*サマリー!$B$9)+IF(Z863="",0,IF(Z863=200,サマリー!$B$10,IF(Z863=100,サマリー!$B$11,0)))+IF(AA863="",0,AA863*サマリー!$B$12)</f>
        <v>0</v>
      </c>
      <c r="E863" s="27">
        <f t="shared" si="26"/>
        <v>0</v>
      </c>
      <c r="I863" s="30"/>
      <c r="J863" s="30"/>
      <c r="K863" s="30"/>
      <c r="L863" s="30"/>
      <c r="M863" s="30"/>
      <c r="N863" s="30"/>
      <c r="O863" s="30"/>
      <c r="P863" s="30"/>
      <c r="Q863" s="31"/>
      <c r="R863" s="31"/>
      <c r="S863" s="31"/>
      <c r="T863" s="32"/>
      <c r="U863" s="32"/>
      <c r="V863" s="32"/>
      <c r="W863" s="32"/>
      <c r="X863" s="32"/>
      <c r="Y863" s="33"/>
      <c r="Z863" s="33"/>
      <c r="AA863" s="33"/>
    </row>
    <row r="864" spans="1:27">
      <c r="A864" s="29"/>
      <c r="B864" s="19">
        <f t="shared" si="27"/>
        <v>46327</v>
      </c>
      <c r="C864" s="27">
        <f>I864+J864+K864+L864+M864+N864+O864+P864+IF(Q864="",0,Q864*サマリー!$B$9)+IF(R864="",0,IF(R864=200,サマリー!$B$10,IF(R864=100,サマリー!$B$11,0)))+IF(S864="",0,S864*サマリー!$B$12)</f>
        <v>0</v>
      </c>
      <c r="D864" s="27">
        <f>T864+U864+V864+W864+X864+IF(Y864="",0,Y864*サマリー!$B$9)+IF(Z864="",0,IF(Z864=200,サマリー!$B$10,IF(Z864=100,サマリー!$B$11,0)))+IF(AA864="",0,AA864*サマリー!$B$12)</f>
        <v>0</v>
      </c>
      <c r="E864" s="27">
        <f t="shared" si="26"/>
        <v>0</v>
      </c>
      <c r="I864" s="30"/>
      <c r="J864" s="30"/>
      <c r="K864" s="30"/>
      <c r="L864" s="30"/>
      <c r="M864" s="30"/>
      <c r="N864" s="30"/>
      <c r="O864" s="30"/>
      <c r="P864" s="30"/>
      <c r="Q864" s="31"/>
      <c r="R864" s="31"/>
      <c r="S864" s="31"/>
      <c r="T864" s="32"/>
      <c r="U864" s="32"/>
      <c r="V864" s="32"/>
      <c r="W864" s="32"/>
      <c r="X864" s="32"/>
      <c r="Y864" s="33"/>
      <c r="Z864" s="33"/>
      <c r="AA864" s="33"/>
    </row>
    <row r="865" spans="1:27">
      <c r="A865" s="29"/>
      <c r="B865" s="19">
        <f t="shared" si="27"/>
        <v>46327</v>
      </c>
      <c r="C865" s="27">
        <f>I865+J865+K865+L865+M865+N865+O865+P865+IF(Q865="",0,Q865*サマリー!$B$9)+IF(R865="",0,IF(R865=200,サマリー!$B$10,IF(R865=100,サマリー!$B$11,0)))+IF(S865="",0,S865*サマリー!$B$12)</f>
        <v>0</v>
      </c>
      <c r="D865" s="27">
        <f>T865+U865+V865+W865+X865+IF(Y865="",0,Y865*サマリー!$B$9)+IF(Z865="",0,IF(Z865=200,サマリー!$B$10,IF(Z865=100,サマリー!$B$11,0)))+IF(AA865="",0,AA865*サマリー!$B$12)</f>
        <v>0</v>
      </c>
      <c r="E865" s="27">
        <f t="shared" si="26"/>
        <v>0</v>
      </c>
      <c r="I865" s="30"/>
      <c r="J865" s="30"/>
      <c r="K865" s="30"/>
      <c r="L865" s="30"/>
      <c r="M865" s="30"/>
      <c r="N865" s="30"/>
      <c r="O865" s="30"/>
      <c r="P865" s="30"/>
      <c r="Q865" s="31"/>
      <c r="R865" s="31"/>
      <c r="S865" s="31"/>
      <c r="T865" s="32"/>
      <c r="U865" s="32"/>
      <c r="V865" s="32"/>
      <c r="W865" s="32"/>
      <c r="X865" s="32"/>
      <c r="Y865" s="33"/>
      <c r="Z865" s="33"/>
      <c r="AA865" s="33"/>
    </row>
    <row r="866" spans="1:27">
      <c r="A866" s="29"/>
      <c r="B866" s="19">
        <f t="shared" si="27"/>
        <v>46327</v>
      </c>
      <c r="C866" s="27">
        <f>I866+J866+K866+L866+M866+N866+O866+P866+IF(Q866="",0,Q866*サマリー!$B$9)+IF(R866="",0,IF(R866=200,サマリー!$B$10,IF(R866=100,サマリー!$B$11,0)))+IF(S866="",0,S866*サマリー!$B$12)</f>
        <v>0</v>
      </c>
      <c r="D866" s="27">
        <f>T866+U866+V866+W866+X866+IF(Y866="",0,Y866*サマリー!$B$9)+IF(Z866="",0,IF(Z866=200,サマリー!$B$10,IF(Z866=100,サマリー!$B$11,0)))+IF(AA866="",0,AA866*サマリー!$B$12)</f>
        <v>0</v>
      </c>
      <c r="E866" s="27">
        <f t="shared" si="26"/>
        <v>0</v>
      </c>
      <c r="I866" s="30"/>
      <c r="J866" s="30"/>
      <c r="K866" s="30"/>
      <c r="L866" s="30"/>
      <c r="M866" s="30"/>
      <c r="N866" s="30"/>
      <c r="O866" s="30"/>
      <c r="P866" s="30"/>
      <c r="Q866" s="31"/>
      <c r="R866" s="31"/>
      <c r="S866" s="31"/>
      <c r="T866" s="32"/>
      <c r="U866" s="32"/>
      <c r="V866" s="32"/>
      <c r="W866" s="32"/>
      <c r="X866" s="32"/>
      <c r="Y866" s="33"/>
      <c r="Z866" s="33"/>
      <c r="AA866" s="33"/>
    </row>
    <row r="867" spans="1:27">
      <c r="A867" s="29"/>
      <c r="B867" s="19">
        <f t="shared" si="27"/>
        <v>46327</v>
      </c>
      <c r="C867" s="27">
        <f>I867+J867+K867+L867+M867+N867+O867+P867+IF(Q867="",0,Q867*サマリー!$B$9)+IF(R867="",0,IF(R867=200,サマリー!$B$10,IF(R867=100,サマリー!$B$11,0)))+IF(S867="",0,S867*サマリー!$B$12)</f>
        <v>0</v>
      </c>
      <c r="D867" s="27">
        <f>T867+U867+V867+W867+X867+IF(Y867="",0,Y867*サマリー!$B$9)+IF(Z867="",0,IF(Z867=200,サマリー!$B$10,IF(Z867=100,サマリー!$B$11,0)))+IF(AA867="",0,AA867*サマリー!$B$12)</f>
        <v>0</v>
      </c>
      <c r="E867" s="27">
        <f t="shared" si="26"/>
        <v>0</v>
      </c>
      <c r="I867" s="30"/>
      <c r="J867" s="30"/>
      <c r="K867" s="30"/>
      <c r="L867" s="30"/>
      <c r="M867" s="30"/>
      <c r="N867" s="30"/>
      <c r="O867" s="30"/>
      <c r="P867" s="30"/>
      <c r="Q867" s="31"/>
      <c r="R867" s="31"/>
      <c r="S867" s="31"/>
      <c r="T867" s="32"/>
      <c r="U867" s="32"/>
      <c r="V867" s="32"/>
      <c r="W867" s="32"/>
      <c r="X867" s="32"/>
      <c r="Y867" s="33"/>
      <c r="Z867" s="33"/>
      <c r="AA867" s="33"/>
    </row>
    <row r="868" spans="1:27">
      <c r="A868" s="29"/>
      <c r="B868" s="19">
        <f t="shared" si="27"/>
        <v>46327</v>
      </c>
      <c r="C868" s="27">
        <f>I868+J868+K868+L868+M868+N868+O868+P868+IF(Q868="",0,Q868*サマリー!$B$9)+IF(R868="",0,IF(R868=200,サマリー!$B$10,IF(R868=100,サマリー!$B$11,0)))+IF(S868="",0,S868*サマリー!$B$12)</f>
        <v>0</v>
      </c>
      <c r="D868" s="27">
        <f>T868+U868+V868+W868+X868+IF(Y868="",0,Y868*サマリー!$B$9)+IF(Z868="",0,IF(Z868=200,サマリー!$B$10,IF(Z868=100,サマリー!$B$11,0)))+IF(AA868="",0,AA868*サマリー!$B$12)</f>
        <v>0</v>
      </c>
      <c r="E868" s="27">
        <f t="shared" si="26"/>
        <v>0</v>
      </c>
      <c r="I868" s="30"/>
      <c r="J868" s="30"/>
      <c r="K868" s="30"/>
      <c r="L868" s="30"/>
      <c r="M868" s="30"/>
      <c r="N868" s="30"/>
      <c r="O868" s="30"/>
      <c r="P868" s="30"/>
      <c r="Q868" s="31"/>
      <c r="R868" s="31"/>
      <c r="S868" s="31"/>
      <c r="T868" s="32"/>
      <c r="U868" s="32"/>
      <c r="V868" s="32"/>
      <c r="W868" s="32"/>
      <c r="X868" s="32"/>
      <c r="Y868" s="33"/>
      <c r="Z868" s="33"/>
      <c r="AA868" s="33"/>
    </row>
    <row r="869" spans="1:27">
      <c r="A869" s="29"/>
      <c r="B869" s="19">
        <f t="shared" si="27"/>
        <v>46327</v>
      </c>
      <c r="C869" s="27">
        <f>I869+J869+K869+L869+M869+N869+O869+P869+IF(Q869="",0,Q869*サマリー!$B$9)+IF(R869="",0,IF(R869=200,サマリー!$B$10,IF(R869=100,サマリー!$B$11,0)))+IF(S869="",0,S869*サマリー!$B$12)</f>
        <v>0</v>
      </c>
      <c r="D869" s="27">
        <f>T869+U869+V869+W869+X869+IF(Y869="",0,Y869*サマリー!$B$9)+IF(Z869="",0,IF(Z869=200,サマリー!$B$10,IF(Z869=100,サマリー!$B$11,0)))+IF(AA869="",0,AA869*サマリー!$B$12)</f>
        <v>0</v>
      </c>
      <c r="E869" s="27">
        <f t="shared" si="26"/>
        <v>0</v>
      </c>
      <c r="I869" s="30"/>
      <c r="J869" s="30"/>
      <c r="K869" s="30"/>
      <c r="L869" s="30"/>
      <c r="M869" s="30"/>
      <c r="N869" s="30"/>
      <c r="O869" s="30"/>
      <c r="P869" s="30"/>
      <c r="Q869" s="31"/>
      <c r="R869" s="31"/>
      <c r="S869" s="31"/>
      <c r="T869" s="32"/>
      <c r="U869" s="32"/>
      <c r="V869" s="32"/>
      <c r="W869" s="32"/>
      <c r="X869" s="32"/>
      <c r="Y869" s="33"/>
      <c r="Z869" s="33"/>
      <c r="AA869" s="33"/>
    </row>
    <row r="870" spans="1:27">
      <c r="A870" s="29"/>
      <c r="B870" s="19">
        <f t="shared" si="27"/>
        <v>46327</v>
      </c>
      <c r="C870" s="27">
        <f>I870+J870+K870+L870+M870+N870+O870+P870+IF(Q870="",0,Q870*サマリー!$B$9)+IF(R870="",0,IF(R870=200,サマリー!$B$10,IF(R870=100,サマリー!$B$11,0)))+IF(S870="",0,S870*サマリー!$B$12)</f>
        <v>0</v>
      </c>
      <c r="D870" s="27">
        <f>T870+U870+V870+W870+X870+IF(Y870="",0,Y870*サマリー!$B$9)+IF(Z870="",0,IF(Z870=200,サマリー!$B$10,IF(Z870=100,サマリー!$B$11,0)))+IF(AA870="",0,AA870*サマリー!$B$12)</f>
        <v>0</v>
      </c>
      <c r="E870" s="27">
        <f t="shared" si="26"/>
        <v>0</v>
      </c>
      <c r="I870" s="30"/>
      <c r="J870" s="30"/>
      <c r="K870" s="30"/>
      <c r="L870" s="30"/>
      <c r="M870" s="30"/>
      <c r="N870" s="30"/>
      <c r="O870" s="30"/>
      <c r="P870" s="30"/>
      <c r="Q870" s="31"/>
      <c r="R870" s="31"/>
      <c r="S870" s="31"/>
      <c r="T870" s="32"/>
      <c r="U870" s="32"/>
      <c r="V870" s="32"/>
      <c r="W870" s="32"/>
      <c r="X870" s="32"/>
      <c r="Y870" s="33"/>
      <c r="Z870" s="33"/>
      <c r="AA870" s="33"/>
    </row>
    <row r="871" spans="1:27">
      <c r="A871" s="29"/>
      <c r="B871" s="19">
        <f t="shared" si="27"/>
        <v>46327</v>
      </c>
      <c r="C871" s="27">
        <f>I871+J871+K871+L871+M871+N871+O871+P871+IF(Q871="",0,Q871*サマリー!$B$9)+IF(R871="",0,IF(R871=200,サマリー!$B$10,IF(R871=100,サマリー!$B$11,0)))+IF(S871="",0,S871*サマリー!$B$12)</f>
        <v>0</v>
      </c>
      <c r="D871" s="27">
        <f>T871+U871+V871+W871+X871+IF(Y871="",0,Y871*サマリー!$B$9)+IF(Z871="",0,IF(Z871=200,サマリー!$B$10,IF(Z871=100,サマリー!$B$11,0)))+IF(AA871="",0,AA871*サマリー!$B$12)</f>
        <v>0</v>
      </c>
      <c r="E871" s="27">
        <f t="shared" si="26"/>
        <v>0</v>
      </c>
      <c r="I871" s="30"/>
      <c r="J871" s="30"/>
      <c r="K871" s="30"/>
      <c r="L871" s="30"/>
      <c r="M871" s="30"/>
      <c r="N871" s="30"/>
      <c r="O871" s="30"/>
      <c r="P871" s="30"/>
      <c r="Q871" s="31"/>
      <c r="R871" s="31"/>
      <c r="S871" s="31"/>
      <c r="T871" s="32"/>
      <c r="U871" s="32"/>
      <c r="V871" s="32"/>
      <c r="W871" s="32"/>
      <c r="X871" s="32"/>
      <c r="Y871" s="33"/>
      <c r="Z871" s="33"/>
      <c r="AA871" s="33"/>
    </row>
    <row r="872" spans="1:27">
      <c r="A872" s="29"/>
      <c r="B872" s="19">
        <f t="shared" si="27"/>
        <v>46327</v>
      </c>
      <c r="C872" s="27">
        <f>I872+J872+K872+L872+M872+N872+O872+P872+IF(Q872="",0,Q872*サマリー!$B$9)+IF(R872="",0,IF(R872=200,サマリー!$B$10,IF(R872=100,サマリー!$B$11,0)))+IF(S872="",0,S872*サマリー!$B$12)</f>
        <v>0</v>
      </c>
      <c r="D872" s="27">
        <f>T872+U872+V872+W872+X872+IF(Y872="",0,Y872*サマリー!$B$9)+IF(Z872="",0,IF(Z872=200,サマリー!$B$10,IF(Z872=100,サマリー!$B$11,0)))+IF(AA872="",0,AA872*サマリー!$B$12)</f>
        <v>0</v>
      </c>
      <c r="E872" s="27">
        <f t="shared" si="26"/>
        <v>0</v>
      </c>
      <c r="I872" s="30"/>
      <c r="J872" s="30"/>
      <c r="K872" s="30"/>
      <c r="L872" s="30"/>
      <c r="M872" s="30"/>
      <c r="N872" s="30"/>
      <c r="O872" s="30"/>
      <c r="P872" s="30"/>
      <c r="Q872" s="31"/>
      <c r="R872" s="31"/>
      <c r="S872" s="31"/>
      <c r="T872" s="32"/>
      <c r="U872" s="32"/>
      <c r="V872" s="32"/>
      <c r="W872" s="32"/>
      <c r="X872" s="32"/>
      <c r="Y872" s="33"/>
      <c r="Z872" s="33"/>
      <c r="AA872" s="33"/>
    </row>
    <row r="873" spans="1:27">
      <c r="A873" s="29"/>
      <c r="B873" s="19">
        <f t="shared" si="27"/>
        <v>46327</v>
      </c>
      <c r="C873" s="27">
        <f>I873+J873+K873+L873+M873+N873+O873+P873+IF(Q873="",0,Q873*サマリー!$B$9)+IF(R873="",0,IF(R873=200,サマリー!$B$10,IF(R873=100,サマリー!$B$11,0)))+IF(S873="",0,S873*サマリー!$B$12)</f>
        <v>0</v>
      </c>
      <c r="D873" s="27">
        <f>T873+U873+V873+W873+X873+IF(Y873="",0,Y873*サマリー!$B$9)+IF(Z873="",0,IF(Z873=200,サマリー!$B$10,IF(Z873=100,サマリー!$B$11,0)))+IF(AA873="",0,AA873*サマリー!$B$12)</f>
        <v>0</v>
      </c>
      <c r="E873" s="27">
        <f t="shared" si="26"/>
        <v>0</v>
      </c>
      <c r="I873" s="30"/>
      <c r="J873" s="30"/>
      <c r="K873" s="30"/>
      <c r="L873" s="30"/>
      <c r="M873" s="30"/>
      <c r="N873" s="30"/>
      <c r="O873" s="30"/>
      <c r="P873" s="30"/>
      <c r="Q873" s="31"/>
      <c r="R873" s="31"/>
      <c r="S873" s="31"/>
      <c r="T873" s="32"/>
      <c r="U873" s="32"/>
      <c r="V873" s="32"/>
      <c r="W873" s="32"/>
      <c r="X873" s="32"/>
      <c r="Y873" s="33"/>
      <c r="Z873" s="33"/>
      <c r="AA873" s="33"/>
    </row>
    <row r="874" spans="1:27">
      <c r="A874" s="29"/>
      <c r="B874" s="19">
        <f t="shared" si="27"/>
        <v>46327</v>
      </c>
      <c r="C874" s="27">
        <f>I874+J874+K874+L874+M874+N874+O874+P874+IF(Q874="",0,Q874*サマリー!$B$9)+IF(R874="",0,IF(R874=200,サマリー!$B$10,IF(R874=100,サマリー!$B$11,0)))+IF(S874="",0,S874*サマリー!$B$12)</f>
        <v>0</v>
      </c>
      <c r="D874" s="27">
        <f>T874+U874+V874+W874+X874+IF(Y874="",0,Y874*サマリー!$B$9)+IF(Z874="",0,IF(Z874=200,サマリー!$B$10,IF(Z874=100,サマリー!$B$11,0)))+IF(AA874="",0,AA874*サマリー!$B$12)</f>
        <v>0</v>
      </c>
      <c r="E874" s="27">
        <f t="shared" si="26"/>
        <v>0</v>
      </c>
      <c r="I874" s="30"/>
      <c r="J874" s="30"/>
      <c r="K874" s="30"/>
      <c r="L874" s="30"/>
      <c r="M874" s="30"/>
      <c r="N874" s="30"/>
      <c r="O874" s="30"/>
      <c r="P874" s="30"/>
      <c r="Q874" s="31"/>
      <c r="R874" s="31"/>
      <c r="S874" s="31"/>
      <c r="T874" s="32"/>
      <c r="U874" s="32"/>
      <c r="V874" s="32"/>
      <c r="W874" s="32"/>
      <c r="X874" s="32"/>
      <c r="Y874" s="33"/>
      <c r="Z874" s="33"/>
      <c r="AA874" s="33"/>
    </row>
    <row r="875" spans="1:27">
      <c r="A875" s="29"/>
      <c r="B875" s="19">
        <f t="shared" si="27"/>
        <v>46327</v>
      </c>
      <c r="C875" s="27">
        <f>I875+J875+K875+L875+M875+N875+O875+P875+IF(Q875="",0,Q875*サマリー!$B$9)+IF(R875="",0,IF(R875=200,サマリー!$B$10,IF(R875=100,サマリー!$B$11,0)))+IF(S875="",0,S875*サマリー!$B$12)</f>
        <v>0</v>
      </c>
      <c r="D875" s="27">
        <f>T875+U875+V875+W875+X875+IF(Y875="",0,Y875*サマリー!$B$9)+IF(Z875="",0,IF(Z875=200,サマリー!$B$10,IF(Z875=100,サマリー!$B$11,0)))+IF(AA875="",0,AA875*サマリー!$B$12)</f>
        <v>0</v>
      </c>
      <c r="E875" s="27">
        <f t="shared" si="26"/>
        <v>0</v>
      </c>
      <c r="I875" s="30"/>
      <c r="J875" s="30"/>
      <c r="K875" s="30"/>
      <c r="L875" s="30"/>
      <c r="M875" s="30"/>
      <c r="N875" s="30"/>
      <c r="O875" s="30"/>
      <c r="P875" s="30"/>
      <c r="Q875" s="31"/>
      <c r="R875" s="31"/>
      <c r="S875" s="31"/>
      <c r="T875" s="32"/>
      <c r="U875" s="32"/>
      <c r="V875" s="32"/>
      <c r="W875" s="32"/>
      <c r="X875" s="32"/>
      <c r="Y875" s="33"/>
      <c r="Z875" s="33"/>
      <c r="AA875" s="33"/>
    </row>
    <row r="876" spans="1:27">
      <c r="A876" s="29"/>
      <c r="B876" s="19">
        <f t="shared" si="27"/>
        <v>46327</v>
      </c>
      <c r="C876" s="27">
        <f>I876+J876+K876+L876+M876+N876+O876+P876+IF(Q876="",0,Q876*サマリー!$B$9)+IF(R876="",0,IF(R876=200,サマリー!$B$10,IF(R876=100,サマリー!$B$11,0)))+IF(S876="",0,S876*サマリー!$B$12)</f>
        <v>0</v>
      </c>
      <c r="D876" s="27">
        <f>T876+U876+V876+W876+X876+IF(Y876="",0,Y876*サマリー!$B$9)+IF(Z876="",0,IF(Z876=200,サマリー!$B$10,IF(Z876=100,サマリー!$B$11,0)))+IF(AA876="",0,AA876*サマリー!$B$12)</f>
        <v>0</v>
      </c>
      <c r="E876" s="27">
        <f t="shared" si="26"/>
        <v>0</v>
      </c>
      <c r="I876" s="30"/>
      <c r="J876" s="30"/>
      <c r="K876" s="30"/>
      <c r="L876" s="30"/>
      <c r="M876" s="30"/>
      <c r="N876" s="30"/>
      <c r="O876" s="30"/>
      <c r="P876" s="30"/>
      <c r="Q876" s="31"/>
      <c r="R876" s="31"/>
      <c r="S876" s="31"/>
      <c r="T876" s="32"/>
      <c r="U876" s="32"/>
      <c r="V876" s="32"/>
      <c r="W876" s="32"/>
      <c r="X876" s="32"/>
      <c r="Y876" s="33"/>
      <c r="Z876" s="33"/>
      <c r="AA876" s="33"/>
    </row>
    <row r="877" spans="1:27">
      <c r="A877" s="29"/>
      <c r="B877" s="19">
        <f t="shared" si="27"/>
        <v>46327</v>
      </c>
      <c r="C877" s="27">
        <f>I877+J877+K877+L877+M877+N877+O877+P877+IF(Q877="",0,Q877*サマリー!$B$9)+IF(R877="",0,IF(R877=200,サマリー!$B$10,IF(R877=100,サマリー!$B$11,0)))+IF(S877="",0,S877*サマリー!$B$12)</f>
        <v>0</v>
      </c>
      <c r="D877" s="27">
        <f>T877+U877+V877+W877+X877+IF(Y877="",0,Y877*サマリー!$B$9)+IF(Z877="",0,IF(Z877=200,サマリー!$B$10,IF(Z877=100,サマリー!$B$11,0)))+IF(AA877="",0,AA877*サマリー!$B$12)</f>
        <v>0</v>
      </c>
      <c r="E877" s="27">
        <f t="shared" si="26"/>
        <v>0</v>
      </c>
      <c r="I877" s="30"/>
      <c r="J877" s="30"/>
      <c r="K877" s="30"/>
      <c r="L877" s="30"/>
      <c r="M877" s="30"/>
      <c r="N877" s="30"/>
      <c r="O877" s="30"/>
      <c r="P877" s="30"/>
      <c r="Q877" s="31"/>
      <c r="R877" s="31"/>
      <c r="S877" s="31"/>
      <c r="T877" s="32"/>
      <c r="U877" s="32"/>
      <c r="V877" s="32"/>
      <c r="W877" s="32"/>
      <c r="X877" s="32"/>
      <c r="Y877" s="33"/>
      <c r="Z877" s="33"/>
      <c r="AA877" s="33"/>
    </row>
    <row r="878" spans="1:27">
      <c r="A878" s="29"/>
      <c r="B878" s="19">
        <f t="shared" si="27"/>
        <v>46327</v>
      </c>
      <c r="C878" s="27">
        <f>I878+J878+K878+L878+M878+N878+O878+P878+IF(Q878="",0,Q878*サマリー!$B$9)+IF(R878="",0,IF(R878=200,サマリー!$B$10,IF(R878=100,サマリー!$B$11,0)))+IF(S878="",0,S878*サマリー!$B$12)</f>
        <v>0</v>
      </c>
      <c r="D878" s="27">
        <f>T878+U878+V878+W878+X878+IF(Y878="",0,Y878*サマリー!$B$9)+IF(Z878="",0,IF(Z878=200,サマリー!$B$10,IF(Z878=100,サマリー!$B$11,0)))+IF(AA878="",0,AA878*サマリー!$B$12)</f>
        <v>0</v>
      </c>
      <c r="E878" s="27">
        <f t="shared" si="26"/>
        <v>0</v>
      </c>
      <c r="I878" s="30"/>
      <c r="J878" s="30"/>
      <c r="K878" s="30"/>
      <c r="L878" s="30"/>
      <c r="M878" s="30"/>
      <c r="N878" s="30"/>
      <c r="O878" s="30"/>
      <c r="P878" s="30"/>
      <c r="Q878" s="31"/>
      <c r="R878" s="31"/>
      <c r="S878" s="31"/>
      <c r="T878" s="32"/>
      <c r="U878" s="32"/>
      <c r="V878" s="32"/>
      <c r="W878" s="32"/>
      <c r="X878" s="32"/>
      <c r="Y878" s="33"/>
      <c r="Z878" s="33"/>
      <c r="AA878" s="33"/>
    </row>
    <row r="879" spans="1:27">
      <c r="A879" s="29"/>
      <c r="B879" s="19">
        <f t="shared" si="27"/>
        <v>46327</v>
      </c>
      <c r="C879" s="27">
        <f>I879+J879+K879+L879+M879+N879+O879+P879+IF(Q879="",0,Q879*サマリー!$B$9)+IF(R879="",0,IF(R879=200,サマリー!$B$10,IF(R879=100,サマリー!$B$11,0)))+IF(S879="",0,S879*サマリー!$B$12)</f>
        <v>0</v>
      </c>
      <c r="D879" s="27">
        <f>T879+U879+V879+W879+X879+IF(Y879="",0,Y879*サマリー!$B$9)+IF(Z879="",0,IF(Z879=200,サマリー!$B$10,IF(Z879=100,サマリー!$B$11,0)))+IF(AA879="",0,AA879*サマリー!$B$12)</f>
        <v>0</v>
      </c>
      <c r="E879" s="27">
        <f t="shared" si="26"/>
        <v>0</v>
      </c>
      <c r="I879" s="30"/>
      <c r="J879" s="30"/>
      <c r="K879" s="30"/>
      <c r="L879" s="30"/>
      <c r="M879" s="30"/>
      <c r="N879" s="30"/>
      <c r="O879" s="30"/>
      <c r="P879" s="30"/>
      <c r="Q879" s="31"/>
      <c r="R879" s="31"/>
      <c r="S879" s="31"/>
      <c r="T879" s="32"/>
      <c r="U879" s="32"/>
      <c r="V879" s="32"/>
      <c r="W879" s="32"/>
      <c r="X879" s="32"/>
      <c r="Y879" s="33"/>
      <c r="Z879" s="33"/>
      <c r="AA879" s="33"/>
    </row>
    <row r="880" spans="1:27">
      <c r="A880" s="29"/>
      <c r="B880" s="19">
        <f t="shared" si="27"/>
        <v>46327</v>
      </c>
      <c r="C880" s="27">
        <f>I880+J880+K880+L880+M880+N880+O880+P880+IF(Q880="",0,Q880*サマリー!$B$9)+IF(R880="",0,IF(R880=200,サマリー!$B$10,IF(R880=100,サマリー!$B$11,0)))+IF(S880="",0,S880*サマリー!$B$12)</f>
        <v>0</v>
      </c>
      <c r="D880" s="27">
        <f>T880+U880+V880+W880+X880+IF(Y880="",0,Y880*サマリー!$B$9)+IF(Z880="",0,IF(Z880=200,サマリー!$B$10,IF(Z880=100,サマリー!$B$11,0)))+IF(AA880="",0,AA880*サマリー!$B$12)</f>
        <v>0</v>
      </c>
      <c r="E880" s="27">
        <f t="shared" si="26"/>
        <v>0</v>
      </c>
      <c r="I880" s="30"/>
      <c r="J880" s="30"/>
      <c r="K880" s="30"/>
      <c r="L880" s="30"/>
      <c r="M880" s="30"/>
      <c r="N880" s="30"/>
      <c r="O880" s="30"/>
      <c r="P880" s="30"/>
      <c r="Q880" s="31"/>
      <c r="R880" s="31"/>
      <c r="S880" s="31"/>
      <c r="T880" s="32"/>
      <c r="U880" s="32"/>
      <c r="V880" s="32"/>
      <c r="W880" s="32"/>
      <c r="X880" s="32"/>
      <c r="Y880" s="33"/>
      <c r="Z880" s="33"/>
      <c r="AA880" s="33"/>
    </row>
    <row r="881" spans="1:27">
      <c r="A881" s="29"/>
      <c r="B881" s="19">
        <f t="shared" si="27"/>
        <v>46327</v>
      </c>
      <c r="C881" s="27">
        <f>I881+J881+K881+L881+M881+N881+O881+P881+IF(Q881="",0,Q881*サマリー!$B$9)+IF(R881="",0,IF(R881=200,サマリー!$B$10,IF(R881=100,サマリー!$B$11,0)))+IF(S881="",0,S881*サマリー!$B$12)</f>
        <v>0</v>
      </c>
      <c r="D881" s="27">
        <f>T881+U881+V881+W881+X881+IF(Y881="",0,Y881*サマリー!$B$9)+IF(Z881="",0,IF(Z881=200,サマリー!$B$10,IF(Z881=100,サマリー!$B$11,0)))+IF(AA881="",0,AA881*サマリー!$B$12)</f>
        <v>0</v>
      </c>
      <c r="E881" s="27">
        <f t="shared" si="26"/>
        <v>0</v>
      </c>
      <c r="I881" s="30"/>
      <c r="J881" s="30"/>
      <c r="K881" s="30"/>
      <c r="L881" s="30"/>
      <c r="M881" s="30"/>
      <c r="N881" s="30"/>
      <c r="O881" s="30"/>
      <c r="P881" s="30"/>
      <c r="Q881" s="31"/>
      <c r="R881" s="31"/>
      <c r="S881" s="31"/>
      <c r="T881" s="32"/>
      <c r="U881" s="32"/>
      <c r="V881" s="32"/>
      <c r="W881" s="32"/>
      <c r="X881" s="32"/>
      <c r="Y881" s="33"/>
      <c r="Z881" s="33"/>
      <c r="AA881" s="33"/>
    </row>
    <row r="882" spans="1:27">
      <c r="A882" s="29"/>
      <c r="B882" s="19">
        <f t="shared" si="27"/>
        <v>46327</v>
      </c>
      <c r="C882" s="27">
        <f>I882+J882+K882+L882+M882+N882+O882+P882+IF(Q882="",0,Q882*サマリー!$B$9)+IF(R882="",0,IF(R882=200,サマリー!$B$10,IF(R882=100,サマリー!$B$11,0)))+IF(S882="",0,S882*サマリー!$B$12)</f>
        <v>0</v>
      </c>
      <c r="D882" s="27">
        <f>T882+U882+V882+W882+X882+IF(Y882="",0,Y882*サマリー!$B$9)+IF(Z882="",0,IF(Z882=200,サマリー!$B$10,IF(Z882=100,サマリー!$B$11,0)))+IF(AA882="",0,AA882*サマリー!$B$12)</f>
        <v>0</v>
      </c>
      <c r="E882" s="27">
        <f t="shared" si="26"/>
        <v>0</v>
      </c>
      <c r="I882" s="30"/>
      <c r="J882" s="30"/>
      <c r="K882" s="30"/>
      <c r="L882" s="30"/>
      <c r="M882" s="30"/>
      <c r="N882" s="30"/>
      <c r="O882" s="30"/>
      <c r="P882" s="30"/>
      <c r="Q882" s="31"/>
      <c r="R882" s="31"/>
      <c r="S882" s="31"/>
      <c r="T882" s="32"/>
      <c r="U882" s="32"/>
      <c r="V882" s="32"/>
      <c r="W882" s="32"/>
      <c r="X882" s="32"/>
      <c r="Y882" s="33"/>
      <c r="Z882" s="33"/>
      <c r="AA882" s="33"/>
    </row>
    <row r="883" spans="1:27">
      <c r="A883" s="29"/>
      <c r="B883" s="19">
        <f t="shared" si="27"/>
        <v>46327</v>
      </c>
      <c r="C883" s="27">
        <f>I883+J883+K883+L883+M883+N883+O883+P883+IF(Q883="",0,Q883*サマリー!$B$9)+IF(R883="",0,IF(R883=200,サマリー!$B$10,IF(R883=100,サマリー!$B$11,0)))+IF(S883="",0,S883*サマリー!$B$12)</f>
        <v>0</v>
      </c>
      <c r="D883" s="27">
        <f>T883+U883+V883+W883+X883+IF(Y883="",0,Y883*サマリー!$B$9)+IF(Z883="",0,IF(Z883=200,サマリー!$B$10,IF(Z883=100,サマリー!$B$11,0)))+IF(AA883="",0,AA883*サマリー!$B$12)</f>
        <v>0</v>
      </c>
      <c r="E883" s="27">
        <f t="shared" si="26"/>
        <v>0</v>
      </c>
      <c r="I883" s="30"/>
      <c r="J883" s="30"/>
      <c r="K883" s="30"/>
      <c r="L883" s="30"/>
      <c r="M883" s="30"/>
      <c r="N883" s="30"/>
      <c r="O883" s="30"/>
      <c r="P883" s="30"/>
      <c r="Q883" s="31"/>
      <c r="R883" s="31"/>
      <c r="S883" s="31"/>
      <c r="T883" s="32"/>
      <c r="U883" s="32"/>
      <c r="V883" s="32"/>
      <c r="W883" s="32"/>
      <c r="X883" s="32"/>
      <c r="Y883" s="33"/>
      <c r="Z883" s="33"/>
      <c r="AA883" s="33"/>
    </row>
    <row r="884" spans="1:27">
      <c r="A884" s="29"/>
      <c r="B884" s="19">
        <f t="shared" si="27"/>
        <v>46327</v>
      </c>
      <c r="C884" s="27">
        <f>I884+J884+K884+L884+M884+N884+O884+P884+IF(Q884="",0,Q884*サマリー!$B$9)+IF(R884="",0,IF(R884=200,サマリー!$B$10,IF(R884=100,サマリー!$B$11,0)))+IF(S884="",0,S884*サマリー!$B$12)</f>
        <v>0</v>
      </c>
      <c r="D884" s="27">
        <f>T884+U884+V884+W884+X884+IF(Y884="",0,Y884*サマリー!$B$9)+IF(Z884="",0,IF(Z884=200,サマリー!$B$10,IF(Z884=100,サマリー!$B$11,0)))+IF(AA884="",0,AA884*サマリー!$B$12)</f>
        <v>0</v>
      </c>
      <c r="E884" s="27">
        <f t="shared" si="26"/>
        <v>0</v>
      </c>
      <c r="I884" s="30"/>
      <c r="J884" s="30"/>
      <c r="K884" s="30"/>
      <c r="L884" s="30"/>
      <c r="M884" s="30"/>
      <c r="N884" s="30"/>
      <c r="O884" s="30"/>
      <c r="P884" s="30"/>
      <c r="Q884" s="31"/>
      <c r="R884" s="31"/>
      <c r="S884" s="31"/>
      <c r="T884" s="32"/>
      <c r="U884" s="32"/>
      <c r="V884" s="32"/>
      <c r="W884" s="32"/>
      <c r="X884" s="32"/>
      <c r="Y884" s="33"/>
      <c r="Z884" s="33"/>
      <c r="AA884" s="33"/>
    </row>
    <row r="885" spans="1:27">
      <c r="A885" s="29"/>
      <c r="B885" s="19">
        <f t="shared" si="27"/>
        <v>46327</v>
      </c>
      <c r="C885" s="27">
        <f>I885+J885+K885+L885+M885+N885+O885+P885+IF(Q885="",0,Q885*サマリー!$B$9)+IF(R885="",0,IF(R885=200,サマリー!$B$10,IF(R885=100,サマリー!$B$11,0)))+IF(S885="",0,S885*サマリー!$B$12)</f>
        <v>0</v>
      </c>
      <c r="D885" s="27">
        <f>T885+U885+V885+W885+X885+IF(Y885="",0,Y885*サマリー!$B$9)+IF(Z885="",0,IF(Z885=200,サマリー!$B$10,IF(Z885=100,サマリー!$B$11,0)))+IF(AA885="",0,AA885*サマリー!$B$12)</f>
        <v>0</v>
      </c>
      <c r="E885" s="27">
        <f t="shared" si="26"/>
        <v>0</v>
      </c>
      <c r="I885" s="30"/>
      <c r="J885" s="30"/>
      <c r="K885" s="30"/>
      <c r="L885" s="30"/>
      <c r="M885" s="30"/>
      <c r="N885" s="30"/>
      <c r="O885" s="30"/>
      <c r="P885" s="30"/>
      <c r="Q885" s="31"/>
      <c r="R885" s="31"/>
      <c r="S885" s="31"/>
      <c r="T885" s="32"/>
      <c r="U885" s="32"/>
      <c r="V885" s="32"/>
      <c r="W885" s="32"/>
      <c r="X885" s="32"/>
      <c r="Y885" s="33"/>
      <c r="Z885" s="33"/>
      <c r="AA885" s="33"/>
    </row>
    <row r="886" spans="1:27">
      <c r="A886" s="29"/>
      <c r="B886" s="19">
        <f t="shared" si="27"/>
        <v>46327</v>
      </c>
      <c r="C886" s="27">
        <f>I886+J886+K886+L886+M886+N886+O886+P886+IF(Q886="",0,Q886*サマリー!$B$9)+IF(R886="",0,IF(R886=200,サマリー!$B$10,IF(R886=100,サマリー!$B$11,0)))+IF(S886="",0,S886*サマリー!$B$12)</f>
        <v>0</v>
      </c>
      <c r="D886" s="27">
        <f>T886+U886+V886+W886+X886+IF(Y886="",0,Y886*サマリー!$B$9)+IF(Z886="",0,IF(Z886=200,サマリー!$B$10,IF(Z886=100,サマリー!$B$11,0)))+IF(AA886="",0,AA886*サマリー!$B$12)</f>
        <v>0</v>
      </c>
      <c r="E886" s="27">
        <f t="shared" si="26"/>
        <v>0</v>
      </c>
      <c r="I886" s="30"/>
      <c r="J886" s="30"/>
      <c r="K886" s="30"/>
      <c r="L886" s="30"/>
      <c r="M886" s="30"/>
      <c r="N886" s="30"/>
      <c r="O886" s="30"/>
      <c r="P886" s="30"/>
      <c r="Q886" s="31"/>
      <c r="R886" s="31"/>
      <c r="S886" s="31"/>
      <c r="T886" s="32"/>
      <c r="U886" s="32"/>
      <c r="V886" s="32"/>
      <c r="W886" s="32"/>
      <c r="X886" s="32"/>
      <c r="Y886" s="33"/>
      <c r="Z886" s="33"/>
      <c r="AA886" s="33"/>
    </row>
    <row r="887" spans="1:27">
      <c r="A887" s="29"/>
      <c r="B887" s="19">
        <f t="shared" si="27"/>
        <v>46327</v>
      </c>
      <c r="C887" s="27">
        <f>I887+J887+K887+L887+M887+N887+O887+P887+IF(Q887="",0,Q887*サマリー!$B$9)+IF(R887="",0,IF(R887=200,サマリー!$B$10,IF(R887=100,サマリー!$B$11,0)))+IF(S887="",0,S887*サマリー!$B$12)</f>
        <v>0</v>
      </c>
      <c r="D887" s="27">
        <f>T887+U887+V887+W887+X887+IF(Y887="",0,Y887*サマリー!$B$9)+IF(Z887="",0,IF(Z887=200,サマリー!$B$10,IF(Z887=100,サマリー!$B$11,0)))+IF(AA887="",0,AA887*サマリー!$B$12)</f>
        <v>0</v>
      </c>
      <c r="E887" s="27">
        <f t="shared" si="26"/>
        <v>0</v>
      </c>
      <c r="I887" s="30"/>
      <c r="J887" s="30"/>
      <c r="K887" s="30"/>
      <c r="L887" s="30"/>
      <c r="M887" s="30"/>
      <c r="N887" s="30"/>
      <c r="O887" s="30"/>
      <c r="P887" s="30"/>
      <c r="Q887" s="31"/>
      <c r="R887" s="31"/>
      <c r="S887" s="31"/>
      <c r="T887" s="32"/>
      <c r="U887" s="32"/>
      <c r="V887" s="32"/>
      <c r="W887" s="32"/>
      <c r="X887" s="32"/>
      <c r="Y887" s="33"/>
      <c r="Z887" s="33"/>
      <c r="AA887" s="33"/>
    </row>
    <row r="888" spans="1:27">
      <c r="A888" s="29"/>
      <c r="B888" s="19">
        <f t="shared" si="27"/>
        <v>46327</v>
      </c>
      <c r="C888" s="27">
        <f>I888+J888+K888+L888+M888+N888+O888+P888+IF(Q888="",0,Q888*サマリー!$B$9)+IF(R888="",0,IF(R888=200,サマリー!$B$10,IF(R888=100,サマリー!$B$11,0)))+IF(S888="",0,S888*サマリー!$B$12)</f>
        <v>0</v>
      </c>
      <c r="D888" s="27">
        <f>T888+U888+V888+W888+X888+IF(Y888="",0,Y888*サマリー!$B$9)+IF(Z888="",0,IF(Z888=200,サマリー!$B$10,IF(Z888=100,サマリー!$B$11,0)))+IF(AA888="",0,AA888*サマリー!$B$12)</f>
        <v>0</v>
      </c>
      <c r="E888" s="27">
        <f t="shared" si="26"/>
        <v>0</v>
      </c>
      <c r="I888" s="30"/>
      <c r="J888" s="30"/>
      <c r="K888" s="30"/>
      <c r="L888" s="30"/>
      <c r="M888" s="30"/>
      <c r="N888" s="30"/>
      <c r="O888" s="30"/>
      <c r="P888" s="30"/>
      <c r="Q888" s="31"/>
      <c r="R888" s="31"/>
      <c r="S888" s="31"/>
      <c r="T888" s="32"/>
      <c r="U888" s="32"/>
      <c r="V888" s="32"/>
      <c r="W888" s="32"/>
      <c r="X888" s="32"/>
      <c r="Y888" s="33"/>
      <c r="Z888" s="33"/>
      <c r="AA888" s="33"/>
    </row>
    <row r="889" spans="1:27">
      <c r="A889" s="29"/>
      <c r="B889" s="19">
        <f t="shared" si="27"/>
        <v>46327</v>
      </c>
      <c r="C889" s="27">
        <f>I889+J889+K889+L889+M889+N889+O889+P889+IF(Q889="",0,Q889*サマリー!$B$9)+IF(R889="",0,IF(R889=200,サマリー!$B$10,IF(R889=100,サマリー!$B$11,0)))+IF(S889="",0,S889*サマリー!$B$12)</f>
        <v>0</v>
      </c>
      <c r="D889" s="27">
        <f>T889+U889+V889+W889+X889+IF(Y889="",0,Y889*サマリー!$B$9)+IF(Z889="",0,IF(Z889=200,サマリー!$B$10,IF(Z889=100,サマリー!$B$11,0)))+IF(AA889="",0,AA889*サマリー!$B$12)</f>
        <v>0</v>
      </c>
      <c r="E889" s="27">
        <f t="shared" si="26"/>
        <v>0</v>
      </c>
      <c r="I889" s="30"/>
      <c r="J889" s="30"/>
      <c r="K889" s="30"/>
      <c r="L889" s="30"/>
      <c r="M889" s="30"/>
      <c r="N889" s="30"/>
      <c r="O889" s="30"/>
      <c r="P889" s="30"/>
      <c r="Q889" s="31"/>
      <c r="R889" s="31"/>
      <c r="S889" s="31"/>
      <c r="T889" s="32"/>
      <c r="U889" s="32"/>
      <c r="V889" s="32"/>
      <c r="W889" s="32"/>
      <c r="X889" s="32"/>
      <c r="Y889" s="33"/>
      <c r="Z889" s="33"/>
      <c r="AA889" s="33"/>
    </row>
    <row r="890" spans="1:27">
      <c r="A890" s="29"/>
      <c r="B890" s="19">
        <f t="shared" si="27"/>
        <v>46327</v>
      </c>
      <c r="C890" s="27">
        <f>I890+J890+K890+L890+M890+N890+O890+P890+IF(Q890="",0,Q890*サマリー!$B$9)+IF(R890="",0,IF(R890=200,サマリー!$B$10,IF(R890=100,サマリー!$B$11,0)))+IF(S890="",0,S890*サマリー!$B$12)</f>
        <v>0</v>
      </c>
      <c r="D890" s="27">
        <f>T890+U890+V890+W890+X890+IF(Y890="",0,Y890*サマリー!$B$9)+IF(Z890="",0,IF(Z890=200,サマリー!$B$10,IF(Z890=100,サマリー!$B$11,0)))+IF(AA890="",0,AA890*サマリー!$B$12)</f>
        <v>0</v>
      </c>
      <c r="E890" s="27">
        <f t="shared" si="26"/>
        <v>0</v>
      </c>
      <c r="I890" s="30"/>
      <c r="J890" s="30"/>
      <c r="K890" s="30"/>
      <c r="L890" s="30"/>
      <c r="M890" s="30"/>
      <c r="N890" s="30"/>
      <c r="O890" s="30"/>
      <c r="P890" s="30"/>
      <c r="Q890" s="31"/>
      <c r="R890" s="31"/>
      <c r="S890" s="31"/>
      <c r="T890" s="32"/>
      <c r="U890" s="32"/>
      <c r="V890" s="32"/>
      <c r="W890" s="32"/>
      <c r="X890" s="32"/>
      <c r="Y890" s="33"/>
      <c r="Z890" s="33"/>
      <c r="AA890" s="33"/>
    </row>
    <row r="891" spans="1:27">
      <c r="A891" s="29"/>
      <c r="B891" s="19">
        <f t="shared" si="27"/>
        <v>46327</v>
      </c>
      <c r="C891" s="27">
        <f>I891+J891+K891+L891+M891+N891+O891+P891+IF(Q891="",0,Q891*サマリー!$B$9)+IF(R891="",0,IF(R891=200,サマリー!$B$10,IF(R891=100,サマリー!$B$11,0)))+IF(S891="",0,S891*サマリー!$B$12)</f>
        <v>0</v>
      </c>
      <c r="D891" s="27">
        <f>T891+U891+V891+W891+X891+IF(Y891="",0,Y891*サマリー!$B$9)+IF(Z891="",0,IF(Z891=200,サマリー!$B$10,IF(Z891=100,サマリー!$B$11,0)))+IF(AA891="",0,AA891*サマリー!$B$12)</f>
        <v>0</v>
      </c>
      <c r="E891" s="27">
        <f t="shared" si="26"/>
        <v>0</v>
      </c>
      <c r="I891" s="30"/>
      <c r="J891" s="30"/>
      <c r="K891" s="30"/>
      <c r="L891" s="30"/>
      <c r="M891" s="30"/>
      <c r="N891" s="30"/>
      <c r="O891" s="30"/>
      <c r="P891" s="30"/>
      <c r="Q891" s="31"/>
      <c r="R891" s="31"/>
      <c r="S891" s="31"/>
      <c r="T891" s="32"/>
      <c r="U891" s="32"/>
      <c r="V891" s="32"/>
      <c r="W891" s="32"/>
      <c r="X891" s="32"/>
      <c r="Y891" s="33"/>
      <c r="Z891" s="33"/>
      <c r="AA891" s="33"/>
    </row>
    <row r="892" spans="1:27">
      <c r="A892" s="29"/>
      <c r="B892" s="19">
        <f t="shared" si="27"/>
        <v>46327</v>
      </c>
      <c r="C892" s="27">
        <f>I892+J892+K892+L892+M892+N892+O892+P892+IF(Q892="",0,Q892*サマリー!$B$9)+IF(R892="",0,IF(R892=200,サマリー!$B$10,IF(R892=100,サマリー!$B$11,0)))+IF(S892="",0,S892*サマリー!$B$12)</f>
        <v>0</v>
      </c>
      <c r="D892" s="27">
        <f>T892+U892+V892+W892+X892+IF(Y892="",0,Y892*サマリー!$B$9)+IF(Z892="",0,IF(Z892=200,サマリー!$B$10,IF(Z892=100,サマリー!$B$11,0)))+IF(AA892="",0,AA892*サマリー!$B$12)</f>
        <v>0</v>
      </c>
      <c r="E892" s="27">
        <f t="shared" si="26"/>
        <v>0</v>
      </c>
      <c r="I892" s="30"/>
      <c r="J892" s="30"/>
      <c r="K892" s="30"/>
      <c r="L892" s="30"/>
      <c r="M892" s="30"/>
      <c r="N892" s="30"/>
      <c r="O892" s="30"/>
      <c r="P892" s="30"/>
      <c r="Q892" s="31"/>
      <c r="R892" s="31"/>
      <c r="S892" s="31"/>
      <c r="T892" s="32"/>
      <c r="U892" s="32"/>
      <c r="V892" s="32"/>
      <c r="W892" s="32"/>
      <c r="X892" s="32"/>
      <c r="Y892" s="33"/>
      <c r="Z892" s="33"/>
      <c r="AA892" s="33"/>
    </row>
    <row r="893" spans="1:27">
      <c r="A893" s="29"/>
      <c r="B893" s="19">
        <f t="shared" si="27"/>
        <v>46327</v>
      </c>
      <c r="C893" s="27">
        <f>I893+J893+K893+L893+M893+N893+O893+P893+IF(Q893="",0,Q893*サマリー!$B$9)+IF(R893="",0,IF(R893=200,サマリー!$B$10,IF(R893=100,サマリー!$B$11,0)))+IF(S893="",0,S893*サマリー!$B$12)</f>
        <v>0</v>
      </c>
      <c r="D893" s="27">
        <f>T893+U893+V893+W893+X893+IF(Y893="",0,Y893*サマリー!$B$9)+IF(Z893="",0,IF(Z893=200,サマリー!$B$10,IF(Z893=100,サマリー!$B$11,0)))+IF(AA893="",0,AA893*サマリー!$B$12)</f>
        <v>0</v>
      </c>
      <c r="E893" s="27">
        <f t="shared" si="26"/>
        <v>0</v>
      </c>
      <c r="I893" s="30"/>
      <c r="J893" s="30"/>
      <c r="K893" s="30"/>
      <c r="L893" s="30"/>
      <c r="M893" s="30"/>
      <c r="N893" s="30"/>
      <c r="O893" s="30"/>
      <c r="P893" s="30"/>
      <c r="Q893" s="31"/>
      <c r="R893" s="31"/>
      <c r="S893" s="31"/>
      <c r="T893" s="32"/>
      <c r="U893" s="32"/>
      <c r="V893" s="32"/>
      <c r="W893" s="32"/>
      <c r="X893" s="32"/>
      <c r="Y893" s="33"/>
      <c r="Z893" s="33"/>
      <c r="AA893" s="33"/>
    </row>
    <row r="894" spans="1:27">
      <c r="A894" s="29"/>
      <c r="B894" s="19">
        <f t="shared" si="27"/>
        <v>46327</v>
      </c>
      <c r="C894" s="27">
        <f>I894+J894+K894+L894+M894+N894+O894+P894+IF(Q894="",0,Q894*サマリー!$B$9)+IF(R894="",0,IF(R894=200,サマリー!$B$10,IF(R894=100,サマリー!$B$11,0)))+IF(S894="",0,S894*サマリー!$B$12)</f>
        <v>0</v>
      </c>
      <c r="D894" s="27">
        <f>T894+U894+V894+W894+X894+IF(Y894="",0,Y894*サマリー!$B$9)+IF(Z894="",0,IF(Z894=200,サマリー!$B$10,IF(Z894=100,サマリー!$B$11,0)))+IF(AA894="",0,AA894*サマリー!$B$12)</f>
        <v>0</v>
      </c>
      <c r="E894" s="27">
        <f t="shared" si="26"/>
        <v>0</v>
      </c>
      <c r="I894" s="30"/>
      <c r="J894" s="30"/>
      <c r="K894" s="30"/>
      <c r="L894" s="30"/>
      <c r="M894" s="30"/>
      <c r="N894" s="30"/>
      <c r="O894" s="30"/>
      <c r="P894" s="30"/>
      <c r="Q894" s="31"/>
      <c r="R894" s="31"/>
      <c r="S894" s="31"/>
      <c r="T894" s="32"/>
      <c r="U894" s="32"/>
      <c r="V894" s="32"/>
      <c r="W894" s="32"/>
      <c r="X894" s="32"/>
      <c r="Y894" s="33"/>
      <c r="Z894" s="33"/>
      <c r="AA894" s="33"/>
    </row>
    <row r="895" spans="1:27">
      <c r="A895" s="29"/>
      <c r="B895" s="19">
        <f t="shared" si="27"/>
        <v>46327</v>
      </c>
      <c r="C895" s="27">
        <f>I895+J895+K895+L895+M895+N895+O895+P895+IF(Q895="",0,Q895*サマリー!$B$9)+IF(R895="",0,IF(R895=200,サマリー!$B$10,IF(R895=100,サマリー!$B$11,0)))+IF(S895="",0,S895*サマリー!$B$12)</f>
        <v>0</v>
      </c>
      <c r="D895" s="27">
        <f>T895+U895+V895+W895+X895+IF(Y895="",0,Y895*サマリー!$B$9)+IF(Z895="",0,IF(Z895=200,サマリー!$B$10,IF(Z895=100,サマリー!$B$11,0)))+IF(AA895="",0,AA895*サマリー!$B$12)</f>
        <v>0</v>
      </c>
      <c r="E895" s="27">
        <f t="shared" si="26"/>
        <v>0</v>
      </c>
      <c r="I895" s="30"/>
      <c r="J895" s="30"/>
      <c r="K895" s="30"/>
      <c r="L895" s="30"/>
      <c r="M895" s="30"/>
      <c r="N895" s="30"/>
      <c r="O895" s="30"/>
      <c r="P895" s="30"/>
      <c r="Q895" s="31"/>
      <c r="R895" s="31"/>
      <c r="S895" s="31"/>
      <c r="T895" s="32"/>
      <c r="U895" s="32"/>
      <c r="V895" s="32"/>
      <c r="W895" s="32"/>
      <c r="X895" s="32"/>
      <c r="Y895" s="33"/>
      <c r="Z895" s="33"/>
      <c r="AA895" s="33"/>
    </row>
    <row r="896" spans="1:27">
      <c r="A896" s="29"/>
      <c r="B896" s="19">
        <f t="shared" si="27"/>
        <v>46327</v>
      </c>
      <c r="C896" s="27">
        <f>I896+J896+K896+L896+M896+N896+O896+P896+IF(Q896="",0,Q896*サマリー!$B$9)+IF(R896="",0,IF(R896=200,サマリー!$B$10,IF(R896=100,サマリー!$B$11,0)))+IF(S896="",0,S896*サマリー!$B$12)</f>
        <v>0</v>
      </c>
      <c r="D896" s="27">
        <f>T896+U896+V896+W896+X896+IF(Y896="",0,Y896*サマリー!$B$9)+IF(Z896="",0,IF(Z896=200,サマリー!$B$10,IF(Z896=100,サマリー!$B$11,0)))+IF(AA896="",0,AA896*サマリー!$B$12)</f>
        <v>0</v>
      </c>
      <c r="E896" s="27">
        <f t="shared" si="26"/>
        <v>0</v>
      </c>
      <c r="I896" s="30"/>
      <c r="J896" s="30"/>
      <c r="K896" s="30"/>
      <c r="L896" s="30"/>
      <c r="M896" s="30"/>
      <c r="N896" s="30"/>
      <c r="O896" s="30"/>
      <c r="P896" s="30"/>
      <c r="Q896" s="31"/>
      <c r="R896" s="31"/>
      <c r="S896" s="31"/>
      <c r="T896" s="32"/>
      <c r="U896" s="32"/>
      <c r="V896" s="32"/>
      <c r="W896" s="32"/>
      <c r="X896" s="32"/>
      <c r="Y896" s="33"/>
      <c r="Z896" s="33"/>
      <c r="AA896" s="33"/>
    </row>
    <row r="897" spans="1:27">
      <c r="A897" s="29"/>
      <c r="B897" s="19">
        <f t="shared" si="27"/>
        <v>46327</v>
      </c>
      <c r="C897" s="27">
        <f>I897+J897+K897+L897+M897+N897+O897+P897+IF(Q897="",0,Q897*サマリー!$B$9)+IF(R897="",0,IF(R897=200,サマリー!$B$10,IF(R897=100,サマリー!$B$11,0)))+IF(S897="",0,S897*サマリー!$B$12)</f>
        <v>0</v>
      </c>
      <c r="D897" s="27">
        <f>T897+U897+V897+W897+X897+IF(Y897="",0,Y897*サマリー!$B$9)+IF(Z897="",0,IF(Z897=200,サマリー!$B$10,IF(Z897=100,サマリー!$B$11,0)))+IF(AA897="",0,AA897*サマリー!$B$12)</f>
        <v>0</v>
      </c>
      <c r="E897" s="27">
        <f t="shared" si="26"/>
        <v>0</v>
      </c>
      <c r="I897" s="30"/>
      <c r="J897" s="30"/>
      <c r="K897" s="30"/>
      <c r="L897" s="30"/>
      <c r="M897" s="30"/>
      <c r="N897" s="30"/>
      <c r="O897" s="30"/>
      <c r="P897" s="30"/>
      <c r="Q897" s="31"/>
      <c r="R897" s="31"/>
      <c r="S897" s="31"/>
      <c r="T897" s="32"/>
      <c r="U897" s="32"/>
      <c r="V897" s="32"/>
      <c r="W897" s="32"/>
      <c r="X897" s="32"/>
      <c r="Y897" s="33"/>
      <c r="Z897" s="33"/>
      <c r="AA897" s="33"/>
    </row>
    <row r="898" spans="1:27">
      <c r="A898" s="29"/>
      <c r="B898" s="19">
        <f t="shared" si="27"/>
        <v>46327</v>
      </c>
      <c r="C898" s="27">
        <f>I898+J898+K898+L898+M898+N898+O898+P898+IF(Q898="",0,Q898*サマリー!$B$9)+IF(R898="",0,IF(R898=200,サマリー!$B$10,IF(R898=100,サマリー!$B$11,0)))+IF(S898="",0,S898*サマリー!$B$12)</f>
        <v>0</v>
      </c>
      <c r="D898" s="27">
        <f>T898+U898+V898+W898+X898+IF(Y898="",0,Y898*サマリー!$B$9)+IF(Z898="",0,IF(Z898=200,サマリー!$B$10,IF(Z898=100,サマリー!$B$11,0)))+IF(AA898="",0,AA898*サマリー!$B$12)</f>
        <v>0</v>
      </c>
      <c r="E898" s="27">
        <f t="shared" si="26"/>
        <v>0</v>
      </c>
      <c r="I898" s="30"/>
      <c r="J898" s="30"/>
      <c r="K898" s="30"/>
      <c r="L898" s="30"/>
      <c r="M898" s="30"/>
      <c r="N898" s="30"/>
      <c r="O898" s="30"/>
      <c r="P898" s="30"/>
      <c r="Q898" s="31"/>
      <c r="R898" s="31"/>
      <c r="S898" s="31"/>
      <c r="T898" s="32"/>
      <c r="U898" s="32"/>
      <c r="V898" s="32"/>
      <c r="W898" s="32"/>
      <c r="X898" s="32"/>
      <c r="Y898" s="33"/>
      <c r="Z898" s="33"/>
      <c r="AA898" s="33"/>
    </row>
    <row r="899" spans="1:27">
      <c r="A899" s="29"/>
      <c r="B899" s="19">
        <f t="shared" si="27"/>
        <v>46327</v>
      </c>
      <c r="C899" s="27">
        <f>I899+J899+K899+L899+M899+N899+O899+P899+IF(Q899="",0,Q899*サマリー!$B$9)+IF(R899="",0,IF(R899=200,サマリー!$B$10,IF(R899=100,サマリー!$B$11,0)))+IF(S899="",0,S899*サマリー!$B$12)</f>
        <v>0</v>
      </c>
      <c r="D899" s="27">
        <f>T899+U899+V899+W899+X899+IF(Y899="",0,Y899*サマリー!$B$9)+IF(Z899="",0,IF(Z899=200,サマリー!$B$10,IF(Z899=100,サマリー!$B$11,0)))+IF(AA899="",0,AA899*サマリー!$B$12)</f>
        <v>0</v>
      </c>
      <c r="E899" s="27">
        <f t="shared" si="26"/>
        <v>0</v>
      </c>
      <c r="I899" s="30"/>
      <c r="J899" s="30"/>
      <c r="K899" s="30"/>
      <c r="L899" s="30"/>
      <c r="M899" s="30"/>
      <c r="N899" s="30"/>
      <c r="O899" s="30"/>
      <c r="P899" s="30"/>
      <c r="Q899" s="31"/>
      <c r="R899" s="31"/>
      <c r="S899" s="31"/>
      <c r="T899" s="32"/>
      <c r="U899" s="32"/>
      <c r="V899" s="32"/>
      <c r="W899" s="32"/>
      <c r="X899" s="32"/>
      <c r="Y899" s="33"/>
      <c r="Z899" s="33"/>
      <c r="AA899" s="33"/>
    </row>
    <row r="900" spans="1:27">
      <c r="A900" s="29"/>
      <c r="B900" s="19">
        <f t="shared" si="27"/>
        <v>46327</v>
      </c>
      <c r="C900" s="27">
        <f>I900+J900+K900+L900+M900+N900+O900+P900+IF(Q900="",0,Q900*サマリー!$B$9)+IF(R900="",0,IF(R900=200,サマリー!$B$10,IF(R900=100,サマリー!$B$11,0)))+IF(S900="",0,S900*サマリー!$B$12)</f>
        <v>0</v>
      </c>
      <c r="D900" s="27">
        <f>T900+U900+V900+W900+X900+IF(Y900="",0,Y900*サマリー!$B$9)+IF(Z900="",0,IF(Z900=200,サマリー!$B$10,IF(Z900=100,サマリー!$B$11,0)))+IF(AA900="",0,AA900*サマリー!$B$12)</f>
        <v>0</v>
      </c>
      <c r="E900" s="27">
        <f t="shared" si="26"/>
        <v>0</v>
      </c>
      <c r="I900" s="30"/>
      <c r="J900" s="30"/>
      <c r="K900" s="30"/>
      <c r="L900" s="30"/>
      <c r="M900" s="30"/>
      <c r="N900" s="30"/>
      <c r="O900" s="30"/>
      <c r="P900" s="30"/>
      <c r="Q900" s="31"/>
      <c r="R900" s="31"/>
      <c r="S900" s="31"/>
      <c r="T900" s="32"/>
      <c r="U900" s="32"/>
      <c r="V900" s="32"/>
      <c r="W900" s="32"/>
      <c r="X900" s="32"/>
      <c r="Y900" s="33"/>
      <c r="Z900" s="33"/>
      <c r="AA900" s="33"/>
    </row>
    <row r="901" spans="1:27">
      <c r="A901" s="29"/>
      <c r="B901" s="19">
        <f t="shared" si="27"/>
        <v>46327</v>
      </c>
      <c r="C901" s="27">
        <f>I901+J901+K901+L901+M901+N901+O901+P901+IF(Q901="",0,Q901*サマリー!$B$9)+IF(R901="",0,IF(R901=200,サマリー!$B$10,IF(R901=100,サマリー!$B$11,0)))+IF(S901="",0,S901*サマリー!$B$12)</f>
        <v>0</v>
      </c>
      <c r="D901" s="27">
        <f>T901+U901+V901+W901+X901+IF(Y901="",0,Y901*サマリー!$B$9)+IF(Z901="",0,IF(Z901=200,サマリー!$B$10,IF(Z901=100,サマリー!$B$11,0)))+IF(AA901="",0,AA901*サマリー!$B$12)</f>
        <v>0</v>
      </c>
      <c r="E901" s="27">
        <f t="shared" si="26"/>
        <v>0</v>
      </c>
      <c r="I901" s="30"/>
      <c r="J901" s="30"/>
      <c r="K901" s="30"/>
      <c r="L901" s="30"/>
      <c r="M901" s="30"/>
      <c r="N901" s="30"/>
      <c r="O901" s="30"/>
      <c r="P901" s="30"/>
      <c r="Q901" s="31"/>
      <c r="R901" s="31"/>
      <c r="S901" s="31"/>
      <c r="T901" s="32"/>
      <c r="U901" s="32"/>
      <c r="V901" s="32"/>
      <c r="W901" s="32"/>
      <c r="X901" s="32"/>
      <c r="Y901" s="33"/>
      <c r="Z901" s="33"/>
      <c r="AA901" s="33"/>
    </row>
    <row r="902" spans="1:27">
      <c r="A902" s="29"/>
      <c r="B902" s="19">
        <f t="shared" si="27"/>
        <v>46327</v>
      </c>
      <c r="C902" s="27">
        <f>I902+J902+K902+L902+M902+N902+O902+P902+IF(Q902="",0,Q902*サマリー!$B$9)+IF(R902="",0,IF(R902=200,サマリー!$B$10,IF(R902=100,サマリー!$B$11,0)))+IF(S902="",0,S902*サマリー!$B$12)</f>
        <v>0</v>
      </c>
      <c r="D902" s="27">
        <f>T902+U902+V902+W902+X902+IF(Y902="",0,Y902*サマリー!$B$9)+IF(Z902="",0,IF(Z902=200,サマリー!$B$10,IF(Z902=100,サマリー!$B$11,0)))+IF(AA902="",0,AA902*サマリー!$B$12)</f>
        <v>0</v>
      </c>
      <c r="E902" s="27">
        <f t="shared" ref="E902:E965" si="28">C902+D902</f>
        <v>0</v>
      </c>
      <c r="I902" s="30"/>
      <c r="J902" s="30"/>
      <c r="K902" s="30"/>
      <c r="L902" s="30"/>
      <c r="M902" s="30"/>
      <c r="N902" s="30"/>
      <c r="O902" s="30"/>
      <c r="P902" s="30"/>
      <c r="Q902" s="31"/>
      <c r="R902" s="31"/>
      <c r="S902" s="31"/>
      <c r="T902" s="32"/>
      <c r="U902" s="32"/>
      <c r="V902" s="32"/>
      <c r="W902" s="32"/>
      <c r="X902" s="32"/>
      <c r="Y902" s="33"/>
      <c r="Z902" s="33"/>
      <c r="AA902" s="33"/>
    </row>
    <row r="903" spans="1:27">
      <c r="A903" s="29"/>
      <c r="B903" s="19">
        <f t="shared" ref="B903:B966" si="29">IF(A903="",B902,IF(A903&lt;DAY(B902),DATE(YEAR(B902),MONTH(B902)+1,A903),DATE(YEAR(B902),MONTH(B902),A903)))</f>
        <v>46327</v>
      </c>
      <c r="C903" s="27">
        <f>I903+J903+K903+L903+M903+N903+O903+P903+IF(Q903="",0,Q903*サマリー!$B$9)+IF(R903="",0,IF(R903=200,サマリー!$B$10,IF(R903=100,サマリー!$B$11,0)))+IF(S903="",0,S903*サマリー!$B$12)</f>
        <v>0</v>
      </c>
      <c r="D903" s="27">
        <f>T903+U903+V903+W903+X903+IF(Y903="",0,Y903*サマリー!$B$9)+IF(Z903="",0,IF(Z903=200,サマリー!$B$10,IF(Z903=100,サマリー!$B$11,0)))+IF(AA903="",0,AA903*サマリー!$B$12)</f>
        <v>0</v>
      </c>
      <c r="E903" s="27">
        <f t="shared" si="28"/>
        <v>0</v>
      </c>
      <c r="I903" s="30"/>
      <c r="J903" s="30"/>
      <c r="K903" s="30"/>
      <c r="L903" s="30"/>
      <c r="M903" s="30"/>
      <c r="N903" s="30"/>
      <c r="O903" s="30"/>
      <c r="P903" s="30"/>
      <c r="Q903" s="31"/>
      <c r="R903" s="31"/>
      <c r="S903" s="31"/>
      <c r="T903" s="32"/>
      <c r="U903" s="32"/>
      <c r="V903" s="32"/>
      <c r="W903" s="32"/>
      <c r="X903" s="32"/>
      <c r="Y903" s="33"/>
      <c r="Z903" s="33"/>
      <c r="AA903" s="33"/>
    </row>
    <row r="904" spans="1:27">
      <c r="A904" s="29"/>
      <c r="B904" s="19">
        <f t="shared" si="29"/>
        <v>46327</v>
      </c>
      <c r="C904" s="27">
        <f>I904+J904+K904+L904+M904+N904+O904+P904+IF(Q904="",0,Q904*サマリー!$B$9)+IF(R904="",0,IF(R904=200,サマリー!$B$10,IF(R904=100,サマリー!$B$11,0)))+IF(S904="",0,S904*サマリー!$B$12)</f>
        <v>0</v>
      </c>
      <c r="D904" s="27">
        <f>T904+U904+V904+W904+X904+IF(Y904="",0,Y904*サマリー!$B$9)+IF(Z904="",0,IF(Z904=200,サマリー!$B$10,IF(Z904=100,サマリー!$B$11,0)))+IF(AA904="",0,AA904*サマリー!$B$12)</f>
        <v>0</v>
      </c>
      <c r="E904" s="27">
        <f t="shared" si="28"/>
        <v>0</v>
      </c>
      <c r="I904" s="30"/>
      <c r="J904" s="30"/>
      <c r="K904" s="30"/>
      <c r="L904" s="30"/>
      <c r="M904" s="30"/>
      <c r="N904" s="30"/>
      <c r="O904" s="30"/>
      <c r="P904" s="30"/>
      <c r="Q904" s="31"/>
      <c r="R904" s="31"/>
      <c r="S904" s="31"/>
      <c r="T904" s="32"/>
      <c r="U904" s="32"/>
      <c r="V904" s="32"/>
      <c r="W904" s="32"/>
      <c r="X904" s="32"/>
      <c r="Y904" s="33"/>
      <c r="Z904" s="33"/>
      <c r="AA904" s="33"/>
    </row>
    <row r="905" spans="1:27">
      <c r="A905" s="29"/>
      <c r="B905" s="19">
        <f t="shared" si="29"/>
        <v>46327</v>
      </c>
      <c r="C905" s="27">
        <f>I905+J905+K905+L905+M905+N905+O905+P905+IF(Q905="",0,Q905*サマリー!$B$9)+IF(R905="",0,IF(R905=200,サマリー!$B$10,IF(R905=100,サマリー!$B$11,0)))+IF(S905="",0,S905*サマリー!$B$12)</f>
        <v>0</v>
      </c>
      <c r="D905" s="27">
        <f>T905+U905+V905+W905+X905+IF(Y905="",0,Y905*サマリー!$B$9)+IF(Z905="",0,IF(Z905=200,サマリー!$B$10,IF(Z905=100,サマリー!$B$11,0)))+IF(AA905="",0,AA905*サマリー!$B$12)</f>
        <v>0</v>
      </c>
      <c r="E905" s="27">
        <f t="shared" si="28"/>
        <v>0</v>
      </c>
      <c r="I905" s="30"/>
      <c r="J905" s="30"/>
      <c r="K905" s="30"/>
      <c r="L905" s="30"/>
      <c r="M905" s="30"/>
      <c r="N905" s="30"/>
      <c r="O905" s="30"/>
      <c r="P905" s="30"/>
      <c r="Q905" s="31"/>
      <c r="R905" s="31"/>
      <c r="S905" s="31"/>
      <c r="T905" s="32"/>
      <c r="U905" s="32"/>
      <c r="V905" s="32"/>
      <c r="W905" s="32"/>
      <c r="X905" s="32"/>
      <c r="Y905" s="33"/>
      <c r="Z905" s="33"/>
      <c r="AA905" s="33"/>
    </row>
    <row r="906" spans="1:27">
      <c r="A906" s="29"/>
      <c r="B906" s="19">
        <f t="shared" si="29"/>
        <v>46327</v>
      </c>
      <c r="C906" s="27">
        <f>I906+J906+K906+L906+M906+N906+O906+P906+IF(Q906="",0,Q906*サマリー!$B$9)+IF(R906="",0,IF(R906=200,サマリー!$B$10,IF(R906=100,サマリー!$B$11,0)))+IF(S906="",0,S906*サマリー!$B$12)</f>
        <v>0</v>
      </c>
      <c r="D906" s="27">
        <f>T906+U906+V906+W906+X906+IF(Y906="",0,Y906*サマリー!$B$9)+IF(Z906="",0,IF(Z906=200,サマリー!$B$10,IF(Z906=100,サマリー!$B$11,0)))+IF(AA906="",0,AA906*サマリー!$B$12)</f>
        <v>0</v>
      </c>
      <c r="E906" s="27">
        <f t="shared" si="28"/>
        <v>0</v>
      </c>
      <c r="I906" s="30"/>
      <c r="J906" s="30"/>
      <c r="K906" s="30"/>
      <c r="L906" s="30"/>
      <c r="M906" s="30"/>
      <c r="N906" s="30"/>
      <c r="O906" s="30"/>
      <c r="P906" s="30"/>
      <c r="Q906" s="31"/>
      <c r="R906" s="31"/>
      <c r="S906" s="31"/>
      <c r="T906" s="32"/>
      <c r="U906" s="32"/>
      <c r="V906" s="32"/>
      <c r="W906" s="32"/>
      <c r="X906" s="32"/>
      <c r="Y906" s="33"/>
      <c r="Z906" s="33"/>
      <c r="AA906" s="33"/>
    </row>
    <row r="907" spans="1:27">
      <c r="A907" s="29"/>
      <c r="B907" s="19">
        <f t="shared" si="29"/>
        <v>46327</v>
      </c>
      <c r="C907" s="27">
        <f>I907+J907+K907+L907+M907+N907+O907+P907+IF(Q907="",0,Q907*サマリー!$B$9)+IF(R907="",0,IF(R907=200,サマリー!$B$10,IF(R907=100,サマリー!$B$11,0)))+IF(S907="",0,S907*サマリー!$B$12)</f>
        <v>0</v>
      </c>
      <c r="D907" s="27">
        <f>T907+U907+V907+W907+X907+IF(Y907="",0,Y907*サマリー!$B$9)+IF(Z907="",0,IF(Z907=200,サマリー!$B$10,IF(Z907=100,サマリー!$B$11,0)))+IF(AA907="",0,AA907*サマリー!$B$12)</f>
        <v>0</v>
      </c>
      <c r="E907" s="27">
        <f t="shared" si="28"/>
        <v>0</v>
      </c>
      <c r="I907" s="30"/>
      <c r="J907" s="30"/>
      <c r="K907" s="30"/>
      <c r="L907" s="30"/>
      <c r="M907" s="30"/>
      <c r="N907" s="30"/>
      <c r="O907" s="30"/>
      <c r="P907" s="30"/>
      <c r="Q907" s="31"/>
      <c r="R907" s="31"/>
      <c r="S907" s="31"/>
      <c r="T907" s="32"/>
      <c r="U907" s="32"/>
      <c r="V907" s="32"/>
      <c r="W907" s="32"/>
      <c r="X907" s="32"/>
      <c r="Y907" s="33"/>
      <c r="Z907" s="33"/>
      <c r="AA907" s="33"/>
    </row>
    <row r="908" spans="1:27">
      <c r="A908" s="29"/>
      <c r="B908" s="19">
        <f t="shared" si="29"/>
        <v>46327</v>
      </c>
      <c r="C908" s="27">
        <f>I908+J908+K908+L908+M908+N908+O908+P908+IF(Q908="",0,Q908*サマリー!$B$9)+IF(R908="",0,IF(R908=200,サマリー!$B$10,IF(R908=100,サマリー!$B$11,0)))+IF(S908="",0,S908*サマリー!$B$12)</f>
        <v>0</v>
      </c>
      <c r="D908" s="27">
        <f>T908+U908+V908+W908+X908+IF(Y908="",0,Y908*サマリー!$B$9)+IF(Z908="",0,IF(Z908=200,サマリー!$B$10,IF(Z908=100,サマリー!$B$11,0)))+IF(AA908="",0,AA908*サマリー!$B$12)</f>
        <v>0</v>
      </c>
      <c r="E908" s="27">
        <f t="shared" si="28"/>
        <v>0</v>
      </c>
      <c r="I908" s="30"/>
      <c r="J908" s="30"/>
      <c r="K908" s="30"/>
      <c r="L908" s="30"/>
      <c r="M908" s="30"/>
      <c r="N908" s="30"/>
      <c r="O908" s="30"/>
      <c r="P908" s="30"/>
      <c r="Q908" s="31"/>
      <c r="R908" s="31"/>
      <c r="S908" s="31"/>
      <c r="T908" s="32"/>
      <c r="U908" s="32"/>
      <c r="V908" s="32"/>
      <c r="W908" s="32"/>
      <c r="X908" s="32"/>
      <c r="Y908" s="33"/>
      <c r="Z908" s="33"/>
      <c r="AA908" s="33"/>
    </row>
    <row r="909" spans="1:27">
      <c r="A909" s="29"/>
      <c r="B909" s="19">
        <f t="shared" si="29"/>
        <v>46327</v>
      </c>
      <c r="C909" s="27">
        <f>I909+J909+K909+L909+M909+N909+O909+P909+IF(Q909="",0,Q909*サマリー!$B$9)+IF(R909="",0,IF(R909=200,サマリー!$B$10,IF(R909=100,サマリー!$B$11,0)))+IF(S909="",0,S909*サマリー!$B$12)</f>
        <v>0</v>
      </c>
      <c r="D909" s="27">
        <f>T909+U909+V909+W909+X909+IF(Y909="",0,Y909*サマリー!$B$9)+IF(Z909="",0,IF(Z909=200,サマリー!$B$10,IF(Z909=100,サマリー!$B$11,0)))+IF(AA909="",0,AA909*サマリー!$B$12)</f>
        <v>0</v>
      </c>
      <c r="E909" s="27">
        <f t="shared" si="28"/>
        <v>0</v>
      </c>
      <c r="I909" s="30"/>
      <c r="J909" s="30"/>
      <c r="K909" s="30"/>
      <c r="L909" s="30"/>
      <c r="M909" s="30"/>
      <c r="N909" s="30"/>
      <c r="O909" s="30"/>
      <c r="P909" s="30"/>
      <c r="Q909" s="31"/>
      <c r="R909" s="31"/>
      <c r="S909" s="31"/>
      <c r="T909" s="32"/>
      <c r="U909" s="32"/>
      <c r="V909" s="32"/>
      <c r="W909" s="32"/>
      <c r="X909" s="32"/>
      <c r="Y909" s="33"/>
      <c r="Z909" s="33"/>
      <c r="AA909" s="33"/>
    </row>
    <row r="910" spans="1:27">
      <c r="A910" s="29"/>
      <c r="B910" s="19">
        <f t="shared" si="29"/>
        <v>46327</v>
      </c>
      <c r="C910" s="27">
        <f>I910+J910+K910+L910+M910+N910+O910+P910+IF(Q910="",0,Q910*サマリー!$B$9)+IF(R910="",0,IF(R910=200,サマリー!$B$10,IF(R910=100,サマリー!$B$11,0)))+IF(S910="",0,S910*サマリー!$B$12)</f>
        <v>0</v>
      </c>
      <c r="D910" s="27">
        <f>T910+U910+V910+W910+X910+IF(Y910="",0,Y910*サマリー!$B$9)+IF(Z910="",0,IF(Z910=200,サマリー!$B$10,IF(Z910=100,サマリー!$B$11,0)))+IF(AA910="",0,AA910*サマリー!$B$12)</f>
        <v>0</v>
      </c>
      <c r="E910" s="27">
        <f t="shared" si="28"/>
        <v>0</v>
      </c>
      <c r="I910" s="30"/>
      <c r="J910" s="30"/>
      <c r="K910" s="30"/>
      <c r="L910" s="30"/>
      <c r="M910" s="30"/>
      <c r="N910" s="30"/>
      <c r="O910" s="30"/>
      <c r="P910" s="30"/>
      <c r="Q910" s="31"/>
      <c r="R910" s="31"/>
      <c r="S910" s="31"/>
      <c r="T910" s="32"/>
      <c r="U910" s="32"/>
      <c r="V910" s="32"/>
      <c r="W910" s="32"/>
      <c r="X910" s="32"/>
      <c r="Y910" s="33"/>
      <c r="Z910" s="33"/>
      <c r="AA910" s="33"/>
    </row>
    <row r="911" spans="1:27">
      <c r="A911" s="29"/>
      <c r="B911" s="19">
        <f t="shared" si="29"/>
        <v>46327</v>
      </c>
      <c r="C911" s="27">
        <f>I911+J911+K911+L911+M911+N911+O911+P911+IF(Q911="",0,Q911*サマリー!$B$9)+IF(R911="",0,IF(R911=200,サマリー!$B$10,IF(R911=100,サマリー!$B$11,0)))+IF(S911="",0,S911*サマリー!$B$12)</f>
        <v>0</v>
      </c>
      <c r="D911" s="27">
        <f>T911+U911+V911+W911+X911+IF(Y911="",0,Y911*サマリー!$B$9)+IF(Z911="",0,IF(Z911=200,サマリー!$B$10,IF(Z911=100,サマリー!$B$11,0)))+IF(AA911="",0,AA911*サマリー!$B$12)</f>
        <v>0</v>
      </c>
      <c r="E911" s="27">
        <f t="shared" si="28"/>
        <v>0</v>
      </c>
      <c r="I911" s="30"/>
      <c r="J911" s="30"/>
      <c r="K911" s="30"/>
      <c r="L911" s="30"/>
      <c r="M911" s="30"/>
      <c r="N911" s="30"/>
      <c r="O911" s="30"/>
      <c r="P911" s="30"/>
      <c r="Q911" s="31"/>
      <c r="R911" s="31"/>
      <c r="S911" s="31"/>
      <c r="T911" s="32"/>
      <c r="U911" s="32"/>
      <c r="V911" s="32"/>
      <c r="W911" s="32"/>
      <c r="X911" s="32"/>
      <c r="Y911" s="33"/>
      <c r="Z911" s="33"/>
      <c r="AA911" s="33"/>
    </row>
    <row r="912" spans="1:27">
      <c r="A912" s="29"/>
      <c r="B912" s="19">
        <f t="shared" si="29"/>
        <v>46327</v>
      </c>
      <c r="C912" s="27">
        <f>I912+J912+K912+L912+M912+N912+O912+P912+IF(Q912="",0,Q912*サマリー!$B$9)+IF(R912="",0,IF(R912=200,サマリー!$B$10,IF(R912=100,サマリー!$B$11,0)))+IF(S912="",0,S912*サマリー!$B$12)</f>
        <v>0</v>
      </c>
      <c r="D912" s="27">
        <f>T912+U912+V912+W912+X912+IF(Y912="",0,Y912*サマリー!$B$9)+IF(Z912="",0,IF(Z912=200,サマリー!$B$10,IF(Z912=100,サマリー!$B$11,0)))+IF(AA912="",0,AA912*サマリー!$B$12)</f>
        <v>0</v>
      </c>
      <c r="E912" s="27">
        <f t="shared" si="28"/>
        <v>0</v>
      </c>
      <c r="I912" s="30"/>
      <c r="J912" s="30"/>
      <c r="K912" s="30"/>
      <c r="L912" s="30"/>
      <c r="M912" s="30"/>
      <c r="N912" s="30"/>
      <c r="O912" s="30"/>
      <c r="P912" s="30"/>
      <c r="Q912" s="31"/>
      <c r="R912" s="31"/>
      <c r="S912" s="31"/>
      <c r="T912" s="32"/>
      <c r="U912" s="32"/>
      <c r="V912" s="32"/>
      <c r="W912" s="32"/>
      <c r="X912" s="32"/>
      <c r="Y912" s="33"/>
      <c r="Z912" s="33"/>
      <c r="AA912" s="33"/>
    </row>
    <row r="913" spans="1:27">
      <c r="A913" s="29"/>
      <c r="B913" s="19">
        <f t="shared" si="29"/>
        <v>46327</v>
      </c>
      <c r="C913" s="27">
        <f>I913+J913+K913+L913+M913+N913+O913+P913+IF(Q913="",0,Q913*サマリー!$B$9)+IF(R913="",0,IF(R913=200,サマリー!$B$10,IF(R913=100,サマリー!$B$11,0)))+IF(S913="",0,S913*サマリー!$B$12)</f>
        <v>0</v>
      </c>
      <c r="D913" s="27">
        <f>T913+U913+V913+W913+X913+IF(Y913="",0,Y913*サマリー!$B$9)+IF(Z913="",0,IF(Z913=200,サマリー!$B$10,IF(Z913=100,サマリー!$B$11,0)))+IF(AA913="",0,AA913*サマリー!$B$12)</f>
        <v>0</v>
      </c>
      <c r="E913" s="27">
        <f t="shared" si="28"/>
        <v>0</v>
      </c>
      <c r="I913" s="30"/>
      <c r="J913" s="30"/>
      <c r="K913" s="30"/>
      <c r="L913" s="30"/>
      <c r="M913" s="30"/>
      <c r="N913" s="30"/>
      <c r="O913" s="30"/>
      <c r="P913" s="30"/>
      <c r="Q913" s="31"/>
      <c r="R913" s="31"/>
      <c r="S913" s="31"/>
      <c r="T913" s="32"/>
      <c r="U913" s="32"/>
      <c r="V913" s="32"/>
      <c r="W913" s="32"/>
      <c r="X913" s="32"/>
      <c r="Y913" s="33"/>
      <c r="Z913" s="33"/>
      <c r="AA913" s="33"/>
    </row>
    <row r="914" spans="1:27">
      <c r="A914" s="29"/>
      <c r="B914" s="19">
        <f t="shared" si="29"/>
        <v>46327</v>
      </c>
      <c r="C914" s="27">
        <f>I914+J914+K914+L914+M914+N914+O914+P914+IF(Q914="",0,Q914*サマリー!$B$9)+IF(R914="",0,IF(R914=200,サマリー!$B$10,IF(R914=100,サマリー!$B$11,0)))+IF(S914="",0,S914*サマリー!$B$12)</f>
        <v>0</v>
      </c>
      <c r="D914" s="27">
        <f>T914+U914+V914+W914+X914+IF(Y914="",0,Y914*サマリー!$B$9)+IF(Z914="",0,IF(Z914=200,サマリー!$B$10,IF(Z914=100,サマリー!$B$11,0)))+IF(AA914="",0,AA914*サマリー!$B$12)</f>
        <v>0</v>
      </c>
      <c r="E914" s="27">
        <f t="shared" si="28"/>
        <v>0</v>
      </c>
      <c r="I914" s="30"/>
      <c r="J914" s="30"/>
      <c r="K914" s="30"/>
      <c r="L914" s="30"/>
      <c r="M914" s="30"/>
      <c r="N914" s="30"/>
      <c r="O914" s="30"/>
      <c r="P914" s="30"/>
      <c r="Q914" s="31"/>
      <c r="R914" s="31"/>
      <c r="S914" s="31"/>
      <c r="T914" s="32"/>
      <c r="U914" s="32"/>
      <c r="V914" s="32"/>
      <c r="W914" s="32"/>
      <c r="X914" s="32"/>
      <c r="Y914" s="33"/>
      <c r="Z914" s="33"/>
      <c r="AA914" s="33"/>
    </row>
    <row r="915" spans="1:27">
      <c r="A915" s="29"/>
      <c r="B915" s="19">
        <f t="shared" si="29"/>
        <v>46327</v>
      </c>
      <c r="C915" s="27">
        <f>I915+J915+K915+L915+M915+N915+O915+P915+IF(Q915="",0,Q915*サマリー!$B$9)+IF(R915="",0,IF(R915=200,サマリー!$B$10,IF(R915=100,サマリー!$B$11,0)))+IF(S915="",0,S915*サマリー!$B$12)</f>
        <v>0</v>
      </c>
      <c r="D915" s="27">
        <f>T915+U915+V915+W915+X915+IF(Y915="",0,Y915*サマリー!$B$9)+IF(Z915="",0,IF(Z915=200,サマリー!$B$10,IF(Z915=100,サマリー!$B$11,0)))+IF(AA915="",0,AA915*サマリー!$B$12)</f>
        <v>0</v>
      </c>
      <c r="E915" s="27">
        <f t="shared" si="28"/>
        <v>0</v>
      </c>
      <c r="I915" s="30"/>
      <c r="J915" s="30"/>
      <c r="K915" s="30"/>
      <c r="L915" s="30"/>
      <c r="M915" s="30"/>
      <c r="N915" s="30"/>
      <c r="O915" s="30"/>
      <c r="P915" s="30"/>
      <c r="Q915" s="31"/>
      <c r="R915" s="31"/>
      <c r="S915" s="31"/>
      <c r="T915" s="32"/>
      <c r="U915" s="32"/>
      <c r="V915" s="32"/>
      <c r="W915" s="32"/>
      <c r="X915" s="32"/>
      <c r="Y915" s="33"/>
      <c r="Z915" s="33"/>
      <c r="AA915" s="33"/>
    </row>
    <row r="916" spans="1:27">
      <c r="A916" s="29"/>
      <c r="B916" s="19">
        <f t="shared" si="29"/>
        <v>46327</v>
      </c>
      <c r="C916" s="27">
        <f>I916+J916+K916+L916+M916+N916+O916+P916+IF(Q916="",0,Q916*サマリー!$B$9)+IF(R916="",0,IF(R916=200,サマリー!$B$10,IF(R916=100,サマリー!$B$11,0)))+IF(S916="",0,S916*サマリー!$B$12)</f>
        <v>0</v>
      </c>
      <c r="D916" s="27">
        <f>T916+U916+V916+W916+X916+IF(Y916="",0,Y916*サマリー!$B$9)+IF(Z916="",0,IF(Z916=200,サマリー!$B$10,IF(Z916=100,サマリー!$B$11,0)))+IF(AA916="",0,AA916*サマリー!$B$12)</f>
        <v>0</v>
      </c>
      <c r="E916" s="27">
        <f t="shared" si="28"/>
        <v>0</v>
      </c>
      <c r="I916" s="30"/>
      <c r="J916" s="30"/>
      <c r="K916" s="30"/>
      <c r="L916" s="30"/>
      <c r="M916" s="30"/>
      <c r="N916" s="30"/>
      <c r="O916" s="30"/>
      <c r="P916" s="30"/>
      <c r="Q916" s="31"/>
      <c r="R916" s="31"/>
      <c r="S916" s="31"/>
      <c r="T916" s="32"/>
      <c r="U916" s="32"/>
      <c r="V916" s="32"/>
      <c r="W916" s="32"/>
      <c r="X916" s="32"/>
      <c r="Y916" s="33"/>
      <c r="Z916" s="33"/>
      <c r="AA916" s="33"/>
    </row>
    <row r="917" spans="1:27">
      <c r="A917" s="29"/>
      <c r="B917" s="19">
        <f t="shared" si="29"/>
        <v>46327</v>
      </c>
      <c r="C917" s="27">
        <f>I917+J917+K917+L917+M917+N917+O917+P917+IF(Q917="",0,Q917*サマリー!$B$9)+IF(R917="",0,IF(R917=200,サマリー!$B$10,IF(R917=100,サマリー!$B$11,0)))+IF(S917="",0,S917*サマリー!$B$12)</f>
        <v>0</v>
      </c>
      <c r="D917" s="27">
        <f>T917+U917+V917+W917+X917+IF(Y917="",0,Y917*サマリー!$B$9)+IF(Z917="",0,IF(Z917=200,サマリー!$B$10,IF(Z917=100,サマリー!$B$11,0)))+IF(AA917="",0,AA917*サマリー!$B$12)</f>
        <v>0</v>
      </c>
      <c r="E917" s="27">
        <f t="shared" si="28"/>
        <v>0</v>
      </c>
      <c r="I917" s="30"/>
      <c r="J917" s="30"/>
      <c r="K917" s="30"/>
      <c r="L917" s="30"/>
      <c r="M917" s="30"/>
      <c r="N917" s="30"/>
      <c r="O917" s="30"/>
      <c r="P917" s="30"/>
      <c r="Q917" s="31"/>
      <c r="R917" s="31"/>
      <c r="S917" s="31"/>
      <c r="T917" s="32"/>
      <c r="U917" s="32"/>
      <c r="V917" s="32"/>
      <c r="W917" s="32"/>
      <c r="X917" s="32"/>
      <c r="Y917" s="33"/>
      <c r="Z917" s="33"/>
      <c r="AA917" s="33"/>
    </row>
    <row r="918" spans="1:27">
      <c r="A918" s="29"/>
      <c r="B918" s="19">
        <f t="shared" si="29"/>
        <v>46327</v>
      </c>
      <c r="C918" s="27">
        <f>I918+J918+K918+L918+M918+N918+O918+P918+IF(Q918="",0,Q918*サマリー!$B$9)+IF(R918="",0,IF(R918=200,サマリー!$B$10,IF(R918=100,サマリー!$B$11,0)))+IF(S918="",0,S918*サマリー!$B$12)</f>
        <v>0</v>
      </c>
      <c r="D918" s="27">
        <f>T918+U918+V918+W918+X918+IF(Y918="",0,Y918*サマリー!$B$9)+IF(Z918="",0,IF(Z918=200,サマリー!$B$10,IF(Z918=100,サマリー!$B$11,0)))+IF(AA918="",0,AA918*サマリー!$B$12)</f>
        <v>0</v>
      </c>
      <c r="E918" s="27">
        <f t="shared" si="28"/>
        <v>0</v>
      </c>
      <c r="I918" s="30"/>
      <c r="J918" s="30"/>
      <c r="K918" s="30"/>
      <c r="L918" s="30"/>
      <c r="M918" s="30"/>
      <c r="N918" s="30"/>
      <c r="O918" s="30"/>
      <c r="P918" s="30"/>
      <c r="Q918" s="31"/>
      <c r="R918" s="31"/>
      <c r="S918" s="31"/>
      <c r="T918" s="32"/>
      <c r="U918" s="32"/>
      <c r="V918" s="32"/>
      <c r="W918" s="32"/>
      <c r="X918" s="32"/>
      <c r="Y918" s="33"/>
      <c r="Z918" s="33"/>
      <c r="AA918" s="33"/>
    </row>
    <row r="919" spans="1:27">
      <c r="A919" s="29"/>
      <c r="B919" s="19">
        <f t="shared" si="29"/>
        <v>46327</v>
      </c>
      <c r="C919" s="27">
        <f>I919+J919+K919+L919+M919+N919+O919+P919+IF(Q919="",0,Q919*サマリー!$B$9)+IF(R919="",0,IF(R919=200,サマリー!$B$10,IF(R919=100,サマリー!$B$11,0)))+IF(S919="",0,S919*サマリー!$B$12)</f>
        <v>0</v>
      </c>
      <c r="D919" s="27">
        <f>T919+U919+V919+W919+X919+IF(Y919="",0,Y919*サマリー!$B$9)+IF(Z919="",0,IF(Z919=200,サマリー!$B$10,IF(Z919=100,サマリー!$B$11,0)))+IF(AA919="",0,AA919*サマリー!$B$12)</f>
        <v>0</v>
      </c>
      <c r="E919" s="27">
        <f t="shared" si="28"/>
        <v>0</v>
      </c>
      <c r="I919" s="30"/>
      <c r="J919" s="30"/>
      <c r="K919" s="30"/>
      <c r="L919" s="30"/>
      <c r="M919" s="30"/>
      <c r="N919" s="30"/>
      <c r="O919" s="30"/>
      <c r="P919" s="30"/>
      <c r="Q919" s="31"/>
      <c r="R919" s="31"/>
      <c r="S919" s="31"/>
      <c r="T919" s="32"/>
      <c r="U919" s="32"/>
      <c r="V919" s="32"/>
      <c r="W919" s="32"/>
      <c r="X919" s="32"/>
      <c r="Y919" s="33"/>
      <c r="Z919" s="33"/>
      <c r="AA919" s="33"/>
    </row>
    <row r="920" spans="1:27">
      <c r="A920" s="29"/>
      <c r="B920" s="19">
        <f t="shared" si="29"/>
        <v>46327</v>
      </c>
      <c r="C920" s="27">
        <f>I920+J920+K920+L920+M920+N920+O920+P920+IF(Q920="",0,Q920*サマリー!$B$9)+IF(R920="",0,IF(R920=200,サマリー!$B$10,IF(R920=100,サマリー!$B$11,0)))+IF(S920="",0,S920*サマリー!$B$12)</f>
        <v>0</v>
      </c>
      <c r="D920" s="27">
        <f>T920+U920+V920+W920+X920+IF(Y920="",0,Y920*サマリー!$B$9)+IF(Z920="",0,IF(Z920=200,サマリー!$B$10,IF(Z920=100,サマリー!$B$11,0)))+IF(AA920="",0,AA920*サマリー!$B$12)</f>
        <v>0</v>
      </c>
      <c r="E920" s="27">
        <f t="shared" si="28"/>
        <v>0</v>
      </c>
      <c r="I920" s="30"/>
      <c r="J920" s="30"/>
      <c r="K920" s="30"/>
      <c r="L920" s="30"/>
      <c r="M920" s="30"/>
      <c r="N920" s="30"/>
      <c r="O920" s="30"/>
      <c r="P920" s="30"/>
      <c r="Q920" s="31"/>
      <c r="R920" s="31"/>
      <c r="S920" s="31"/>
      <c r="T920" s="32"/>
      <c r="U920" s="32"/>
      <c r="V920" s="32"/>
      <c r="W920" s="32"/>
      <c r="X920" s="32"/>
      <c r="Y920" s="33"/>
      <c r="Z920" s="33"/>
      <c r="AA920" s="33"/>
    </row>
    <row r="921" spans="1:27">
      <c r="A921" s="29"/>
      <c r="B921" s="19">
        <f t="shared" si="29"/>
        <v>46327</v>
      </c>
      <c r="C921" s="27">
        <f>I921+J921+K921+L921+M921+N921+O921+P921+IF(Q921="",0,Q921*サマリー!$B$9)+IF(R921="",0,IF(R921=200,サマリー!$B$10,IF(R921=100,サマリー!$B$11,0)))+IF(S921="",0,S921*サマリー!$B$12)</f>
        <v>0</v>
      </c>
      <c r="D921" s="27">
        <f>T921+U921+V921+W921+X921+IF(Y921="",0,Y921*サマリー!$B$9)+IF(Z921="",0,IF(Z921=200,サマリー!$B$10,IF(Z921=100,サマリー!$B$11,0)))+IF(AA921="",0,AA921*サマリー!$B$12)</f>
        <v>0</v>
      </c>
      <c r="E921" s="27">
        <f t="shared" si="28"/>
        <v>0</v>
      </c>
      <c r="I921" s="30"/>
      <c r="J921" s="30"/>
      <c r="K921" s="30"/>
      <c r="L921" s="30"/>
      <c r="M921" s="30"/>
      <c r="N921" s="30"/>
      <c r="O921" s="30"/>
      <c r="P921" s="30"/>
      <c r="Q921" s="31"/>
      <c r="R921" s="31"/>
      <c r="S921" s="31"/>
      <c r="T921" s="32"/>
      <c r="U921" s="32"/>
      <c r="V921" s="32"/>
      <c r="W921" s="32"/>
      <c r="X921" s="32"/>
      <c r="Y921" s="33"/>
      <c r="Z921" s="33"/>
      <c r="AA921" s="33"/>
    </row>
    <row r="922" spans="1:27">
      <c r="A922" s="29"/>
      <c r="B922" s="19">
        <f t="shared" si="29"/>
        <v>46327</v>
      </c>
      <c r="C922" s="27">
        <f>I922+J922+K922+L922+M922+N922+O922+P922+IF(Q922="",0,Q922*サマリー!$B$9)+IF(R922="",0,IF(R922=200,サマリー!$B$10,IF(R922=100,サマリー!$B$11,0)))+IF(S922="",0,S922*サマリー!$B$12)</f>
        <v>0</v>
      </c>
      <c r="D922" s="27">
        <f>T922+U922+V922+W922+X922+IF(Y922="",0,Y922*サマリー!$B$9)+IF(Z922="",0,IF(Z922=200,サマリー!$B$10,IF(Z922=100,サマリー!$B$11,0)))+IF(AA922="",0,AA922*サマリー!$B$12)</f>
        <v>0</v>
      </c>
      <c r="E922" s="27">
        <f t="shared" si="28"/>
        <v>0</v>
      </c>
      <c r="I922" s="30"/>
      <c r="J922" s="30"/>
      <c r="K922" s="30"/>
      <c r="L922" s="30"/>
      <c r="M922" s="30"/>
      <c r="N922" s="30"/>
      <c r="O922" s="30"/>
      <c r="P922" s="30"/>
      <c r="Q922" s="31"/>
      <c r="R922" s="31"/>
      <c r="S922" s="31"/>
      <c r="T922" s="32"/>
      <c r="U922" s="32"/>
      <c r="V922" s="32"/>
      <c r="W922" s="32"/>
      <c r="X922" s="32"/>
      <c r="Y922" s="33"/>
      <c r="Z922" s="33"/>
      <c r="AA922" s="33"/>
    </row>
    <row r="923" spans="1:27">
      <c r="A923" s="29"/>
      <c r="B923" s="19">
        <f t="shared" si="29"/>
        <v>46327</v>
      </c>
      <c r="C923" s="27">
        <f>I923+J923+K923+L923+M923+N923+O923+P923+IF(Q923="",0,Q923*サマリー!$B$9)+IF(R923="",0,IF(R923=200,サマリー!$B$10,IF(R923=100,サマリー!$B$11,0)))+IF(S923="",0,S923*サマリー!$B$12)</f>
        <v>0</v>
      </c>
      <c r="D923" s="27">
        <f>T923+U923+V923+W923+X923+IF(Y923="",0,Y923*サマリー!$B$9)+IF(Z923="",0,IF(Z923=200,サマリー!$B$10,IF(Z923=100,サマリー!$B$11,0)))+IF(AA923="",0,AA923*サマリー!$B$12)</f>
        <v>0</v>
      </c>
      <c r="E923" s="27">
        <f t="shared" si="28"/>
        <v>0</v>
      </c>
      <c r="I923" s="30"/>
      <c r="J923" s="30"/>
      <c r="K923" s="30"/>
      <c r="L923" s="30"/>
      <c r="M923" s="30"/>
      <c r="N923" s="30"/>
      <c r="O923" s="30"/>
      <c r="P923" s="30"/>
      <c r="Q923" s="31"/>
      <c r="R923" s="31"/>
      <c r="S923" s="31"/>
      <c r="T923" s="32"/>
      <c r="U923" s="32"/>
      <c r="V923" s="32"/>
      <c r="W923" s="32"/>
      <c r="X923" s="32"/>
      <c r="Y923" s="33"/>
      <c r="Z923" s="33"/>
      <c r="AA923" s="33"/>
    </row>
    <row r="924" spans="1:27">
      <c r="A924" s="29"/>
      <c r="B924" s="19">
        <f t="shared" si="29"/>
        <v>46327</v>
      </c>
      <c r="C924" s="27">
        <f>I924+J924+K924+L924+M924+N924+O924+P924+IF(Q924="",0,Q924*サマリー!$B$9)+IF(R924="",0,IF(R924=200,サマリー!$B$10,IF(R924=100,サマリー!$B$11,0)))+IF(S924="",0,S924*サマリー!$B$12)</f>
        <v>0</v>
      </c>
      <c r="D924" s="27">
        <f>T924+U924+V924+W924+X924+IF(Y924="",0,Y924*サマリー!$B$9)+IF(Z924="",0,IF(Z924=200,サマリー!$B$10,IF(Z924=100,サマリー!$B$11,0)))+IF(AA924="",0,AA924*サマリー!$B$12)</f>
        <v>0</v>
      </c>
      <c r="E924" s="27">
        <f t="shared" si="28"/>
        <v>0</v>
      </c>
      <c r="I924" s="30"/>
      <c r="J924" s="30"/>
      <c r="K924" s="30"/>
      <c r="L924" s="30"/>
      <c r="M924" s="30"/>
      <c r="N924" s="30"/>
      <c r="O924" s="30"/>
      <c r="P924" s="30"/>
      <c r="Q924" s="31"/>
      <c r="R924" s="31"/>
      <c r="S924" s="31"/>
      <c r="T924" s="32"/>
      <c r="U924" s="32"/>
      <c r="V924" s="32"/>
      <c r="W924" s="32"/>
      <c r="X924" s="32"/>
      <c r="Y924" s="33"/>
      <c r="Z924" s="33"/>
      <c r="AA924" s="33"/>
    </row>
    <row r="925" spans="1:27">
      <c r="A925" s="29"/>
      <c r="B925" s="19">
        <f t="shared" si="29"/>
        <v>46327</v>
      </c>
      <c r="C925" s="27">
        <f>I925+J925+K925+L925+M925+N925+O925+P925+IF(Q925="",0,Q925*サマリー!$B$9)+IF(R925="",0,IF(R925=200,サマリー!$B$10,IF(R925=100,サマリー!$B$11,0)))+IF(S925="",0,S925*サマリー!$B$12)</f>
        <v>0</v>
      </c>
      <c r="D925" s="27">
        <f>T925+U925+V925+W925+X925+IF(Y925="",0,Y925*サマリー!$B$9)+IF(Z925="",0,IF(Z925=200,サマリー!$B$10,IF(Z925=100,サマリー!$B$11,0)))+IF(AA925="",0,AA925*サマリー!$B$12)</f>
        <v>0</v>
      </c>
      <c r="E925" s="27">
        <f t="shared" si="28"/>
        <v>0</v>
      </c>
      <c r="I925" s="30"/>
      <c r="J925" s="30"/>
      <c r="K925" s="30"/>
      <c r="L925" s="30"/>
      <c r="M925" s="30"/>
      <c r="N925" s="30"/>
      <c r="O925" s="30"/>
      <c r="P925" s="30"/>
      <c r="Q925" s="31"/>
      <c r="R925" s="31"/>
      <c r="S925" s="31"/>
      <c r="T925" s="32"/>
      <c r="U925" s="32"/>
      <c r="V925" s="32"/>
      <c r="W925" s="32"/>
      <c r="X925" s="32"/>
      <c r="Y925" s="33"/>
      <c r="Z925" s="33"/>
      <c r="AA925" s="33"/>
    </row>
    <row r="926" spans="1:27">
      <c r="A926" s="29"/>
      <c r="B926" s="19">
        <f t="shared" si="29"/>
        <v>46327</v>
      </c>
      <c r="C926" s="27">
        <f>I926+J926+K926+L926+M926+N926+O926+P926+IF(Q926="",0,Q926*サマリー!$B$9)+IF(R926="",0,IF(R926=200,サマリー!$B$10,IF(R926=100,サマリー!$B$11,0)))+IF(S926="",0,S926*サマリー!$B$12)</f>
        <v>0</v>
      </c>
      <c r="D926" s="27">
        <f>T926+U926+V926+W926+X926+IF(Y926="",0,Y926*サマリー!$B$9)+IF(Z926="",0,IF(Z926=200,サマリー!$B$10,IF(Z926=100,サマリー!$B$11,0)))+IF(AA926="",0,AA926*サマリー!$B$12)</f>
        <v>0</v>
      </c>
      <c r="E926" s="27">
        <f t="shared" si="28"/>
        <v>0</v>
      </c>
      <c r="I926" s="30"/>
      <c r="J926" s="30"/>
      <c r="K926" s="30"/>
      <c r="L926" s="30"/>
      <c r="M926" s="30"/>
      <c r="N926" s="30"/>
      <c r="O926" s="30"/>
      <c r="P926" s="30"/>
      <c r="Q926" s="31"/>
      <c r="R926" s="31"/>
      <c r="S926" s="31"/>
      <c r="T926" s="32"/>
      <c r="U926" s="32"/>
      <c r="V926" s="32"/>
      <c r="W926" s="32"/>
      <c r="X926" s="32"/>
      <c r="Y926" s="33"/>
      <c r="Z926" s="33"/>
      <c r="AA926" s="33"/>
    </row>
    <row r="927" spans="1:27">
      <c r="A927" s="29"/>
      <c r="B927" s="19">
        <f t="shared" si="29"/>
        <v>46327</v>
      </c>
      <c r="C927" s="27">
        <f>I927+J927+K927+L927+M927+N927+O927+P927+IF(Q927="",0,Q927*サマリー!$B$9)+IF(R927="",0,IF(R927=200,サマリー!$B$10,IF(R927=100,サマリー!$B$11,0)))+IF(S927="",0,S927*サマリー!$B$12)</f>
        <v>0</v>
      </c>
      <c r="D927" s="27">
        <f>T927+U927+V927+W927+X927+IF(Y927="",0,Y927*サマリー!$B$9)+IF(Z927="",0,IF(Z927=200,サマリー!$B$10,IF(Z927=100,サマリー!$B$11,0)))+IF(AA927="",0,AA927*サマリー!$B$12)</f>
        <v>0</v>
      </c>
      <c r="E927" s="27">
        <f t="shared" si="28"/>
        <v>0</v>
      </c>
      <c r="I927" s="30"/>
      <c r="J927" s="30"/>
      <c r="K927" s="30"/>
      <c r="L927" s="30"/>
      <c r="M927" s="30"/>
      <c r="N927" s="30"/>
      <c r="O927" s="30"/>
      <c r="P927" s="30"/>
      <c r="Q927" s="31"/>
      <c r="R927" s="31"/>
      <c r="S927" s="31"/>
      <c r="T927" s="32"/>
      <c r="U927" s="32"/>
      <c r="V927" s="32"/>
      <c r="W927" s="32"/>
      <c r="X927" s="32"/>
      <c r="Y927" s="33"/>
      <c r="Z927" s="33"/>
      <c r="AA927" s="33"/>
    </row>
    <row r="928" spans="1:27">
      <c r="A928" s="29"/>
      <c r="B928" s="19">
        <f t="shared" si="29"/>
        <v>46327</v>
      </c>
      <c r="C928" s="27">
        <f>I928+J928+K928+L928+M928+N928+O928+P928+IF(Q928="",0,Q928*サマリー!$B$9)+IF(R928="",0,IF(R928=200,サマリー!$B$10,IF(R928=100,サマリー!$B$11,0)))+IF(S928="",0,S928*サマリー!$B$12)</f>
        <v>0</v>
      </c>
      <c r="D928" s="27">
        <f>T928+U928+V928+W928+X928+IF(Y928="",0,Y928*サマリー!$B$9)+IF(Z928="",0,IF(Z928=200,サマリー!$B$10,IF(Z928=100,サマリー!$B$11,0)))+IF(AA928="",0,AA928*サマリー!$B$12)</f>
        <v>0</v>
      </c>
      <c r="E928" s="27">
        <f t="shared" si="28"/>
        <v>0</v>
      </c>
      <c r="I928" s="30"/>
      <c r="J928" s="30"/>
      <c r="K928" s="30"/>
      <c r="L928" s="30"/>
      <c r="M928" s="30"/>
      <c r="N928" s="30"/>
      <c r="O928" s="30"/>
      <c r="P928" s="30"/>
      <c r="Q928" s="31"/>
      <c r="R928" s="31"/>
      <c r="S928" s="31"/>
      <c r="T928" s="32"/>
      <c r="U928" s="32"/>
      <c r="V928" s="32"/>
      <c r="W928" s="32"/>
      <c r="X928" s="32"/>
      <c r="Y928" s="33"/>
      <c r="Z928" s="33"/>
      <c r="AA928" s="33"/>
    </row>
    <row r="929" spans="1:27">
      <c r="A929" s="29"/>
      <c r="B929" s="19">
        <f t="shared" si="29"/>
        <v>46327</v>
      </c>
      <c r="C929" s="27">
        <f>I929+J929+K929+L929+M929+N929+O929+P929+IF(Q929="",0,Q929*サマリー!$B$9)+IF(R929="",0,IF(R929=200,サマリー!$B$10,IF(R929=100,サマリー!$B$11,0)))+IF(S929="",0,S929*サマリー!$B$12)</f>
        <v>0</v>
      </c>
      <c r="D929" s="27">
        <f>T929+U929+V929+W929+X929+IF(Y929="",0,Y929*サマリー!$B$9)+IF(Z929="",0,IF(Z929=200,サマリー!$B$10,IF(Z929=100,サマリー!$B$11,0)))+IF(AA929="",0,AA929*サマリー!$B$12)</f>
        <v>0</v>
      </c>
      <c r="E929" s="27">
        <f t="shared" si="28"/>
        <v>0</v>
      </c>
      <c r="I929" s="30"/>
      <c r="J929" s="30"/>
      <c r="K929" s="30"/>
      <c r="L929" s="30"/>
      <c r="M929" s="30"/>
      <c r="N929" s="30"/>
      <c r="O929" s="30"/>
      <c r="P929" s="30"/>
      <c r="Q929" s="31"/>
      <c r="R929" s="31"/>
      <c r="S929" s="31"/>
      <c r="T929" s="32"/>
      <c r="U929" s="32"/>
      <c r="V929" s="32"/>
      <c r="W929" s="32"/>
      <c r="X929" s="32"/>
      <c r="Y929" s="33"/>
      <c r="Z929" s="33"/>
      <c r="AA929" s="33"/>
    </row>
    <row r="930" spans="1:27">
      <c r="A930" s="29"/>
      <c r="B930" s="19">
        <f t="shared" si="29"/>
        <v>46327</v>
      </c>
      <c r="C930" s="27">
        <f>I930+J930+K930+L930+M930+N930+O930+P930+IF(Q930="",0,Q930*サマリー!$B$9)+IF(R930="",0,IF(R930=200,サマリー!$B$10,IF(R930=100,サマリー!$B$11,0)))+IF(S930="",0,S930*サマリー!$B$12)</f>
        <v>0</v>
      </c>
      <c r="D930" s="27">
        <f>T930+U930+V930+W930+X930+IF(Y930="",0,Y930*サマリー!$B$9)+IF(Z930="",0,IF(Z930=200,サマリー!$B$10,IF(Z930=100,サマリー!$B$11,0)))+IF(AA930="",0,AA930*サマリー!$B$12)</f>
        <v>0</v>
      </c>
      <c r="E930" s="27">
        <f t="shared" si="28"/>
        <v>0</v>
      </c>
      <c r="I930" s="30"/>
      <c r="J930" s="30"/>
      <c r="K930" s="30"/>
      <c r="L930" s="30"/>
      <c r="M930" s="30"/>
      <c r="N930" s="30"/>
      <c r="O930" s="30"/>
      <c r="P930" s="30"/>
      <c r="Q930" s="31"/>
      <c r="R930" s="31"/>
      <c r="S930" s="31"/>
      <c r="T930" s="32"/>
      <c r="U930" s="32"/>
      <c r="V930" s="32"/>
      <c r="W930" s="32"/>
      <c r="X930" s="32"/>
      <c r="Y930" s="33"/>
      <c r="Z930" s="33"/>
      <c r="AA930" s="33"/>
    </row>
    <row r="931" spans="1:27">
      <c r="A931" s="29"/>
      <c r="B931" s="19">
        <f t="shared" si="29"/>
        <v>46327</v>
      </c>
      <c r="C931" s="27">
        <f>I931+J931+K931+L931+M931+N931+O931+P931+IF(Q931="",0,Q931*サマリー!$B$9)+IF(R931="",0,IF(R931=200,サマリー!$B$10,IF(R931=100,サマリー!$B$11,0)))+IF(S931="",0,S931*サマリー!$B$12)</f>
        <v>0</v>
      </c>
      <c r="D931" s="27">
        <f>T931+U931+V931+W931+X931+IF(Y931="",0,Y931*サマリー!$B$9)+IF(Z931="",0,IF(Z931=200,サマリー!$B$10,IF(Z931=100,サマリー!$B$11,0)))+IF(AA931="",0,AA931*サマリー!$B$12)</f>
        <v>0</v>
      </c>
      <c r="E931" s="27">
        <f t="shared" si="28"/>
        <v>0</v>
      </c>
      <c r="I931" s="30"/>
      <c r="J931" s="30"/>
      <c r="K931" s="30"/>
      <c r="L931" s="30"/>
      <c r="M931" s="30"/>
      <c r="N931" s="30"/>
      <c r="O931" s="30"/>
      <c r="P931" s="30"/>
      <c r="Q931" s="31"/>
      <c r="R931" s="31"/>
      <c r="S931" s="31"/>
      <c r="T931" s="32"/>
      <c r="U931" s="32"/>
      <c r="V931" s="32"/>
      <c r="W931" s="32"/>
      <c r="X931" s="32"/>
      <c r="Y931" s="33"/>
      <c r="Z931" s="33"/>
      <c r="AA931" s="33"/>
    </row>
    <row r="932" spans="1:27">
      <c r="A932" s="29"/>
      <c r="B932" s="19">
        <f t="shared" si="29"/>
        <v>46327</v>
      </c>
      <c r="C932" s="27">
        <f>I932+J932+K932+L932+M932+N932+O932+P932+IF(Q932="",0,Q932*サマリー!$B$9)+IF(R932="",0,IF(R932=200,サマリー!$B$10,IF(R932=100,サマリー!$B$11,0)))+IF(S932="",0,S932*サマリー!$B$12)</f>
        <v>0</v>
      </c>
      <c r="D932" s="27">
        <f>T932+U932+V932+W932+X932+IF(Y932="",0,Y932*サマリー!$B$9)+IF(Z932="",0,IF(Z932=200,サマリー!$B$10,IF(Z932=100,サマリー!$B$11,0)))+IF(AA932="",0,AA932*サマリー!$B$12)</f>
        <v>0</v>
      </c>
      <c r="E932" s="27">
        <f t="shared" si="28"/>
        <v>0</v>
      </c>
      <c r="I932" s="30"/>
      <c r="J932" s="30"/>
      <c r="K932" s="30"/>
      <c r="L932" s="30"/>
      <c r="M932" s="30"/>
      <c r="N932" s="30"/>
      <c r="O932" s="30"/>
      <c r="P932" s="30"/>
      <c r="Q932" s="31"/>
      <c r="R932" s="31"/>
      <c r="S932" s="31"/>
      <c r="T932" s="32"/>
      <c r="U932" s="32"/>
      <c r="V932" s="32"/>
      <c r="W932" s="32"/>
      <c r="X932" s="32"/>
      <c r="Y932" s="33"/>
      <c r="Z932" s="33"/>
      <c r="AA932" s="33"/>
    </row>
    <row r="933" spans="1:27">
      <c r="A933" s="29"/>
      <c r="B933" s="19">
        <f t="shared" si="29"/>
        <v>46327</v>
      </c>
      <c r="C933" s="27">
        <f>I933+J933+K933+L933+M933+N933+O933+P933+IF(Q933="",0,Q933*サマリー!$B$9)+IF(R933="",0,IF(R933=200,サマリー!$B$10,IF(R933=100,サマリー!$B$11,0)))+IF(S933="",0,S933*サマリー!$B$12)</f>
        <v>0</v>
      </c>
      <c r="D933" s="27">
        <f>T933+U933+V933+W933+X933+IF(Y933="",0,Y933*サマリー!$B$9)+IF(Z933="",0,IF(Z933=200,サマリー!$B$10,IF(Z933=100,サマリー!$B$11,0)))+IF(AA933="",0,AA933*サマリー!$B$12)</f>
        <v>0</v>
      </c>
      <c r="E933" s="27">
        <f t="shared" si="28"/>
        <v>0</v>
      </c>
      <c r="I933" s="30"/>
      <c r="J933" s="30"/>
      <c r="K933" s="30"/>
      <c r="L933" s="30"/>
      <c r="M933" s="30"/>
      <c r="N933" s="30"/>
      <c r="O933" s="30"/>
      <c r="P933" s="30"/>
      <c r="Q933" s="31"/>
      <c r="R933" s="31"/>
      <c r="S933" s="31"/>
      <c r="T933" s="32"/>
      <c r="U933" s="32"/>
      <c r="V933" s="32"/>
      <c r="W933" s="32"/>
      <c r="X933" s="32"/>
      <c r="Y933" s="33"/>
      <c r="Z933" s="33"/>
      <c r="AA933" s="33"/>
    </row>
    <row r="934" spans="1:27">
      <c r="A934" s="29"/>
      <c r="B934" s="19">
        <f t="shared" si="29"/>
        <v>46327</v>
      </c>
      <c r="C934" s="27">
        <f>I934+J934+K934+L934+M934+N934+O934+P934+IF(Q934="",0,Q934*サマリー!$B$9)+IF(R934="",0,IF(R934=200,サマリー!$B$10,IF(R934=100,サマリー!$B$11,0)))+IF(S934="",0,S934*サマリー!$B$12)</f>
        <v>0</v>
      </c>
      <c r="D934" s="27">
        <f>T934+U934+V934+W934+X934+IF(Y934="",0,Y934*サマリー!$B$9)+IF(Z934="",0,IF(Z934=200,サマリー!$B$10,IF(Z934=100,サマリー!$B$11,0)))+IF(AA934="",0,AA934*サマリー!$B$12)</f>
        <v>0</v>
      </c>
      <c r="E934" s="27">
        <f t="shared" si="28"/>
        <v>0</v>
      </c>
      <c r="I934" s="30"/>
      <c r="J934" s="30"/>
      <c r="K934" s="30"/>
      <c r="L934" s="30"/>
      <c r="M934" s="30"/>
      <c r="N934" s="30"/>
      <c r="O934" s="30"/>
      <c r="P934" s="30"/>
      <c r="Q934" s="31"/>
      <c r="R934" s="31"/>
      <c r="S934" s="31"/>
      <c r="T934" s="32"/>
      <c r="U934" s="32"/>
      <c r="V934" s="32"/>
      <c r="W934" s="32"/>
      <c r="X934" s="32"/>
      <c r="Y934" s="33"/>
      <c r="Z934" s="33"/>
      <c r="AA934" s="33"/>
    </row>
    <row r="935" spans="1:27">
      <c r="A935" s="29"/>
      <c r="B935" s="19">
        <f t="shared" si="29"/>
        <v>46327</v>
      </c>
      <c r="C935" s="27">
        <f>I935+J935+K935+L935+M935+N935+O935+P935+IF(Q935="",0,Q935*サマリー!$B$9)+IF(R935="",0,IF(R935=200,サマリー!$B$10,IF(R935=100,サマリー!$B$11,0)))+IF(S935="",0,S935*サマリー!$B$12)</f>
        <v>0</v>
      </c>
      <c r="D935" s="27">
        <f>T935+U935+V935+W935+X935+IF(Y935="",0,Y935*サマリー!$B$9)+IF(Z935="",0,IF(Z935=200,サマリー!$B$10,IF(Z935=100,サマリー!$B$11,0)))+IF(AA935="",0,AA935*サマリー!$B$12)</f>
        <v>0</v>
      </c>
      <c r="E935" s="27">
        <f t="shared" si="28"/>
        <v>0</v>
      </c>
      <c r="I935" s="30"/>
      <c r="J935" s="30"/>
      <c r="K935" s="30"/>
      <c r="L935" s="30"/>
      <c r="M935" s="30"/>
      <c r="N935" s="30"/>
      <c r="O935" s="30"/>
      <c r="P935" s="30"/>
      <c r="Q935" s="31"/>
      <c r="R935" s="31"/>
      <c r="S935" s="31"/>
      <c r="T935" s="32"/>
      <c r="U935" s="32"/>
      <c r="V935" s="32"/>
      <c r="W935" s="32"/>
      <c r="X935" s="32"/>
      <c r="Y935" s="33"/>
      <c r="Z935" s="33"/>
      <c r="AA935" s="33"/>
    </row>
    <row r="936" spans="1:27">
      <c r="A936" s="29"/>
      <c r="B936" s="19">
        <f t="shared" si="29"/>
        <v>46327</v>
      </c>
      <c r="C936" s="27">
        <f>I936+J936+K936+L936+M936+N936+O936+P936+IF(Q936="",0,Q936*サマリー!$B$9)+IF(R936="",0,IF(R936=200,サマリー!$B$10,IF(R936=100,サマリー!$B$11,0)))+IF(S936="",0,S936*サマリー!$B$12)</f>
        <v>0</v>
      </c>
      <c r="D936" s="27">
        <f>T936+U936+V936+W936+X936+IF(Y936="",0,Y936*サマリー!$B$9)+IF(Z936="",0,IF(Z936=200,サマリー!$B$10,IF(Z936=100,サマリー!$B$11,0)))+IF(AA936="",0,AA936*サマリー!$B$12)</f>
        <v>0</v>
      </c>
      <c r="E936" s="27">
        <f t="shared" si="28"/>
        <v>0</v>
      </c>
      <c r="I936" s="30"/>
      <c r="J936" s="30"/>
      <c r="K936" s="30"/>
      <c r="L936" s="30"/>
      <c r="M936" s="30"/>
      <c r="N936" s="30"/>
      <c r="O936" s="30"/>
      <c r="P936" s="30"/>
      <c r="Q936" s="31"/>
      <c r="R936" s="31"/>
      <c r="S936" s="31"/>
      <c r="T936" s="32"/>
      <c r="U936" s="32"/>
      <c r="V936" s="32"/>
      <c r="W936" s="32"/>
      <c r="X936" s="32"/>
      <c r="Y936" s="33"/>
      <c r="Z936" s="33"/>
      <c r="AA936" s="33"/>
    </row>
    <row r="937" spans="1:27">
      <c r="A937" s="29"/>
      <c r="B937" s="19">
        <f t="shared" si="29"/>
        <v>46327</v>
      </c>
      <c r="C937" s="27">
        <f>I937+J937+K937+L937+M937+N937+O937+P937+IF(Q937="",0,Q937*サマリー!$B$9)+IF(R937="",0,IF(R937=200,サマリー!$B$10,IF(R937=100,サマリー!$B$11,0)))+IF(S937="",0,S937*サマリー!$B$12)</f>
        <v>0</v>
      </c>
      <c r="D937" s="27">
        <f>T937+U937+V937+W937+X937+IF(Y937="",0,Y937*サマリー!$B$9)+IF(Z937="",0,IF(Z937=200,サマリー!$B$10,IF(Z937=100,サマリー!$B$11,0)))+IF(AA937="",0,AA937*サマリー!$B$12)</f>
        <v>0</v>
      </c>
      <c r="E937" s="27">
        <f t="shared" si="28"/>
        <v>0</v>
      </c>
      <c r="I937" s="30"/>
      <c r="J937" s="30"/>
      <c r="K937" s="30"/>
      <c r="L937" s="30"/>
      <c r="M937" s="30"/>
      <c r="N937" s="30"/>
      <c r="O937" s="30"/>
      <c r="P937" s="30"/>
      <c r="Q937" s="31"/>
      <c r="R937" s="31"/>
      <c r="S937" s="31"/>
      <c r="T937" s="32"/>
      <c r="U937" s="32"/>
      <c r="V937" s="32"/>
      <c r="W937" s="32"/>
      <c r="X937" s="32"/>
      <c r="Y937" s="33"/>
      <c r="Z937" s="33"/>
      <c r="AA937" s="33"/>
    </row>
    <row r="938" spans="1:27">
      <c r="A938" s="29"/>
      <c r="B938" s="19">
        <f t="shared" si="29"/>
        <v>46327</v>
      </c>
      <c r="C938" s="27">
        <f>I938+J938+K938+L938+M938+N938+O938+P938+IF(Q938="",0,Q938*サマリー!$B$9)+IF(R938="",0,IF(R938=200,サマリー!$B$10,IF(R938=100,サマリー!$B$11,0)))+IF(S938="",0,S938*サマリー!$B$12)</f>
        <v>0</v>
      </c>
      <c r="D938" s="27">
        <f>T938+U938+V938+W938+X938+IF(Y938="",0,Y938*サマリー!$B$9)+IF(Z938="",0,IF(Z938=200,サマリー!$B$10,IF(Z938=100,サマリー!$B$11,0)))+IF(AA938="",0,AA938*サマリー!$B$12)</f>
        <v>0</v>
      </c>
      <c r="E938" s="27">
        <f t="shared" si="28"/>
        <v>0</v>
      </c>
      <c r="I938" s="30"/>
      <c r="J938" s="30"/>
      <c r="K938" s="30"/>
      <c r="L938" s="30"/>
      <c r="M938" s="30"/>
      <c r="N938" s="30"/>
      <c r="O938" s="30"/>
      <c r="P938" s="30"/>
      <c r="Q938" s="31"/>
      <c r="R938" s="31"/>
      <c r="S938" s="31"/>
      <c r="T938" s="32"/>
      <c r="U938" s="32"/>
      <c r="V938" s="32"/>
      <c r="W938" s="32"/>
      <c r="X938" s="32"/>
      <c r="Y938" s="33"/>
      <c r="Z938" s="33"/>
      <c r="AA938" s="33"/>
    </row>
    <row r="939" spans="1:27">
      <c r="A939" s="29"/>
      <c r="B939" s="19">
        <f t="shared" si="29"/>
        <v>46327</v>
      </c>
      <c r="C939" s="27">
        <f>I939+J939+K939+L939+M939+N939+O939+P939+IF(Q939="",0,Q939*サマリー!$B$9)+IF(R939="",0,IF(R939=200,サマリー!$B$10,IF(R939=100,サマリー!$B$11,0)))+IF(S939="",0,S939*サマリー!$B$12)</f>
        <v>0</v>
      </c>
      <c r="D939" s="27">
        <f>T939+U939+V939+W939+X939+IF(Y939="",0,Y939*サマリー!$B$9)+IF(Z939="",0,IF(Z939=200,サマリー!$B$10,IF(Z939=100,サマリー!$B$11,0)))+IF(AA939="",0,AA939*サマリー!$B$12)</f>
        <v>0</v>
      </c>
      <c r="E939" s="27">
        <f t="shared" si="28"/>
        <v>0</v>
      </c>
      <c r="I939" s="30"/>
      <c r="J939" s="30"/>
      <c r="K939" s="30"/>
      <c r="L939" s="30"/>
      <c r="M939" s="30"/>
      <c r="N939" s="30"/>
      <c r="O939" s="30"/>
      <c r="P939" s="30"/>
      <c r="Q939" s="31"/>
      <c r="R939" s="31"/>
      <c r="S939" s="31"/>
      <c r="T939" s="32"/>
      <c r="U939" s="32"/>
      <c r="V939" s="32"/>
      <c r="W939" s="32"/>
      <c r="X939" s="32"/>
      <c r="Y939" s="33"/>
      <c r="Z939" s="33"/>
      <c r="AA939" s="33"/>
    </row>
    <row r="940" spans="1:27">
      <c r="A940" s="29"/>
      <c r="B940" s="19">
        <f t="shared" si="29"/>
        <v>46327</v>
      </c>
      <c r="C940" s="27">
        <f>I940+J940+K940+L940+M940+N940+O940+P940+IF(Q940="",0,Q940*サマリー!$B$9)+IF(R940="",0,IF(R940=200,サマリー!$B$10,IF(R940=100,サマリー!$B$11,0)))+IF(S940="",0,S940*サマリー!$B$12)</f>
        <v>0</v>
      </c>
      <c r="D940" s="27">
        <f>T940+U940+V940+W940+X940+IF(Y940="",0,Y940*サマリー!$B$9)+IF(Z940="",0,IF(Z940=200,サマリー!$B$10,IF(Z940=100,サマリー!$B$11,0)))+IF(AA940="",0,AA940*サマリー!$B$12)</f>
        <v>0</v>
      </c>
      <c r="E940" s="27">
        <f t="shared" si="28"/>
        <v>0</v>
      </c>
      <c r="I940" s="30"/>
      <c r="J940" s="30"/>
      <c r="K940" s="30"/>
      <c r="L940" s="30"/>
      <c r="M940" s="30"/>
      <c r="N940" s="30"/>
      <c r="O940" s="30"/>
      <c r="P940" s="30"/>
      <c r="Q940" s="31"/>
      <c r="R940" s="31"/>
      <c r="S940" s="31"/>
      <c r="T940" s="32"/>
      <c r="U940" s="32"/>
      <c r="V940" s="32"/>
      <c r="W940" s="32"/>
      <c r="X940" s="32"/>
      <c r="Y940" s="33"/>
      <c r="Z940" s="33"/>
      <c r="AA940" s="33"/>
    </row>
    <row r="941" spans="1:27">
      <c r="A941" s="29"/>
      <c r="B941" s="19">
        <f t="shared" si="29"/>
        <v>46327</v>
      </c>
      <c r="C941" s="27">
        <f>I941+J941+K941+L941+M941+N941+O941+P941+IF(Q941="",0,Q941*サマリー!$B$9)+IF(R941="",0,IF(R941=200,サマリー!$B$10,IF(R941=100,サマリー!$B$11,0)))+IF(S941="",0,S941*サマリー!$B$12)</f>
        <v>0</v>
      </c>
      <c r="D941" s="27">
        <f>T941+U941+V941+W941+X941+IF(Y941="",0,Y941*サマリー!$B$9)+IF(Z941="",0,IF(Z941=200,サマリー!$B$10,IF(Z941=100,サマリー!$B$11,0)))+IF(AA941="",0,AA941*サマリー!$B$12)</f>
        <v>0</v>
      </c>
      <c r="E941" s="27">
        <f t="shared" si="28"/>
        <v>0</v>
      </c>
      <c r="I941" s="30"/>
      <c r="J941" s="30"/>
      <c r="K941" s="30"/>
      <c r="L941" s="30"/>
      <c r="M941" s="30"/>
      <c r="N941" s="30"/>
      <c r="O941" s="30"/>
      <c r="P941" s="30"/>
      <c r="Q941" s="31"/>
      <c r="R941" s="31"/>
      <c r="S941" s="31"/>
      <c r="T941" s="32"/>
      <c r="U941" s="32"/>
      <c r="V941" s="32"/>
      <c r="W941" s="32"/>
      <c r="X941" s="32"/>
      <c r="Y941" s="33"/>
      <c r="Z941" s="33"/>
      <c r="AA941" s="33"/>
    </row>
    <row r="942" spans="1:27">
      <c r="A942" s="29"/>
      <c r="B942" s="19">
        <f t="shared" si="29"/>
        <v>46327</v>
      </c>
      <c r="C942" s="27">
        <f>I942+J942+K942+L942+M942+N942+O942+P942+IF(Q942="",0,Q942*サマリー!$B$9)+IF(R942="",0,IF(R942=200,サマリー!$B$10,IF(R942=100,サマリー!$B$11,0)))+IF(S942="",0,S942*サマリー!$B$12)</f>
        <v>0</v>
      </c>
      <c r="D942" s="27">
        <f>T942+U942+V942+W942+X942+IF(Y942="",0,Y942*サマリー!$B$9)+IF(Z942="",0,IF(Z942=200,サマリー!$B$10,IF(Z942=100,サマリー!$B$11,0)))+IF(AA942="",0,AA942*サマリー!$B$12)</f>
        <v>0</v>
      </c>
      <c r="E942" s="27">
        <f t="shared" si="28"/>
        <v>0</v>
      </c>
      <c r="I942" s="30"/>
      <c r="J942" s="30"/>
      <c r="K942" s="30"/>
      <c r="L942" s="30"/>
      <c r="M942" s="30"/>
      <c r="N942" s="30"/>
      <c r="O942" s="30"/>
      <c r="P942" s="30"/>
      <c r="Q942" s="31"/>
      <c r="R942" s="31"/>
      <c r="S942" s="31"/>
      <c r="T942" s="32"/>
      <c r="U942" s="32"/>
      <c r="V942" s="32"/>
      <c r="W942" s="32"/>
      <c r="X942" s="32"/>
      <c r="Y942" s="33"/>
      <c r="Z942" s="33"/>
      <c r="AA942" s="33"/>
    </row>
    <row r="943" spans="1:27">
      <c r="A943" s="29"/>
      <c r="B943" s="19">
        <f t="shared" si="29"/>
        <v>46327</v>
      </c>
      <c r="C943" s="27">
        <f>I943+J943+K943+L943+M943+N943+O943+P943+IF(Q943="",0,Q943*サマリー!$B$9)+IF(R943="",0,IF(R943=200,サマリー!$B$10,IF(R943=100,サマリー!$B$11,0)))+IF(S943="",0,S943*サマリー!$B$12)</f>
        <v>0</v>
      </c>
      <c r="D943" s="27">
        <f>T943+U943+V943+W943+X943+IF(Y943="",0,Y943*サマリー!$B$9)+IF(Z943="",0,IF(Z943=200,サマリー!$B$10,IF(Z943=100,サマリー!$B$11,0)))+IF(AA943="",0,AA943*サマリー!$B$12)</f>
        <v>0</v>
      </c>
      <c r="E943" s="27">
        <f t="shared" si="28"/>
        <v>0</v>
      </c>
      <c r="I943" s="30"/>
      <c r="J943" s="30"/>
      <c r="K943" s="30"/>
      <c r="L943" s="30"/>
      <c r="M943" s="30"/>
      <c r="N943" s="30"/>
      <c r="O943" s="30"/>
      <c r="P943" s="30"/>
      <c r="Q943" s="31"/>
      <c r="R943" s="31"/>
      <c r="S943" s="31"/>
      <c r="T943" s="32"/>
      <c r="U943" s="32"/>
      <c r="V943" s="32"/>
      <c r="W943" s="32"/>
      <c r="X943" s="32"/>
      <c r="Y943" s="33"/>
      <c r="Z943" s="33"/>
      <c r="AA943" s="33"/>
    </row>
    <row r="944" spans="1:27">
      <c r="A944" s="29"/>
      <c r="B944" s="19">
        <f t="shared" si="29"/>
        <v>46327</v>
      </c>
      <c r="C944" s="27">
        <f>I944+J944+K944+L944+M944+N944+O944+P944+IF(Q944="",0,Q944*サマリー!$B$9)+IF(R944="",0,IF(R944=200,サマリー!$B$10,IF(R944=100,サマリー!$B$11,0)))+IF(S944="",0,S944*サマリー!$B$12)</f>
        <v>0</v>
      </c>
      <c r="D944" s="27">
        <f>T944+U944+V944+W944+X944+IF(Y944="",0,Y944*サマリー!$B$9)+IF(Z944="",0,IF(Z944=200,サマリー!$B$10,IF(Z944=100,サマリー!$B$11,0)))+IF(AA944="",0,AA944*サマリー!$B$12)</f>
        <v>0</v>
      </c>
      <c r="E944" s="27">
        <f t="shared" si="28"/>
        <v>0</v>
      </c>
      <c r="I944" s="30"/>
      <c r="J944" s="30"/>
      <c r="K944" s="30"/>
      <c r="L944" s="30"/>
      <c r="M944" s="30"/>
      <c r="N944" s="30"/>
      <c r="O944" s="30"/>
      <c r="P944" s="30"/>
      <c r="Q944" s="31"/>
      <c r="R944" s="31"/>
      <c r="S944" s="31"/>
      <c r="T944" s="32"/>
      <c r="U944" s="32"/>
      <c r="V944" s="32"/>
      <c r="W944" s="32"/>
      <c r="X944" s="32"/>
      <c r="Y944" s="33"/>
      <c r="Z944" s="33"/>
      <c r="AA944" s="33"/>
    </row>
    <row r="945" spans="1:27">
      <c r="A945" s="29"/>
      <c r="B945" s="19">
        <f t="shared" si="29"/>
        <v>46327</v>
      </c>
      <c r="C945" s="27">
        <f>I945+J945+K945+L945+M945+N945+O945+P945+IF(Q945="",0,Q945*サマリー!$B$9)+IF(R945="",0,IF(R945=200,サマリー!$B$10,IF(R945=100,サマリー!$B$11,0)))+IF(S945="",0,S945*サマリー!$B$12)</f>
        <v>0</v>
      </c>
      <c r="D945" s="27">
        <f>T945+U945+V945+W945+X945+IF(Y945="",0,Y945*サマリー!$B$9)+IF(Z945="",0,IF(Z945=200,サマリー!$B$10,IF(Z945=100,サマリー!$B$11,0)))+IF(AA945="",0,AA945*サマリー!$B$12)</f>
        <v>0</v>
      </c>
      <c r="E945" s="27">
        <f t="shared" si="28"/>
        <v>0</v>
      </c>
      <c r="I945" s="30"/>
      <c r="J945" s="30"/>
      <c r="K945" s="30"/>
      <c r="L945" s="30"/>
      <c r="M945" s="30"/>
      <c r="N945" s="30"/>
      <c r="O945" s="30"/>
      <c r="P945" s="30"/>
      <c r="Q945" s="31"/>
      <c r="R945" s="31"/>
      <c r="S945" s="31"/>
      <c r="T945" s="32"/>
      <c r="U945" s="32"/>
      <c r="V945" s="32"/>
      <c r="W945" s="32"/>
      <c r="X945" s="32"/>
      <c r="Y945" s="33"/>
      <c r="Z945" s="33"/>
      <c r="AA945" s="33"/>
    </row>
    <row r="946" spans="1:27">
      <c r="A946" s="29"/>
      <c r="B946" s="19">
        <f t="shared" si="29"/>
        <v>46327</v>
      </c>
      <c r="C946" s="27">
        <f>I946+J946+K946+L946+M946+N946+O946+P946+IF(Q946="",0,Q946*サマリー!$B$9)+IF(R946="",0,IF(R946=200,サマリー!$B$10,IF(R946=100,サマリー!$B$11,0)))+IF(S946="",0,S946*サマリー!$B$12)</f>
        <v>0</v>
      </c>
      <c r="D946" s="27">
        <f>T946+U946+V946+W946+X946+IF(Y946="",0,Y946*サマリー!$B$9)+IF(Z946="",0,IF(Z946=200,サマリー!$B$10,IF(Z946=100,サマリー!$B$11,0)))+IF(AA946="",0,AA946*サマリー!$B$12)</f>
        <v>0</v>
      </c>
      <c r="E946" s="27">
        <f t="shared" si="28"/>
        <v>0</v>
      </c>
      <c r="I946" s="30"/>
      <c r="J946" s="30"/>
      <c r="K946" s="30"/>
      <c r="L946" s="30"/>
      <c r="M946" s="30"/>
      <c r="N946" s="30"/>
      <c r="O946" s="30"/>
      <c r="P946" s="30"/>
      <c r="Q946" s="31"/>
      <c r="R946" s="31"/>
      <c r="S946" s="31"/>
      <c r="T946" s="32"/>
      <c r="U946" s="32"/>
      <c r="V946" s="32"/>
      <c r="W946" s="32"/>
      <c r="X946" s="32"/>
      <c r="Y946" s="33"/>
      <c r="Z946" s="33"/>
      <c r="AA946" s="33"/>
    </row>
    <row r="947" spans="1:27">
      <c r="A947" s="29"/>
      <c r="B947" s="19">
        <f t="shared" si="29"/>
        <v>46327</v>
      </c>
      <c r="C947" s="27">
        <f>I947+J947+K947+L947+M947+N947+O947+P947+IF(Q947="",0,Q947*サマリー!$B$9)+IF(R947="",0,IF(R947=200,サマリー!$B$10,IF(R947=100,サマリー!$B$11,0)))+IF(S947="",0,S947*サマリー!$B$12)</f>
        <v>0</v>
      </c>
      <c r="D947" s="27">
        <f>T947+U947+V947+W947+X947+IF(Y947="",0,Y947*サマリー!$B$9)+IF(Z947="",0,IF(Z947=200,サマリー!$B$10,IF(Z947=100,サマリー!$B$11,0)))+IF(AA947="",0,AA947*サマリー!$B$12)</f>
        <v>0</v>
      </c>
      <c r="E947" s="27">
        <f t="shared" si="28"/>
        <v>0</v>
      </c>
      <c r="I947" s="30"/>
      <c r="J947" s="30"/>
      <c r="K947" s="30"/>
      <c r="L947" s="30"/>
      <c r="M947" s="30"/>
      <c r="N947" s="30"/>
      <c r="O947" s="30"/>
      <c r="P947" s="30"/>
      <c r="Q947" s="31"/>
      <c r="R947" s="31"/>
      <c r="S947" s="31"/>
      <c r="T947" s="32"/>
      <c r="U947" s="32"/>
      <c r="V947" s="32"/>
      <c r="W947" s="32"/>
      <c r="X947" s="32"/>
      <c r="Y947" s="33"/>
      <c r="Z947" s="33"/>
      <c r="AA947" s="33"/>
    </row>
    <row r="948" spans="1:27">
      <c r="A948" s="29"/>
      <c r="B948" s="19">
        <f t="shared" si="29"/>
        <v>46327</v>
      </c>
      <c r="C948" s="27">
        <f>I948+J948+K948+L948+M948+N948+O948+P948+IF(Q948="",0,Q948*サマリー!$B$9)+IF(R948="",0,IF(R948=200,サマリー!$B$10,IF(R948=100,サマリー!$B$11,0)))+IF(S948="",0,S948*サマリー!$B$12)</f>
        <v>0</v>
      </c>
      <c r="D948" s="27">
        <f>T948+U948+V948+W948+X948+IF(Y948="",0,Y948*サマリー!$B$9)+IF(Z948="",0,IF(Z948=200,サマリー!$B$10,IF(Z948=100,サマリー!$B$11,0)))+IF(AA948="",0,AA948*サマリー!$B$12)</f>
        <v>0</v>
      </c>
      <c r="E948" s="27">
        <f t="shared" si="28"/>
        <v>0</v>
      </c>
      <c r="I948" s="30"/>
      <c r="J948" s="30"/>
      <c r="K948" s="30"/>
      <c r="L948" s="30"/>
      <c r="M948" s="30"/>
      <c r="N948" s="30"/>
      <c r="O948" s="30"/>
      <c r="P948" s="30"/>
      <c r="Q948" s="31"/>
      <c r="R948" s="31"/>
      <c r="S948" s="31"/>
      <c r="T948" s="32"/>
      <c r="U948" s="32"/>
      <c r="V948" s="32"/>
      <c r="W948" s="32"/>
      <c r="X948" s="32"/>
      <c r="Y948" s="33"/>
      <c r="Z948" s="33"/>
      <c r="AA948" s="33"/>
    </row>
    <row r="949" spans="1:27">
      <c r="A949" s="29"/>
      <c r="B949" s="19">
        <f t="shared" si="29"/>
        <v>46327</v>
      </c>
      <c r="C949" s="27">
        <f>I949+J949+K949+L949+M949+N949+O949+P949+IF(Q949="",0,Q949*サマリー!$B$9)+IF(R949="",0,IF(R949=200,サマリー!$B$10,IF(R949=100,サマリー!$B$11,0)))+IF(S949="",0,S949*サマリー!$B$12)</f>
        <v>0</v>
      </c>
      <c r="D949" s="27">
        <f>T949+U949+V949+W949+X949+IF(Y949="",0,Y949*サマリー!$B$9)+IF(Z949="",0,IF(Z949=200,サマリー!$B$10,IF(Z949=100,サマリー!$B$11,0)))+IF(AA949="",0,AA949*サマリー!$B$12)</f>
        <v>0</v>
      </c>
      <c r="E949" s="27">
        <f t="shared" si="28"/>
        <v>0</v>
      </c>
      <c r="I949" s="30"/>
      <c r="J949" s="30"/>
      <c r="K949" s="30"/>
      <c r="L949" s="30"/>
      <c r="M949" s="30"/>
      <c r="N949" s="30"/>
      <c r="O949" s="30"/>
      <c r="P949" s="30"/>
      <c r="Q949" s="31"/>
      <c r="R949" s="31"/>
      <c r="S949" s="31"/>
      <c r="T949" s="32"/>
      <c r="U949" s="32"/>
      <c r="V949" s="32"/>
      <c r="W949" s="32"/>
      <c r="X949" s="32"/>
      <c r="Y949" s="33"/>
      <c r="Z949" s="33"/>
      <c r="AA949" s="33"/>
    </row>
    <row r="950" spans="1:27">
      <c r="A950" s="29"/>
      <c r="B950" s="19">
        <f t="shared" si="29"/>
        <v>46327</v>
      </c>
      <c r="C950" s="27">
        <f>I950+J950+K950+L950+M950+N950+O950+P950+IF(Q950="",0,Q950*サマリー!$B$9)+IF(R950="",0,IF(R950=200,サマリー!$B$10,IF(R950=100,サマリー!$B$11,0)))+IF(S950="",0,S950*サマリー!$B$12)</f>
        <v>0</v>
      </c>
      <c r="D950" s="27">
        <f>T950+U950+V950+W950+X950+IF(Y950="",0,Y950*サマリー!$B$9)+IF(Z950="",0,IF(Z950=200,サマリー!$B$10,IF(Z950=100,サマリー!$B$11,0)))+IF(AA950="",0,AA950*サマリー!$B$12)</f>
        <v>0</v>
      </c>
      <c r="E950" s="27">
        <f t="shared" si="28"/>
        <v>0</v>
      </c>
      <c r="I950" s="30"/>
      <c r="J950" s="30"/>
      <c r="K950" s="30"/>
      <c r="L950" s="30"/>
      <c r="M950" s="30"/>
      <c r="N950" s="30"/>
      <c r="O950" s="30"/>
      <c r="P950" s="30"/>
      <c r="Q950" s="31"/>
      <c r="R950" s="31"/>
      <c r="S950" s="31"/>
      <c r="T950" s="32"/>
      <c r="U950" s="32"/>
      <c r="V950" s="32"/>
      <c r="W950" s="32"/>
      <c r="X950" s="32"/>
      <c r="Y950" s="33"/>
      <c r="Z950" s="33"/>
      <c r="AA950" s="33"/>
    </row>
    <row r="951" spans="1:27">
      <c r="A951" s="29"/>
      <c r="B951" s="19">
        <f t="shared" si="29"/>
        <v>46327</v>
      </c>
      <c r="C951" s="27">
        <f>I951+J951+K951+L951+M951+N951+O951+P951+IF(Q951="",0,Q951*サマリー!$B$9)+IF(R951="",0,IF(R951=200,サマリー!$B$10,IF(R951=100,サマリー!$B$11,0)))+IF(S951="",0,S951*サマリー!$B$12)</f>
        <v>0</v>
      </c>
      <c r="D951" s="27">
        <f>T951+U951+V951+W951+X951+IF(Y951="",0,Y951*サマリー!$B$9)+IF(Z951="",0,IF(Z951=200,サマリー!$B$10,IF(Z951=100,サマリー!$B$11,0)))+IF(AA951="",0,AA951*サマリー!$B$12)</f>
        <v>0</v>
      </c>
      <c r="E951" s="27">
        <f t="shared" si="28"/>
        <v>0</v>
      </c>
      <c r="I951" s="30"/>
      <c r="J951" s="30"/>
      <c r="K951" s="30"/>
      <c r="L951" s="30"/>
      <c r="M951" s="30"/>
      <c r="N951" s="30"/>
      <c r="O951" s="30"/>
      <c r="P951" s="30"/>
      <c r="Q951" s="31"/>
      <c r="R951" s="31"/>
      <c r="S951" s="31"/>
      <c r="T951" s="32"/>
      <c r="U951" s="32"/>
      <c r="V951" s="32"/>
      <c r="W951" s="32"/>
      <c r="X951" s="32"/>
      <c r="Y951" s="33"/>
      <c r="Z951" s="33"/>
      <c r="AA951" s="33"/>
    </row>
    <row r="952" spans="1:27">
      <c r="A952" s="29"/>
      <c r="B952" s="19">
        <f t="shared" si="29"/>
        <v>46327</v>
      </c>
      <c r="C952" s="27">
        <f>I952+J952+K952+L952+M952+N952+O952+P952+IF(Q952="",0,Q952*サマリー!$B$9)+IF(R952="",0,IF(R952=200,サマリー!$B$10,IF(R952=100,サマリー!$B$11,0)))+IF(S952="",0,S952*サマリー!$B$12)</f>
        <v>0</v>
      </c>
      <c r="D952" s="27">
        <f>T952+U952+V952+W952+X952+IF(Y952="",0,Y952*サマリー!$B$9)+IF(Z952="",0,IF(Z952=200,サマリー!$B$10,IF(Z952=100,サマリー!$B$11,0)))+IF(AA952="",0,AA952*サマリー!$B$12)</f>
        <v>0</v>
      </c>
      <c r="E952" s="27">
        <f t="shared" si="28"/>
        <v>0</v>
      </c>
      <c r="I952" s="30"/>
      <c r="J952" s="30"/>
      <c r="K952" s="30"/>
      <c r="L952" s="30"/>
      <c r="M952" s="30"/>
      <c r="N952" s="30"/>
      <c r="O952" s="30"/>
      <c r="P952" s="30"/>
      <c r="Q952" s="31"/>
      <c r="R952" s="31"/>
      <c r="S952" s="31"/>
      <c r="T952" s="32"/>
      <c r="U952" s="32"/>
      <c r="V952" s="32"/>
      <c r="W952" s="32"/>
      <c r="X952" s="32"/>
      <c r="Y952" s="33"/>
      <c r="Z952" s="33"/>
      <c r="AA952" s="33"/>
    </row>
    <row r="953" spans="1:27">
      <c r="A953" s="29"/>
      <c r="B953" s="19">
        <f t="shared" si="29"/>
        <v>46327</v>
      </c>
      <c r="C953" s="27">
        <f>I953+J953+K953+L953+M953+N953+O953+P953+IF(Q953="",0,Q953*サマリー!$B$9)+IF(R953="",0,IF(R953=200,サマリー!$B$10,IF(R953=100,サマリー!$B$11,0)))+IF(S953="",0,S953*サマリー!$B$12)</f>
        <v>0</v>
      </c>
      <c r="D953" s="27">
        <f>T953+U953+V953+W953+X953+IF(Y953="",0,Y953*サマリー!$B$9)+IF(Z953="",0,IF(Z953=200,サマリー!$B$10,IF(Z953=100,サマリー!$B$11,0)))+IF(AA953="",0,AA953*サマリー!$B$12)</f>
        <v>0</v>
      </c>
      <c r="E953" s="27">
        <f t="shared" si="28"/>
        <v>0</v>
      </c>
      <c r="I953" s="30"/>
      <c r="J953" s="30"/>
      <c r="K953" s="30"/>
      <c r="L953" s="30"/>
      <c r="M953" s="30"/>
      <c r="N953" s="30"/>
      <c r="O953" s="30"/>
      <c r="P953" s="30"/>
      <c r="Q953" s="31"/>
      <c r="R953" s="31"/>
      <c r="S953" s="31"/>
      <c r="T953" s="32"/>
      <c r="U953" s="32"/>
      <c r="V953" s="32"/>
      <c r="W953" s="32"/>
      <c r="X953" s="32"/>
      <c r="Y953" s="33"/>
      <c r="Z953" s="33"/>
      <c r="AA953" s="33"/>
    </row>
    <row r="954" spans="1:27">
      <c r="A954" s="29"/>
      <c r="B954" s="19">
        <f t="shared" si="29"/>
        <v>46327</v>
      </c>
      <c r="C954" s="27">
        <f>I954+J954+K954+L954+M954+N954+O954+P954+IF(Q954="",0,Q954*サマリー!$B$9)+IF(R954="",0,IF(R954=200,サマリー!$B$10,IF(R954=100,サマリー!$B$11,0)))+IF(S954="",0,S954*サマリー!$B$12)</f>
        <v>0</v>
      </c>
      <c r="D954" s="27">
        <f>T954+U954+V954+W954+X954+IF(Y954="",0,Y954*サマリー!$B$9)+IF(Z954="",0,IF(Z954=200,サマリー!$B$10,IF(Z954=100,サマリー!$B$11,0)))+IF(AA954="",0,AA954*サマリー!$B$12)</f>
        <v>0</v>
      </c>
      <c r="E954" s="27">
        <f t="shared" si="28"/>
        <v>0</v>
      </c>
      <c r="I954" s="30"/>
      <c r="J954" s="30"/>
      <c r="K954" s="30"/>
      <c r="L954" s="30"/>
      <c r="M954" s="30"/>
      <c r="N954" s="30"/>
      <c r="O954" s="30"/>
      <c r="P954" s="30"/>
      <c r="Q954" s="31"/>
      <c r="R954" s="31"/>
      <c r="S954" s="31"/>
      <c r="T954" s="32"/>
      <c r="U954" s="32"/>
      <c r="V954" s="32"/>
      <c r="W954" s="32"/>
      <c r="X954" s="32"/>
      <c r="Y954" s="33"/>
      <c r="Z954" s="33"/>
      <c r="AA954" s="33"/>
    </row>
    <row r="955" spans="1:27">
      <c r="A955" s="29"/>
      <c r="B955" s="19">
        <f t="shared" si="29"/>
        <v>46327</v>
      </c>
      <c r="C955" s="27">
        <f>I955+J955+K955+L955+M955+N955+O955+P955+IF(Q955="",0,Q955*サマリー!$B$9)+IF(R955="",0,IF(R955=200,サマリー!$B$10,IF(R955=100,サマリー!$B$11,0)))+IF(S955="",0,S955*サマリー!$B$12)</f>
        <v>0</v>
      </c>
      <c r="D955" s="27">
        <f>T955+U955+V955+W955+X955+IF(Y955="",0,Y955*サマリー!$B$9)+IF(Z955="",0,IF(Z955=200,サマリー!$B$10,IF(Z955=100,サマリー!$B$11,0)))+IF(AA955="",0,AA955*サマリー!$B$12)</f>
        <v>0</v>
      </c>
      <c r="E955" s="27">
        <f t="shared" si="28"/>
        <v>0</v>
      </c>
      <c r="I955" s="30"/>
      <c r="J955" s="30"/>
      <c r="K955" s="30"/>
      <c r="L955" s="30"/>
      <c r="M955" s="30"/>
      <c r="N955" s="30"/>
      <c r="O955" s="30"/>
      <c r="P955" s="30"/>
      <c r="Q955" s="31"/>
      <c r="R955" s="31"/>
      <c r="S955" s="31"/>
      <c r="T955" s="32"/>
      <c r="U955" s="32"/>
      <c r="V955" s="32"/>
      <c r="W955" s="32"/>
      <c r="X955" s="32"/>
      <c r="Y955" s="33"/>
      <c r="Z955" s="33"/>
      <c r="AA955" s="33"/>
    </row>
    <row r="956" spans="1:27">
      <c r="A956" s="29"/>
      <c r="B956" s="19">
        <f t="shared" si="29"/>
        <v>46327</v>
      </c>
      <c r="C956" s="27">
        <f>I956+J956+K956+L956+M956+N956+O956+P956+IF(Q956="",0,Q956*サマリー!$B$9)+IF(R956="",0,IF(R956=200,サマリー!$B$10,IF(R956=100,サマリー!$B$11,0)))+IF(S956="",0,S956*サマリー!$B$12)</f>
        <v>0</v>
      </c>
      <c r="D956" s="27">
        <f>T956+U956+V956+W956+X956+IF(Y956="",0,Y956*サマリー!$B$9)+IF(Z956="",0,IF(Z956=200,サマリー!$B$10,IF(Z956=100,サマリー!$B$11,0)))+IF(AA956="",0,AA956*サマリー!$B$12)</f>
        <v>0</v>
      </c>
      <c r="E956" s="27">
        <f t="shared" si="28"/>
        <v>0</v>
      </c>
      <c r="I956" s="30"/>
      <c r="J956" s="30"/>
      <c r="K956" s="30"/>
      <c r="L956" s="30"/>
      <c r="M956" s="30"/>
      <c r="N956" s="30"/>
      <c r="O956" s="30"/>
      <c r="P956" s="30"/>
      <c r="Q956" s="31"/>
      <c r="R956" s="31"/>
      <c r="S956" s="31"/>
      <c r="T956" s="32"/>
      <c r="U956" s="32"/>
      <c r="V956" s="32"/>
      <c r="W956" s="32"/>
      <c r="X956" s="32"/>
      <c r="Y956" s="33"/>
      <c r="Z956" s="33"/>
      <c r="AA956" s="33"/>
    </row>
    <row r="957" spans="1:27">
      <c r="A957" s="29"/>
      <c r="B957" s="19">
        <f t="shared" si="29"/>
        <v>46327</v>
      </c>
      <c r="C957" s="27">
        <f>I957+J957+K957+L957+M957+N957+O957+P957+IF(Q957="",0,Q957*サマリー!$B$9)+IF(R957="",0,IF(R957=200,サマリー!$B$10,IF(R957=100,サマリー!$B$11,0)))+IF(S957="",0,S957*サマリー!$B$12)</f>
        <v>0</v>
      </c>
      <c r="D957" s="27">
        <f>T957+U957+V957+W957+X957+IF(Y957="",0,Y957*サマリー!$B$9)+IF(Z957="",0,IF(Z957=200,サマリー!$B$10,IF(Z957=100,サマリー!$B$11,0)))+IF(AA957="",0,AA957*サマリー!$B$12)</f>
        <v>0</v>
      </c>
      <c r="E957" s="27">
        <f t="shared" si="28"/>
        <v>0</v>
      </c>
      <c r="I957" s="30"/>
      <c r="J957" s="30"/>
      <c r="K957" s="30"/>
      <c r="L957" s="30"/>
      <c r="M957" s="30"/>
      <c r="N957" s="30"/>
      <c r="O957" s="30"/>
      <c r="P957" s="30"/>
      <c r="Q957" s="31"/>
      <c r="R957" s="31"/>
      <c r="S957" s="31"/>
      <c r="T957" s="32"/>
      <c r="U957" s="32"/>
      <c r="V957" s="32"/>
      <c r="W957" s="32"/>
      <c r="X957" s="32"/>
      <c r="Y957" s="33"/>
      <c r="Z957" s="33"/>
      <c r="AA957" s="33"/>
    </row>
    <row r="958" spans="1:27">
      <c r="A958" s="29"/>
      <c r="B958" s="19">
        <f t="shared" si="29"/>
        <v>46327</v>
      </c>
      <c r="C958" s="27">
        <f>I958+J958+K958+L958+M958+N958+O958+P958+IF(Q958="",0,Q958*サマリー!$B$9)+IF(R958="",0,IF(R958=200,サマリー!$B$10,IF(R958=100,サマリー!$B$11,0)))+IF(S958="",0,S958*サマリー!$B$12)</f>
        <v>0</v>
      </c>
      <c r="D958" s="27">
        <f>T958+U958+V958+W958+X958+IF(Y958="",0,Y958*サマリー!$B$9)+IF(Z958="",0,IF(Z958=200,サマリー!$B$10,IF(Z958=100,サマリー!$B$11,0)))+IF(AA958="",0,AA958*サマリー!$B$12)</f>
        <v>0</v>
      </c>
      <c r="E958" s="27">
        <f t="shared" si="28"/>
        <v>0</v>
      </c>
      <c r="I958" s="30"/>
      <c r="J958" s="30"/>
      <c r="K958" s="30"/>
      <c r="L958" s="30"/>
      <c r="M958" s="30"/>
      <c r="N958" s="30"/>
      <c r="O958" s="30"/>
      <c r="P958" s="30"/>
      <c r="Q958" s="31"/>
      <c r="R958" s="31"/>
      <c r="S958" s="31"/>
      <c r="T958" s="32"/>
      <c r="U958" s="32"/>
      <c r="V958" s="32"/>
      <c r="W958" s="32"/>
      <c r="X958" s="32"/>
      <c r="Y958" s="33"/>
      <c r="Z958" s="33"/>
      <c r="AA958" s="33"/>
    </row>
    <row r="959" spans="1:27">
      <c r="A959" s="29"/>
      <c r="B959" s="19">
        <f t="shared" si="29"/>
        <v>46327</v>
      </c>
      <c r="C959" s="27">
        <f>I959+J959+K959+L959+M959+N959+O959+P959+IF(Q959="",0,Q959*サマリー!$B$9)+IF(R959="",0,IF(R959=200,サマリー!$B$10,IF(R959=100,サマリー!$B$11,0)))+IF(S959="",0,S959*サマリー!$B$12)</f>
        <v>0</v>
      </c>
      <c r="D959" s="27">
        <f>T959+U959+V959+W959+X959+IF(Y959="",0,Y959*サマリー!$B$9)+IF(Z959="",0,IF(Z959=200,サマリー!$B$10,IF(Z959=100,サマリー!$B$11,0)))+IF(AA959="",0,AA959*サマリー!$B$12)</f>
        <v>0</v>
      </c>
      <c r="E959" s="27">
        <f t="shared" si="28"/>
        <v>0</v>
      </c>
      <c r="I959" s="30"/>
      <c r="J959" s="30"/>
      <c r="K959" s="30"/>
      <c r="L959" s="30"/>
      <c r="M959" s="30"/>
      <c r="N959" s="30"/>
      <c r="O959" s="30"/>
      <c r="P959" s="30"/>
      <c r="Q959" s="31"/>
      <c r="R959" s="31"/>
      <c r="S959" s="31"/>
      <c r="T959" s="32"/>
      <c r="U959" s="32"/>
      <c r="V959" s="32"/>
      <c r="W959" s="32"/>
      <c r="X959" s="32"/>
      <c r="Y959" s="33"/>
      <c r="Z959" s="33"/>
      <c r="AA959" s="33"/>
    </row>
    <row r="960" spans="1:27">
      <c r="A960" s="29"/>
      <c r="B960" s="19">
        <f t="shared" si="29"/>
        <v>46327</v>
      </c>
      <c r="C960" s="27">
        <f>I960+J960+K960+L960+M960+N960+O960+P960+IF(Q960="",0,Q960*サマリー!$B$9)+IF(R960="",0,IF(R960=200,サマリー!$B$10,IF(R960=100,サマリー!$B$11,0)))+IF(S960="",0,S960*サマリー!$B$12)</f>
        <v>0</v>
      </c>
      <c r="D960" s="27">
        <f>T960+U960+V960+W960+X960+IF(Y960="",0,Y960*サマリー!$B$9)+IF(Z960="",0,IF(Z960=200,サマリー!$B$10,IF(Z960=100,サマリー!$B$11,0)))+IF(AA960="",0,AA960*サマリー!$B$12)</f>
        <v>0</v>
      </c>
      <c r="E960" s="27">
        <f t="shared" si="28"/>
        <v>0</v>
      </c>
      <c r="I960" s="30"/>
      <c r="J960" s="30"/>
      <c r="K960" s="30"/>
      <c r="L960" s="30"/>
      <c r="M960" s="30"/>
      <c r="N960" s="30"/>
      <c r="O960" s="30"/>
      <c r="P960" s="30"/>
      <c r="Q960" s="31"/>
      <c r="R960" s="31"/>
      <c r="S960" s="31"/>
      <c r="T960" s="32"/>
      <c r="U960" s="32"/>
      <c r="V960" s="32"/>
      <c r="W960" s="32"/>
      <c r="X960" s="32"/>
      <c r="Y960" s="33"/>
      <c r="Z960" s="33"/>
      <c r="AA960" s="33"/>
    </row>
    <row r="961" spans="1:27">
      <c r="A961" s="29"/>
      <c r="B961" s="19">
        <f t="shared" si="29"/>
        <v>46327</v>
      </c>
      <c r="C961" s="27">
        <f>I961+J961+K961+L961+M961+N961+O961+P961+IF(Q961="",0,Q961*サマリー!$B$9)+IF(R961="",0,IF(R961=200,サマリー!$B$10,IF(R961=100,サマリー!$B$11,0)))+IF(S961="",0,S961*サマリー!$B$12)</f>
        <v>0</v>
      </c>
      <c r="D961" s="27">
        <f>T961+U961+V961+W961+X961+IF(Y961="",0,Y961*サマリー!$B$9)+IF(Z961="",0,IF(Z961=200,サマリー!$B$10,IF(Z961=100,サマリー!$B$11,0)))+IF(AA961="",0,AA961*サマリー!$B$12)</f>
        <v>0</v>
      </c>
      <c r="E961" s="27">
        <f t="shared" si="28"/>
        <v>0</v>
      </c>
      <c r="I961" s="30"/>
      <c r="J961" s="30"/>
      <c r="K961" s="30"/>
      <c r="L961" s="30"/>
      <c r="M961" s="30"/>
      <c r="N961" s="30"/>
      <c r="O961" s="30"/>
      <c r="P961" s="30"/>
      <c r="Q961" s="31"/>
      <c r="R961" s="31"/>
      <c r="S961" s="31"/>
      <c r="T961" s="32"/>
      <c r="U961" s="32"/>
      <c r="V961" s="32"/>
      <c r="W961" s="32"/>
      <c r="X961" s="32"/>
      <c r="Y961" s="33"/>
      <c r="Z961" s="33"/>
      <c r="AA961" s="33"/>
    </row>
    <row r="962" spans="1:27">
      <c r="A962" s="29"/>
      <c r="B962" s="19">
        <f t="shared" si="29"/>
        <v>46327</v>
      </c>
      <c r="C962" s="27">
        <f>I962+J962+K962+L962+M962+N962+O962+P962+IF(Q962="",0,Q962*サマリー!$B$9)+IF(R962="",0,IF(R962=200,サマリー!$B$10,IF(R962=100,サマリー!$B$11,0)))+IF(S962="",0,S962*サマリー!$B$12)</f>
        <v>0</v>
      </c>
      <c r="D962" s="27">
        <f>T962+U962+V962+W962+X962+IF(Y962="",0,Y962*サマリー!$B$9)+IF(Z962="",0,IF(Z962=200,サマリー!$B$10,IF(Z962=100,サマリー!$B$11,0)))+IF(AA962="",0,AA962*サマリー!$B$12)</f>
        <v>0</v>
      </c>
      <c r="E962" s="27">
        <f t="shared" si="28"/>
        <v>0</v>
      </c>
      <c r="I962" s="30"/>
      <c r="J962" s="30"/>
      <c r="K962" s="30"/>
      <c r="L962" s="30"/>
      <c r="M962" s="30"/>
      <c r="N962" s="30"/>
      <c r="O962" s="30"/>
      <c r="P962" s="30"/>
      <c r="Q962" s="31"/>
      <c r="R962" s="31"/>
      <c r="S962" s="31"/>
      <c r="T962" s="32"/>
      <c r="U962" s="32"/>
      <c r="V962" s="32"/>
      <c r="W962" s="32"/>
      <c r="X962" s="32"/>
      <c r="Y962" s="33"/>
      <c r="Z962" s="33"/>
      <c r="AA962" s="33"/>
    </row>
    <row r="963" spans="1:27">
      <c r="A963" s="29"/>
      <c r="B963" s="19">
        <f t="shared" si="29"/>
        <v>46327</v>
      </c>
      <c r="C963" s="27">
        <f>I963+J963+K963+L963+M963+N963+O963+P963+IF(Q963="",0,Q963*サマリー!$B$9)+IF(R963="",0,IF(R963=200,サマリー!$B$10,IF(R963=100,サマリー!$B$11,0)))+IF(S963="",0,S963*サマリー!$B$12)</f>
        <v>0</v>
      </c>
      <c r="D963" s="27">
        <f>T963+U963+V963+W963+X963+IF(Y963="",0,Y963*サマリー!$B$9)+IF(Z963="",0,IF(Z963=200,サマリー!$B$10,IF(Z963=100,サマリー!$B$11,0)))+IF(AA963="",0,AA963*サマリー!$B$12)</f>
        <v>0</v>
      </c>
      <c r="E963" s="27">
        <f t="shared" si="28"/>
        <v>0</v>
      </c>
      <c r="I963" s="30"/>
      <c r="J963" s="30"/>
      <c r="K963" s="30"/>
      <c r="L963" s="30"/>
      <c r="M963" s="30"/>
      <c r="N963" s="30"/>
      <c r="O963" s="30"/>
      <c r="P963" s="30"/>
      <c r="Q963" s="31"/>
      <c r="R963" s="31"/>
      <c r="S963" s="31"/>
      <c r="T963" s="32"/>
      <c r="U963" s="32"/>
      <c r="V963" s="32"/>
      <c r="W963" s="32"/>
      <c r="X963" s="32"/>
      <c r="Y963" s="33"/>
      <c r="Z963" s="33"/>
      <c r="AA963" s="33"/>
    </row>
    <row r="964" spans="1:27">
      <c r="A964" s="29"/>
      <c r="B964" s="19">
        <f t="shared" si="29"/>
        <v>46327</v>
      </c>
      <c r="C964" s="27">
        <f>I964+J964+K964+L964+M964+N964+O964+P964+IF(Q964="",0,Q964*サマリー!$B$9)+IF(R964="",0,IF(R964=200,サマリー!$B$10,IF(R964=100,サマリー!$B$11,0)))+IF(S964="",0,S964*サマリー!$B$12)</f>
        <v>0</v>
      </c>
      <c r="D964" s="27">
        <f>T964+U964+V964+W964+X964+IF(Y964="",0,Y964*サマリー!$B$9)+IF(Z964="",0,IF(Z964=200,サマリー!$B$10,IF(Z964=100,サマリー!$B$11,0)))+IF(AA964="",0,AA964*サマリー!$B$12)</f>
        <v>0</v>
      </c>
      <c r="E964" s="27">
        <f t="shared" si="28"/>
        <v>0</v>
      </c>
      <c r="I964" s="30"/>
      <c r="J964" s="30"/>
      <c r="K964" s="30"/>
      <c r="L964" s="30"/>
      <c r="M964" s="30"/>
      <c r="N964" s="30"/>
      <c r="O964" s="30"/>
      <c r="P964" s="30"/>
      <c r="Q964" s="31"/>
      <c r="R964" s="31"/>
      <c r="S964" s="31"/>
      <c r="T964" s="32"/>
      <c r="U964" s="32"/>
      <c r="V964" s="32"/>
      <c r="W964" s="32"/>
      <c r="X964" s="32"/>
      <c r="Y964" s="33"/>
      <c r="Z964" s="33"/>
      <c r="AA964" s="33"/>
    </row>
    <row r="965" spans="1:27">
      <c r="A965" s="29"/>
      <c r="B965" s="19">
        <f t="shared" si="29"/>
        <v>46327</v>
      </c>
      <c r="C965" s="27">
        <f>I965+J965+K965+L965+M965+N965+O965+P965+IF(Q965="",0,Q965*サマリー!$B$9)+IF(R965="",0,IF(R965=200,サマリー!$B$10,IF(R965=100,サマリー!$B$11,0)))+IF(S965="",0,S965*サマリー!$B$12)</f>
        <v>0</v>
      </c>
      <c r="D965" s="27">
        <f>T965+U965+V965+W965+X965+IF(Y965="",0,Y965*サマリー!$B$9)+IF(Z965="",0,IF(Z965=200,サマリー!$B$10,IF(Z965=100,サマリー!$B$11,0)))+IF(AA965="",0,AA965*サマリー!$B$12)</f>
        <v>0</v>
      </c>
      <c r="E965" s="27">
        <f t="shared" si="28"/>
        <v>0</v>
      </c>
      <c r="I965" s="30"/>
      <c r="J965" s="30"/>
      <c r="K965" s="30"/>
      <c r="L965" s="30"/>
      <c r="M965" s="30"/>
      <c r="N965" s="30"/>
      <c r="O965" s="30"/>
      <c r="P965" s="30"/>
      <c r="Q965" s="31"/>
      <c r="R965" s="31"/>
      <c r="S965" s="31"/>
      <c r="T965" s="32"/>
      <c r="U965" s="32"/>
      <c r="V965" s="32"/>
      <c r="W965" s="32"/>
      <c r="X965" s="32"/>
      <c r="Y965" s="33"/>
      <c r="Z965" s="33"/>
      <c r="AA965" s="33"/>
    </row>
    <row r="966" spans="1:27">
      <c r="A966" s="29"/>
      <c r="B966" s="19">
        <f t="shared" si="29"/>
        <v>46327</v>
      </c>
      <c r="C966" s="27">
        <f>I966+J966+K966+L966+M966+N966+O966+P966+IF(Q966="",0,Q966*サマリー!$B$9)+IF(R966="",0,IF(R966=200,サマリー!$B$10,IF(R966=100,サマリー!$B$11,0)))+IF(S966="",0,S966*サマリー!$B$12)</f>
        <v>0</v>
      </c>
      <c r="D966" s="27">
        <f>T966+U966+V966+W966+X966+IF(Y966="",0,Y966*サマリー!$B$9)+IF(Z966="",0,IF(Z966=200,サマリー!$B$10,IF(Z966=100,サマリー!$B$11,0)))+IF(AA966="",0,AA966*サマリー!$B$12)</f>
        <v>0</v>
      </c>
      <c r="E966" s="27">
        <f t="shared" ref="E966:E1029" si="30">C966+D966</f>
        <v>0</v>
      </c>
      <c r="I966" s="30"/>
      <c r="J966" s="30"/>
      <c r="K966" s="30"/>
      <c r="L966" s="30"/>
      <c r="M966" s="30"/>
      <c r="N966" s="30"/>
      <c r="O966" s="30"/>
      <c r="P966" s="30"/>
      <c r="Q966" s="31"/>
      <c r="R966" s="31"/>
      <c r="S966" s="31"/>
      <c r="T966" s="32"/>
      <c r="U966" s="32"/>
      <c r="V966" s="32"/>
      <c r="W966" s="32"/>
      <c r="X966" s="32"/>
      <c r="Y966" s="33"/>
      <c r="Z966" s="33"/>
      <c r="AA966" s="33"/>
    </row>
    <row r="967" spans="1:27">
      <c r="A967" s="29"/>
      <c r="B967" s="19">
        <f t="shared" ref="B967:B1030" si="31">IF(A967="",B966,IF(A967&lt;DAY(B966),DATE(YEAR(B966),MONTH(B966)+1,A967),DATE(YEAR(B966),MONTH(B966),A967)))</f>
        <v>46327</v>
      </c>
      <c r="C967" s="27">
        <f>I967+J967+K967+L967+M967+N967+O967+P967+IF(Q967="",0,Q967*サマリー!$B$9)+IF(R967="",0,IF(R967=200,サマリー!$B$10,IF(R967=100,サマリー!$B$11,0)))+IF(S967="",0,S967*サマリー!$B$12)</f>
        <v>0</v>
      </c>
      <c r="D967" s="27">
        <f>T967+U967+V967+W967+X967+IF(Y967="",0,Y967*サマリー!$B$9)+IF(Z967="",0,IF(Z967=200,サマリー!$B$10,IF(Z967=100,サマリー!$B$11,0)))+IF(AA967="",0,AA967*サマリー!$B$12)</f>
        <v>0</v>
      </c>
      <c r="E967" s="27">
        <f t="shared" si="30"/>
        <v>0</v>
      </c>
      <c r="I967" s="30"/>
      <c r="J967" s="30"/>
      <c r="K967" s="30"/>
      <c r="L967" s="30"/>
      <c r="M967" s="30"/>
      <c r="N967" s="30"/>
      <c r="O967" s="30"/>
      <c r="P967" s="30"/>
      <c r="Q967" s="31"/>
      <c r="R967" s="31"/>
      <c r="S967" s="31"/>
      <c r="T967" s="32"/>
      <c r="U967" s="32"/>
      <c r="V967" s="32"/>
      <c r="W967" s="32"/>
      <c r="X967" s="32"/>
      <c r="Y967" s="33"/>
      <c r="Z967" s="33"/>
      <c r="AA967" s="33"/>
    </row>
    <row r="968" spans="1:27">
      <c r="A968" s="29"/>
      <c r="B968" s="19">
        <f t="shared" si="31"/>
        <v>46327</v>
      </c>
      <c r="C968" s="27">
        <f>I968+J968+K968+L968+M968+N968+O968+P968+IF(Q968="",0,Q968*サマリー!$B$9)+IF(R968="",0,IF(R968=200,サマリー!$B$10,IF(R968=100,サマリー!$B$11,0)))+IF(S968="",0,S968*サマリー!$B$12)</f>
        <v>0</v>
      </c>
      <c r="D968" s="27">
        <f>T968+U968+V968+W968+X968+IF(Y968="",0,Y968*サマリー!$B$9)+IF(Z968="",0,IF(Z968=200,サマリー!$B$10,IF(Z968=100,サマリー!$B$11,0)))+IF(AA968="",0,AA968*サマリー!$B$12)</f>
        <v>0</v>
      </c>
      <c r="E968" s="27">
        <f t="shared" si="30"/>
        <v>0</v>
      </c>
      <c r="I968" s="30"/>
      <c r="J968" s="30"/>
      <c r="K968" s="30"/>
      <c r="L968" s="30"/>
      <c r="M968" s="30"/>
      <c r="N968" s="30"/>
      <c r="O968" s="30"/>
      <c r="P968" s="30"/>
      <c r="Q968" s="31"/>
      <c r="R968" s="31"/>
      <c r="S968" s="31"/>
      <c r="T968" s="32"/>
      <c r="U968" s="32"/>
      <c r="V968" s="32"/>
      <c r="W968" s="32"/>
      <c r="X968" s="32"/>
      <c r="Y968" s="33"/>
      <c r="Z968" s="33"/>
      <c r="AA968" s="33"/>
    </row>
    <row r="969" spans="1:27">
      <c r="A969" s="29"/>
      <c r="B969" s="19">
        <f t="shared" si="31"/>
        <v>46327</v>
      </c>
      <c r="C969" s="27">
        <f>I969+J969+K969+L969+M969+N969+O969+P969+IF(Q969="",0,Q969*サマリー!$B$9)+IF(R969="",0,IF(R969=200,サマリー!$B$10,IF(R969=100,サマリー!$B$11,0)))+IF(S969="",0,S969*サマリー!$B$12)</f>
        <v>0</v>
      </c>
      <c r="D969" s="27">
        <f>T969+U969+V969+W969+X969+IF(Y969="",0,Y969*サマリー!$B$9)+IF(Z969="",0,IF(Z969=200,サマリー!$B$10,IF(Z969=100,サマリー!$B$11,0)))+IF(AA969="",0,AA969*サマリー!$B$12)</f>
        <v>0</v>
      </c>
      <c r="E969" s="27">
        <f t="shared" si="30"/>
        <v>0</v>
      </c>
      <c r="I969" s="30"/>
      <c r="J969" s="30"/>
      <c r="K969" s="30"/>
      <c r="L969" s="30"/>
      <c r="M969" s="30"/>
      <c r="N969" s="30"/>
      <c r="O969" s="30"/>
      <c r="P969" s="30"/>
      <c r="Q969" s="31"/>
      <c r="R969" s="31"/>
      <c r="S969" s="31"/>
      <c r="T969" s="32"/>
      <c r="U969" s="32"/>
      <c r="V969" s="32"/>
      <c r="W969" s="32"/>
      <c r="X969" s="32"/>
      <c r="Y969" s="33"/>
      <c r="Z969" s="33"/>
      <c r="AA969" s="33"/>
    </row>
    <row r="970" spans="1:27">
      <c r="A970" s="29"/>
      <c r="B970" s="19">
        <f t="shared" si="31"/>
        <v>46327</v>
      </c>
      <c r="C970" s="27">
        <f>I970+J970+K970+L970+M970+N970+O970+P970+IF(Q970="",0,Q970*サマリー!$B$9)+IF(R970="",0,IF(R970=200,サマリー!$B$10,IF(R970=100,サマリー!$B$11,0)))+IF(S970="",0,S970*サマリー!$B$12)</f>
        <v>0</v>
      </c>
      <c r="D970" s="27">
        <f>T970+U970+V970+W970+X970+IF(Y970="",0,Y970*サマリー!$B$9)+IF(Z970="",0,IF(Z970=200,サマリー!$B$10,IF(Z970=100,サマリー!$B$11,0)))+IF(AA970="",0,AA970*サマリー!$B$12)</f>
        <v>0</v>
      </c>
      <c r="E970" s="27">
        <f t="shared" si="30"/>
        <v>0</v>
      </c>
      <c r="I970" s="30"/>
      <c r="J970" s="30"/>
      <c r="K970" s="30"/>
      <c r="L970" s="30"/>
      <c r="M970" s="30"/>
      <c r="N970" s="30"/>
      <c r="O970" s="30"/>
      <c r="P970" s="30"/>
      <c r="Q970" s="31"/>
      <c r="R970" s="31"/>
      <c r="S970" s="31"/>
      <c r="T970" s="32"/>
      <c r="U970" s="32"/>
      <c r="V970" s="32"/>
      <c r="W970" s="32"/>
      <c r="X970" s="32"/>
      <c r="Y970" s="33"/>
      <c r="Z970" s="33"/>
      <c r="AA970" s="33"/>
    </row>
    <row r="971" spans="1:27">
      <c r="A971" s="29"/>
      <c r="B971" s="19">
        <f t="shared" si="31"/>
        <v>46327</v>
      </c>
      <c r="C971" s="27">
        <f>I971+J971+K971+L971+M971+N971+O971+P971+IF(Q971="",0,Q971*サマリー!$B$9)+IF(R971="",0,IF(R971=200,サマリー!$B$10,IF(R971=100,サマリー!$B$11,0)))+IF(S971="",0,S971*サマリー!$B$12)</f>
        <v>0</v>
      </c>
      <c r="D971" s="27">
        <f>T971+U971+V971+W971+X971+IF(Y971="",0,Y971*サマリー!$B$9)+IF(Z971="",0,IF(Z971=200,サマリー!$B$10,IF(Z971=100,サマリー!$B$11,0)))+IF(AA971="",0,AA971*サマリー!$B$12)</f>
        <v>0</v>
      </c>
      <c r="E971" s="27">
        <f t="shared" si="30"/>
        <v>0</v>
      </c>
      <c r="I971" s="30"/>
      <c r="J971" s="30"/>
      <c r="K971" s="30"/>
      <c r="L971" s="30"/>
      <c r="M971" s="30"/>
      <c r="N971" s="30"/>
      <c r="O971" s="30"/>
      <c r="P971" s="30"/>
      <c r="Q971" s="31"/>
      <c r="R971" s="31"/>
      <c r="S971" s="31"/>
      <c r="T971" s="32"/>
      <c r="U971" s="32"/>
      <c r="V971" s="32"/>
      <c r="W971" s="32"/>
      <c r="X971" s="32"/>
      <c r="Y971" s="33"/>
      <c r="Z971" s="33"/>
      <c r="AA971" s="33"/>
    </row>
    <row r="972" spans="1:27">
      <c r="A972" s="29"/>
      <c r="B972" s="19">
        <f t="shared" si="31"/>
        <v>46327</v>
      </c>
      <c r="C972" s="27">
        <f>I972+J972+K972+L972+M972+N972+O972+P972+IF(Q972="",0,Q972*サマリー!$B$9)+IF(R972="",0,IF(R972=200,サマリー!$B$10,IF(R972=100,サマリー!$B$11,0)))+IF(S972="",0,S972*サマリー!$B$12)</f>
        <v>0</v>
      </c>
      <c r="D972" s="27">
        <f>T972+U972+V972+W972+X972+IF(Y972="",0,Y972*サマリー!$B$9)+IF(Z972="",0,IF(Z972=200,サマリー!$B$10,IF(Z972=100,サマリー!$B$11,0)))+IF(AA972="",0,AA972*サマリー!$B$12)</f>
        <v>0</v>
      </c>
      <c r="E972" s="27">
        <f t="shared" si="30"/>
        <v>0</v>
      </c>
      <c r="I972" s="30"/>
      <c r="J972" s="30"/>
      <c r="K972" s="30"/>
      <c r="L972" s="30"/>
      <c r="M972" s="30"/>
      <c r="N972" s="30"/>
      <c r="O972" s="30"/>
      <c r="P972" s="30"/>
      <c r="Q972" s="31"/>
      <c r="R972" s="31"/>
      <c r="S972" s="31"/>
      <c r="T972" s="32"/>
      <c r="U972" s="32"/>
      <c r="V972" s="32"/>
      <c r="W972" s="32"/>
      <c r="X972" s="32"/>
      <c r="Y972" s="33"/>
      <c r="Z972" s="33"/>
      <c r="AA972" s="33"/>
    </row>
    <row r="973" spans="1:27">
      <c r="A973" s="29"/>
      <c r="B973" s="19">
        <f t="shared" si="31"/>
        <v>46327</v>
      </c>
      <c r="C973" s="27">
        <f>I973+J973+K973+L973+M973+N973+O973+P973+IF(Q973="",0,Q973*サマリー!$B$9)+IF(R973="",0,IF(R973=200,サマリー!$B$10,IF(R973=100,サマリー!$B$11,0)))+IF(S973="",0,S973*サマリー!$B$12)</f>
        <v>0</v>
      </c>
      <c r="D973" s="27">
        <f>T973+U973+V973+W973+X973+IF(Y973="",0,Y973*サマリー!$B$9)+IF(Z973="",0,IF(Z973=200,サマリー!$B$10,IF(Z973=100,サマリー!$B$11,0)))+IF(AA973="",0,AA973*サマリー!$B$12)</f>
        <v>0</v>
      </c>
      <c r="E973" s="27">
        <f t="shared" si="30"/>
        <v>0</v>
      </c>
      <c r="I973" s="30"/>
      <c r="J973" s="30"/>
      <c r="K973" s="30"/>
      <c r="L973" s="30"/>
      <c r="M973" s="30"/>
      <c r="N973" s="30"/>
      <c r="O973" s="30"/>
      <c r="P973" s="30"/>
      <c r="Q973" s="31"/>
      <c r="R973" s="31"/>
      <c r="S973" s="31"/>
      <c r="T973" s="32"/>
      <c r="U973" s="32"/>
      <c r="V973" s="32"/>
      <c r="W973" s="32"/>
      <c r="X973" s="32"/>
      <c r="Y973" s="33"/>
      <c r="Z973" s="33"/>
      <c r="AA973" s="33"/>
    </row>
    <row r="974" spans="1:27">
      <c r="A974" s="29"/>
      <c r="B974" s="19">
        <f t="shared" si="31"/>
        <v>46327</v>
      </c>
      <c r="C974" s="27">
        <f>I974+J974+K974+L974+M974+N974+O974+P974+IF(Q974="",0,Q974*サマリー!$B$9)+IF(R974="",0,IF(R974=200,サマリー!$B$10,IF(R974=100,サマリー!$B$11,0)))+IF(S974="",0,S974*サマリー!$B$12)</f>
        <v>0</v>
      </c>
      <c r="D974" s="27">
        <f>T974+U974+V974+W974+X974+IF(Y974="",0,Y974*サマリー!$B$9)+IF(Z974="",0,IF(Z974=200,サマリー!$B$10,IF(Z974=100,サマリー!$B$11,0)))+IF(AA974="",0,AA974*サマリー!$B$12)</f>
        <v>0</v>
      </c>
      <c r="E974" s="27">
        <f t="shared" si="30"/>
        <v>0</v>
      </c>
      <c r="I974" s="30"/>
      <c r="J974" s="30"/>
      <c r="K974" s="30"/>
      <c r="L974" s="30"/>
      <c r="M974" s="30"/>
      <c r="N974" s="30"/>
      <c r="O974" s="30"/>
      <c r="P974" s="30"/>
      <c r="Q974" s="31"/>
      <c r="R974" s="31"/>
      <c r="S974" s="31"/>
      <c r="T974" s="32"/>
      <c r="U974" s="32"/>
      <c r="V974" s="32"/>
      <c r="W974" s="32"/>
      <c r="X974" s="32"/>
      <c r="Y974" s="33"/>
      <c r="Z974" s="33"/>
      <c r="AA974" s="33"/>
    </row>
    <row r="975" spans="1:27">
      <c r="A975" s="29"/>
      <c r="B975" s="19">
        <f t="shared" si="31"/>
        <v>46327</v>
      </c>
      <c r="C975" s="27">
        <f>I975+J975+K975+L975+M975+N975+O975+P975+IF(Q975="",0,Q975*サマリー!$B$9)+IF(R975="",0,IF(R975=200,サマリー!$B$10,IF(R975=100,サマリー!$B$11,0)))+IF(S975="",0,S975*サマリー!$B$12)</f>
        <v>0</v>
      </c>
      <c r="D975" s="27">
        <f>T975+U975+V975+W975+X975+IF(Y975="",0,Y975*サマリー!$B$9)+IF(Z975="",0,IF(Z975=200,サマリー!$B$10,IF(Z975=100,サマリー!$B$11,0)))+IF(AA975="",0,AA975*サマリー!$B$12)</f>
        <v>0</v>
      </c>
      <c r="E975" s="27">
        <f t="shared" si="30"/>
        <v>0</v>
      </c>
      <c r="I975" s="30"/>
      <c r="J975" s="30"/>
      <c r="K975" s="30"/>
      <c r="L975" s="30"/>
      <c r="M975" s="30"/>
      <c r="N975" s="30"/>
      <c r="O975" s="30"/>
      <c r="P975" s="30"/>
      <c r="Q975" s="31"/>
      <c r="R975" s="31"/>
      <c r="S975" s="31"/>
      <c r="T975" s="32"/>
      <c r="U975" s="32"/>
      <c r="V975" s="32"/>
      <c r="W975" s="32"/>
      <c r="X975" s="32"/>
      <c r="Y975" s="33"/>
      <c r="Z975" s="33"/>
      <c r="AA975" s="33"/>
    </row>
    <row r="976" spans="1:27">
      <c r="A976" s="29"/>
      <c r="B976" s="19">
        <f t="shared" si="31"/>
        <v>46327</v>
      </c>
      <c r="C976" s="27">
        <f>I976+J976+K976+L976+M976+N976+O976+P976+IF(Q976="",0,Q976*サマリー!$B$9)+IF(R976="",0,IF(R976=200,サマリー!$B$10,IF(R976=100,サマリー!$B$11,0)))+IF(S976="",0,S976*サマリー!$B$12)</f>
        <v>0</v>
      </c>
      <c r="D976" s="27">
        <f>T976+U976+V976+W976+X976+IF(Y976="",0,Y976*サマリー!$B$9)+IF(Z976="",0,IF(Z976=200,サマリー!$B$10,IF(Z976=100,サマリー!$B$11,0)))+IF(AA976="",0,AA976*サマリー!$B$12)</f>
        <v>0</v>
      </c>
      <c r="E976" s="27">
        <f t="shared" si="30"/>
        <v>0</v>
      </c>
      <c r="I976" s="30"/>
      <c r="J976" s="30"/>
      <c r="K976" s="30"/>
      <c r="L976" s="30"/>
      <c r="M976" s="30"/>
      <c r="N976" s="30"/>
      <c r="O976" s="30"/>
      <c r="P976" s="30"/>
      <c r="Q976" s="31"/>
      <c r="R976" s="31"/>
      <c r="S976" s="31"/>
      <c r="T976" s="32"/>
      <c r="U976" s="32"/>
      <c r="V976" s="32"/>
      <c r="W976" s="32"/>
      <c r="X976" s="32"/>
      <c r="Y976" s="33"/>
      <c r="Z976" s="33"/>
      <c r="AA976" s="33"/>
    </row>
    <row r="977" spans="1:27">
      <c r="A977" s="29"/>
      <c r="B977" s="19">
        <f t="shared" si="31"/>
        <v>46327</v>
      </c>
      <c r="C977" s="27">
        <f>I977+J977+K977+L977+M977+N977+O977+P977+IF(Q977="",0,Q977*サマリー!$B$9)+IF(R977="",0,IF(R977=200,サマリー!$B$10,IF(R977=100,サマリー!$B$11,0)))+IF(S977="",0,S977*サマリー!$B$12)</f>
        <v>0</v>
      </c>
      <c r="D977" s="27">
        <f>T977+U977+V977+W977+X977+IF(Y977="",0,Y977*サマリー!$B$9)+IF(Z977="",0,IF(Z977=200,サマリー!$B$10,IF(Z977=100,サマリー!$B$11,0)))+IF(AA977="",0,AA977*サマリー!$B$12)</f>
        <v>0</v>
      </c>
      <c r="E977" s="27">
        <f t="shared" si="30"/>
        <v>0</v>
      </c>
      <c r="I977" s="30"/>
      <c r="J977" s="30"/>
      <c r="K977" s="30"/>
      <c r="L977" s="30"/>
      <c r="M977" s="30"/>
      <c r="N977" s="30"/>
      <c r="O977" s="30"/>
      <c r="P977" s="30"/>
      <c r="Q977" s="31"/>
      <c r="R977" s="31"/>
      <c r="S977" s="31"/>
      <c r="T977" s="32"/>
      <c r="U977" s="32"/>
      <c r="V977" s="32"/>
      <c r="W977" s="32"/>
      <c r="X977" s="32"/>
      <c r="Y977" s="33"/>
      <c r="Z977" s="33"/>
      <c r="AA977" s="33"/>
    </row>
    <row r="978" spans="1:27">
      <c r="A978" s="29"/>
      <c r="B978" s="19">
        <f t="shared" si="31"/>
        <v>46327</v>
      </c>
      <c r="C978" s="27">
        <f>I978+J978+K978+L978+M978+N978+O978+P978+IF(Q978="",0,Q978*サマリー!$B$9)+IF(R978="",0,IF(R978=200,サマリー!$B$10,IF(R978=100,サマリー!$B$11,0)))+IF(S978="",0,S978*サマリー!$B$12)</f>
        <v>0</v>
      </c>
      <c r="D978" s="27">
        <f>T978+U978+V978+W978+X978+IF(Y978="",0,Y978*サマリー!$B$9)+IF(Z978="",0,IF(Z978=200,サマリー!$B$10,IF(Z978=100,サマリー!$B$11,0)))+IF(AA978="",0,AA978*サマリー!$B$12)</f>
        <v>0</v>
      </c>
      <c r="E978" s="27">
        <f t="shared" si="30"/>
        <v>0</v>
      </c>
      <c r="I978" s="30"/>
      <c r="J978" s="30"/>
      <c r="K978" s="30"/>
      <c r="L978" s="30"/>
      <c r="M978" s="30"/>
      <c r="N978" s="30"/>
      <c r="O978" s="30"/>
      <c r="P978" s="30"/>
      <c r="Q978" s="31"/>
      <c r="R978" s="31"/>
      <c r="S978" s="31"/>
      <c r="T978" s="32"/>
      <c r="U978" s="32"/>
      <c r="V978" s="32"/>
      <c r="W978" s="32"/>
      <c r="X978" s="32"/>
      <c r="Y978" s="33"/>
      <c r="Z978" s="33"/>
      <c r="AA978" s="33"/>
    </row>
    <row r="979" spans="1:27">
      <c r="A979" s="29"/>
      <c r="B979" s="19">
        <f t="shared" si="31"/>
        <v>46327</v>
      </c>
      <c r="C979" s="27">
        <f>I979+J979+K979+L979+M979+N979+O979+P979+IF(Q979="",0,Q979*サマリー!$B$9)+IF(R979="",0,IF(R979=200,サマリー!$B$10,IF(R979=100,サマリー!$B$11,0)))+IF(S979="",0,S979*サマリー!$B$12)</f>
        <v>0</v>
      </c>
      <c r="D979" s="27">
        <f>T979+U979+V979+W979+X979+IF(Y979="",0,Y979*サマリー!$B$9)+IF(Z979="",0,IF(Z979=200,サマリー!$B$10,IF(Z979=100,サマリー!$B$11,0)))+IF(AA979="",0,AA979*サマリー!$B$12)</f>
        <v>0</v>
      </c>
      <c r="E979" s="27">
        <f t="shared" si="30"/>
        <v>0</v>
      </c>
      <c r="I979" s="30"/>
      <c r="J979" s="30"/>
      <c r="K979" s="30"/>
      <c r="L979" s="30"/>
      <c r="M979" s="30"/>
      <c r="N979" s="30"/>
      <c r="O979" s="30"/>
      <c r="P979" s="30"/>
      <c r="Q979" s="31"/>
      <c r="R979" s="31"/>
      <c r="S979" s="31"/>
      <c r="T979" s="32"/>
      <c r="U979" s="32"/>
      <c r="V979" s="32"/>
      <c r="W979" s="32"/>
      <c r="X979" s="32"/>
      <c r="Y979" s="33"/>
      <c r="Z979" s="33"/>
      <c r="AA979" s="33"/>
    </row>
    <row r="980" spans="1:27">
      <c r="A980" s="29"/>
      <c r="B980" s="19">
        <f t="shared" si="31"/>
        <v>46327</v>
      </c>
      <c r="C980" s="27">
        <f>I980+J980+K980+L980+M980+N980+O980+P980+IF(Q980="",0,Q980*サマリー!$B$9)+IF(R980="",0,IF(R980=200,サマリー!$B$10,IF(R980=100,サマリー!$B$11,0)))+IF(S980="",0,S980*サマリー!$B$12)</f>
        <v>0</v>
      </c>
      <c r="D980" s="27">
        <f>T980+U980+V980+W980+X980+IF(Y980="",0,Y980*サマリー!$B$9)+IF(Z980="",0,IF(Z980=200,サマリー!$B$10,IF(Z980=100,サマリー!$B$11,0)))+IF(AA980="",0,AA980*サマリー!$B$12)</f>
        <v>0</v>
      </c>
      <c r="E980" s="27">
        <f t="shared" si="30"/>
        <v>0</v>
      </c>
      <c r="I980" s="30"/>
      <c r="J980" s="30"/>
      <c r="K980" s="30"/>
      <c r="L980" s="30"/>
      <c r="M980" s="30"/>
      <c r="N980" s="30"/>
      <c r="O980" s="30"/>
      <c r="P980" s="30"/>
      <c r="Q980" s="31"/>
      <c r="R980" s="31"/>
      <c r="S980" s="31"/>
      <c r="T980" s="32"/>
      <c r="U980" s="32"/>
      <c r="V980" s="32"/>
      <c r="W980" s="32"/>
      <c r="X980" s="32"/>
      <c r="Y980" s="33"/>
      <c r="Z980" s="33"/>
      <c r="AA980" s="33"/>
    </row>
    <row r="981" spans="1:27">
      <c r="A981" s="29"/>
      <c r="B981" s="19">
        <f t="shared" si="31"/>
        <v>46327</v>
      </c>
      <c r="C981" s="27">
        <f>I981+J981+K981+L981+M981+N981+O981+P981+IF(Q981="",0,Q981*サマリー!$B$9)+IF(R981="",0,IF(R981=200,サマリー!$B$10,IF(R981=100,サマリー!$B$11,0)))+IF(S981="",0,S981*サマリー!$B$12)</f>
        <v>0</v>
      </c>
      <c r="D981" s="27">
        <f>T981+U981+V981+W981+X981+IF(Y981="",0,Y981*サマリー!$B$9)+IF(Z981="",0,IF(Z981=200,サマリー!$B$10,IF(Z981=100,サマリー!$B$11,0)))+IF(AA981="",0,AA981*サマリー!$B$12)</f>
        <v>0</v>
      </c>
      <c r="E981" s="27">
        <f t="shared" si="30"/>
        <v>0</v>
      </c>
      <c r="I981" s="30"/>
      <c r="J981" s="30"/>
      <c r="K981" s="30"/>
      <c r="L981" s="30"/>
      <c r="M981" s="30"/>
      <c r="N981" s="30"/>
      <c r="O981" s="30"/>
      <c r="P981" s="30"/>
      <c r="Q981" s="31"/>
      <c r="R981" s="31"/>
      <c r="S981" s="31"/>
      <c r="T981" s="32"/>
      <c r="U981" s="32"/>
      <c r="V981" s="32"/>
      <c r="W981" s="32"/>
      <c r="X981" s="32"/>
      <c r="Y981" s="33"/>
      <c r="Z981" s="33"/>
      <c r="AA981" s="33"/>
    </row>
    <row r="982" spans="1:27">
      <c r="A982" s="29"/>
      <c r="B982" s="19">
        <f t="shared" si="31"/>
        <v>46327</v>
      </c>
      <c r="C982" s="27">
        <f>I982+J982+K982+L982+M982+N982+O982+P982+IF(Q982="",0,Q982*サマリー!$B$9)+IF(R982="",0,IF(R982=200,サマリー!$B$10,IF(R982=100,サマリー!$B$11,0)))+IF(S982="",0,S982*サマリー!$B$12)</f>
        <v>0</v>
      </c>
      <c r="D982" s="27">
        <f>T982+U982+V982+W982+X982+IF(Y982="",0,Y982*サマリー!$B$9)+IF(Z982="",0,IF(Z982=200,サマリー!$B$10,IF(Z982=100,サマリー!$B$11,0)))+IF(AA982="",0,AA982*サマリー!$B$12)</f>
        <v>0</v>
      </c>
      <c r="E982" s="27">
        <f t="shared" si="30"/>
        <v>0</v>
      </c>
      <c r="I982" s="30"/>
      <c r="J982" s="30"/>
      <c r="K982" s="30"/>
      <c r="L982" s="30"/>
      <c r="M982" s="30"/>
      <c r="N982" s="30"/>
      <c r="O982" s="30"/>
      <c r="P982" s="30"/>
      <c r="Q982" s="31"/>
      <c r="R982" s="31"/>
      <c r="S982" s="31"/>
      <c r="T982" s="32"/>
      <c r="U982" s="32"/>
      <c r="V982" s="32"/>
      <c r="W982" s="32"/>
      <c r="X982" s="32"/>
      <c r="Y982" s="33"/>
      <c r="Z982" s="33"/>
      <c r="AA982" s="33"/>
    </row>
    <row r="983" spans="1:27">
      <c r="A983" s="29"/>
      <c r="B983" s="19">
        <f t="shared" si="31"/>
        <v>46327</v>
      </c>
      <c r="C983" s="27">
        <f>I983+J983+K983+L983+M983+N983+O983+P983+IF(Q983="",0,Q983*サマリー!$B$9)+IF(R983="",0,IF(R983=200,サマリー!$B$10,IF(R983=100,サマリー!$B$11,0)))+IF(S983="",0,S983*サマリー!$B$12)</f>
        <v>0</v>
      </c>
      <c r="D983" s="27">
        <f>T983+U983+V983+W983+X983+IF(Y983="",0,Y983*サマリー!$B$9)+IF(Z983="",0,IF(Z983=200,サマリー!$B$10,IF(Z983=100,サマリー!$B$11,0)))+IF(AA983="",0,AA983*サマリー!$B$12)</f>
        <v>0</v>
      </c>
      <c r="E983" s="27">
        <f t="shared" si="30"/>
        <v>0</v>
      </c>
      <c r="I983" s="30"/>
      <c r="J983" s="30"/>
      <c r="K983" s="30"/>
      <c r="L983" s="30"/>
      <c r="M983" s="30"/>
      <c r="N983" s="30"/>
      <c r="O983" s="30"/>
      <c r="P983" s="30"/>
      <c r="Q983" s="31"/>
      <c r="R983" s="31"/>
      <c r="S983" s="31"/>
      <c r="T983" s="32"/>
      <c r="U983" s="32"/>
      <c r="V983" s="32"/>
      <c r="W983" s="32"/>
      <c r="X983" s="32"/>
      <c r="Y983" s="33"/>
      <c r="Z983" s="33"/>
      <c r="AA983" s="33"/>
    </row>
    <row r="984" spans="1:27">
      <c r="A984" s="29"/>
      <c r="B984" s="19">
        <f t="shared" si="31"/>
        <v>46327</v>
      </c>
      <c r="C984" s="27">
        <f>I984+J984+K984+L984+M984+N984+O984+P984+IF(Q984="",0,Q984*サマリー!$B$9)+IF(R984="",0,IF(R984=200,サマリー!$B$10,IF(R984=100,サマリー!$B$11,0)))+IF(S984="",0,S984*サマリー!$B$12)</f>
        <v>0</v>
      </c>
      <c r="D984" s="27">
        <f>T984+U984+V984+W984+X984+IF(Y984="",0,Y984*サマリー!$B$9)+IF(Z984="",0,IF(Z984=200,サマリー!$B$10,IF(Z984=100,サマリー!$B$11,0)))+IF(AA984="",0,AA984*サマリー!$B$12)</f>
        <v>0</v>
      </c>
      <c r="E984" s="27">
        <f t="shared" si="30"/>
        <v>0</v>
      </c>
      <c r="I984" s="30"/>
      <c r="J984" s="30"/>
      <c r="K984" s="30"/>
      <c r="L984" s="30"/>
      <c r="M984" s="30"/>
      <c r="N984" s="30"/>
      <c r="O984" s="30"/>
      <c r="P984" s="30"/>
      <c r="Q984" s="31"/>
      <c r="R984" s="31"/>
      <c r="S984" s="31"/>
      <c r="T984" s="32"/>
      <c r="U984" s="32"/>
      <c r="V984" s="32"/>
      <c r="W984" s="32"/>
      <c r="X984" s="32"/>
      <c r="Y984" s="33"/>
      <c r="Z984" s="33"/>
      <c r="AA984" s="33"/>
    </row>
    <row r="985" spans="1:27">
      <c r="A985" s="29"/>
      <c r="B985" s="19">
        <f t="shared" si="31"/>
        <v>46327</v>
      </c>
      <c r="C985" s="27">
        <f>I985+J985+K985+L985+M985+N985+O985+P985+IF(Q985="",0,Q985*サマリー!$B$9)+IF(R985="",0,IF(R985=200,サマリー!$B$10,IF(R985=100,サマリー!$B$11,0)))+IF(S985="",0,S985*サマリー!$B$12)</f>
        <v>0</v>
      </c>
      <c r="D985" s="27">
        <f>T985+U985+V985+W985+X985+IF(Y985="",0,Y985*サマリー!$B$9)+IF(Z985="",0,IF(Z985=200,サマリー!$B$10,IF(Z985=100,サマリー!$B$11,0)))+IF(AA985="",0,AA985*サマリー!$B$12)</f>
        <v>0</v>
      </c>
      <c r="E985" s="27">
        <f t="shared" si="30"/>
        <v>0</v>
      </c>
      <c r="I985" s="30"/>
      <c r="J985" s="30"/>
      <c r="K985" s="30"/>
      <c r="L985" s="30"/>
      <c r="M985" s="30"/>
      <c r="N985" s="30"/>
      <c r="O985" s="30"/>
      <c r="P985" s="30"/>
      <c r="Q985" s="31"/>
      <c r="R985" s="31"/>
      <c r="S985" s="31"/>
      <c r="T985" s="32"/>
      <c r="U985" s="32"/>
      <c r="V985" s="32"/>
      <c r="W985" s="32"/>
      <c r="X985" s="32"/>
      <c r="Y985" s="33"/>
      <c r="Z985" s="33"/>
      <c r="AA985" s="33"/>
    </row>
    <row r="986" spans="1:27">
      <c r="A986" s="29"/>
      <c r="B986" s="19">
        <f t="shared" si="31"/>
        <v>46327</v>
      </c>
      <c r="C986" s="27">
        <f>I986+J986+K986+L986+M986+N986+O986+P986+IF(Q986="",0,Q986*サマリー!$B$9)+IF(R986="",0,IF(R986=200,サマリー!$B$10,IF(R986=100,サマリー!$B$11,0)))+IF(S986="",0,S986*サマリー!$B$12)</f>
        <v>0</v>
      </c>
      <c r="D986" s="27">
        <f>T986+U986+V986+W986+X986+IF(Y986="",0,Y986*サマリー!$B$9)+IF(Z986="",0,IF(Z986=200,サマリー!$B$10,IF(Z986=100,サマリー!$B$11,0)))+IF(AA986="",0,AA986*サマリー!$B$12)</f>
        <v>0</v>
      </c>
      <c r="E986" s="27">
        <f t="shared" si="30"/>
        <v>0</v>
      </c>
      <c r="I986" s="30"/>
      <c r="J986" s="30"/>
      <c r="K986" s="30"/>
      <c r="L986" s="30"/>
      <c r="M986" s="30"/>
      <c r="N986" s="30"/>
      <c r="O986" s="30"/>
      <c r="P986" s="30"/>
      <c r="Q986" s="31"/>
      <c r="R986" s="31"/>
      <c r="S986" s="31"/>
      <c r="T986" s="32"/>
      <c r="U986" s="32"/>
      <c r="V986" s="32"/>
      <c r="W986" s="32"/>
      <c r="X986" s="32"/>
      <c r="Y986" s="33"/>
      <c r="Z986" s="33"/>
      <c r="AA986" s="33"/>
    </row>
    <row r="987" spans="1:27">
      <c r="A987" s="29"/>
      <c r="B987" s="19">
        <f t="shared" si="31"/>
        <v>46327</v>
      </c>
      <c r="C987" s="27">
        <f>I987+J987+K987+L987+M987+N987+O987+P987+IF(Q987="",0,Q987*サマリー!$B$9)+IF(R987="",0,IF(R987=200,サマリー!$B$10,IF(R987=100,サマリー!$B$11,0)))+IF(S987="",0,S987*サマリー!$B$12)</f>
        <v>0</v>
      </c>
      <c r="D987" s="27">
        <f>T987+U987+V987+W987+X987+IF(Y987="",0,Y987*サマリー!$B$9)+IF(Z987="",0,IF(Z987=200,サマリー!$B$10,IF(Z987=100,サマリー!$B$11,0)))+IF(AA987="",0,AA987*サマリー!$B$12)</f>
        <v>0</v>
      </c>
      <c r="E987" s="27">
        <f t="shared" si="30"/>
        <v>0</v>
      </c>
      <c r="I987" s="30"/>
      <c r="J987" s="30"/>
      <c r="K987" s="30"/>
      <c r="L987" s="30"/>
      <c r="M987" s="30"/>
      <c r="N987" s="30"/>
      <c r="O987" s="30"/>
      <c r="P987" s="30"/>
      <c r="Q987" s="31"/>
      <c r="R987" s="31"/>
      <c r="S987" s="31"/>
      <c r="T987" s="32"/>
      <c r="U987" s="32"/>
      <c r="V987" s="32"/>
      <c r="W987" s="32"/>
      <c r="X987" s="32"/>
      <c r="Y987" s="33"/>
      <c r="Z987" s="33"/>
      <c r="AA987" s="33"/>
    </row>
    <row r="988" spans="1:27">
      <c r="A988" s="29"/>
      <c r="B988" s="19">
        <f t="shared" si="31"/>
        <v>46327</v>
      </c>
      <c r="C988" s="27">
        <f>I988+J988+K988+L988+M988+N988+O988+P988+IF(Q988="",0,Q988*サマリー!$B$9)+IF(R988="",0,IF(R988=200,サマリー!$B$10,IF(R988=100,サマリー!$B$11,0)))+IF(S988="",0,S988*サマリー!$B$12)</f>
        <v>0</v>
      </c>
      <c r="D988" s="27">
        <f>T988+U988+V988+W988+X988+IF(Y988="",0,Y988*サマリー!$B$9)+IF(Z988="",0,IF(Z988=200,サマリー!$B$10,IF(Z988=100,サマリー!$B$11,0)))+IF(AA988="",0,AA988*サマリー!$B$12)</f>
        <v>0</v>
      </c>
      <c r="E988" s="27">
        <f t="shared" si="30"/>
        <v>0</v>
      </c>
      <c r="I988" s="30"/>
      <c r="J988" s="30"/>
      <c r="K988" s="30"/>
      <c r="L988" s="30"/>
      <c r="M988" s="30"/>
      <c r="N988" s="30"/>
      <c r="O988" s="30"/>
      <c r="P988" s="30"/>
      <c r="Q988" s="31"/>
      <c r="R988" s="31"/>
      <c r="S988" s="31"/>
      <c r="T988" s="32"/>
      <c r="U988" s="32"/>
      <c r="V988" s="32"/>
      <c r="W988" s="32"/>
      <c r="X988" s="32"/>
      <c r="Y988" s="33"/>
      <c r="Z988" s="33"/>
      <c r="AA988" s="33"/>
    </row>
    <row r="989" spans="1:27">
      <c r="A989" s="29"/>
      <c r="B989" s="19">
        <f t="shared" si="31"/>
        <v>46327</v>
      </c>
      <c r="C989" s="27">
        <f>I989+J989+K989+L989+M989+N989+O989+P989+IF(Q989="",0,Q989*サマリー!$B$9)+IF(R989="",0,IF(R989=200,サマリー!$B$10,IF(R989=100,サマリー!$B$11,0)))+IF(S989="",0,S989*サマリー!$B$12)</f>
        <v>0</v>
      </c>
      <c r="D989" s="27">
        <f>T989+U989+V989+W989+X989+IF(Y989="",0,Y989*サマリー!$B$9)+IF(Z989="",0,IF(Z989=200,サマリー!$B$10,IF(Z989=100,サマリー!$B$11,0)))+IF(AA989="",0,AA989*サマリー!$B$12)</f>
        <v>0</v>
      </c>
      <c r="E989" s="27">
        <f t="shared" si="30"/>
        <v>0</v>
      </c>
      <c r="I989" s="30"/>
      <c r="J989" s="30"/>
      <c r="K989" s="30"/>
      <c r="L989" s="30"/>
      <c r="M989" s="30"/>
      <c r="N989" s="30"/>
      <c r="O989" s="30"/>
      <c r="P989" s="30"/>
      <c r="Q989" s="31"/>
      <c r="R989" s="31"/>
      <c r="S989" s="31"/>
      <c r="T989" s="32"/>
      <c r="U989" s="32"/>
      <c r="V989" s="32"/>
      <c r="W989" s="32"/>
      <c r="X989" s="32"/>
      <c r="Y989" s="33"/>
      <c r="Z989" s="33"/>
      <c r="AA989" s="33"/>
    </row>
    <row r="990" spans="1:27">
      <c r="A990" s="29"/>
      <c r="B990" s="19">
        <f t="shared" si="31"/>
        <v>46327</v>
      </c>
      <c r="C990" s="27">
        <f>I990+J990+K990+L990+M990+N990+O990+P990+IF(Q990="",0,Q990*サマリー!$B$9)+IF(R990="",0,IF(R990=200,サマリー!$B$10,IF(R990=100,サマリー!$B$11,0)))+IF(S990="",0,S990*サマリー!$B$12)</f>
        <v>0</v>
      </c>
      <c r="D990" s="27">
        <f>T990+U990+V990+W990+X990+IF(Y990="",0,Y990*サマリー!$B$9)+IF(Z990="",0,IF(Z990=200,サマリー!$B$10,IF(Z990=100,サマリー!$B$11,0)))+IF(AA990="",0,AA990*サマリー!$B$12)</f>
        <v>0</v>
      </c>
      <c r="E990" s="27">
        <f t="shared" si="30"/>
        <v>0</v>
      </c>
      <c r="I990" s="30"/>
      <c r="J990" s="30"/>
      <c r="K990" s="30"/>
      <c r="L990" s="30"/>
      <c r="M990" s="30"/>
      <c r="N990" s="30"/>
      <c r="O990" s="30"/>
      <c r="P990" s="30"/>
      <c r="Q990" s="31"/>
      <c r="R990" s="31"/>
      <c r="S990" s="31"/>
      <c r="T990" s="32"/>
      <c r="U990" s="32"/>
      <c r="V990" s="32"/>
      <c r="W990" s="32"/>
      <c r="X990" s="32"/>
      <c r="Y990" s="33"/>
      <c r="Z990" s="33"/>
      <c r="AA990" s="33"/>
    </row>
    <row r="991" spans="1:27">
      <c r="A991" s="29"/>
      <c r="B991" s="19">
        <f t="shared" si="31"/>
        <v>46327</v>
      </c>
      <c r="C991" s="27">
        <f>I991+J991+K991+L991+M991+N991+O991+P991+IF(Q991="",0,Q991*サマリー!$B$9)+IF(R991="",0,IF(R991=200,サマリー!$B$10,IF(R991=100,サマリー!$B$11,0)))+IF(S991="",0,S991*サマリー!$B$12)</f>
        <v>0</v>
      </c>
      <c r="D991" s="27">
        <f>T991+U991+V991+W991+X991+IF(Y991="",0,Y991*サマリー!$B$9)+IF(Z991="",0,IF(Z991=200,サマリー!$B$10,IF(Z991=100,サマリー!$B$11,0)))+IF(AA991="",0,AA991*サマリー!$B$12)</f>
        <v>0</v>
      </c>
      <c r="E991" s="27">
        <f t="shared" si="30"/>
        <v>0</v>
      </c>
      <c r="I991" s="30"/>
      <c r="J991" s="30"/>
      <c r="K991" s="30"/>
      <c r="L991" s="30"/>
      <c r="M991" s="30"/>
      <c r="N991" s="30"/>
      <c r="O991" s="30"/>
      <c r="P991" s="30"/>
      <c r="Q991" s="31"/>
      <c r="R991" s="31"/>
      <c r="S991" s="31"/>
      <c r="T991" s="32"/>
      <c r="U991" s="32"/>
      <c r="V991" s="32"/>
      <c r="W991" s="32"/>
      <c r="X991" s="32"/>
      <c r="Y991" s="33"/>
      <c r="Z991" s="33"/>
      <c r="AA991" s="33"/>
    </row>
    <row r="992" spans="1:27">
      <c r="A992" s="29"/>
      <c r="B992" s="19">
        <f t="shared" si="31"/>
        <v>46327</v>
      </c>
      <c r="C992" s="27">
        <f>I992+J992+K992+L992+M992+N992+O992+P992+IF(Q992="",0,Q992*サマリー!$B$9)+IF(R992="",0,IF(R992=200,サマリー!$B$10,IF(R992=100,サマリー!$B$11,0)))+IF(S992="",0,S992*サマリー!$B$12)</f>
        <v>0</v>
      </c>
      <c r="D992" s="27">
        <f>T992+U992+V992+W992+X992+IF(Y992="",0,Y992*サマリー!$B$9)+IF(Z992="",0,IF(Z992=200,サマリー!$B$10,IF(Z992=100,サマリー!$B$11,0)))+IF(AA992="",0,AA992*サマリー!$B$12)</f>
        <v>0</v>
      </c>
      <c r="E992" s="27">
        <f t="shared" si="30"/>
        <v>0</v>
      </c>
      <c r="I992" s="30"/>
      <c r="J992" s="30"/>
      <c r="K992" s="30"/>
      <c r="L992" s="30"/>
      <c r="M992" s="30"/>
      <c r="N992" s="30"/>
      <c r="O992" s="30"/>
      <c r="P992" s="30"/>
      <c r="Q992" s="31"/>
      <c r="R992" s="31"/>
      <c r="S992" s="31"/>
      <c r="T992" s="32"/>
      <c r="U992" s="32"/>
      <c r="V992" s="32"/>
      <c r="W992" s="32"/>
      <c r="X992" s="32"/>
      <c r="Y992" s="33"/>
      <c r="Z992" s="33"/>
      <c r="AA992" s="33"/>
    </row>
    <row r="993" spans="1:27">
      <c r="A993" s="29"/>
      <c r="B993" s="19">
        <f t="shared" si="31"/>
        <v>46327</v>
      </c>
      <c r="C993" s="27">
        <f>I993+J993+K993+L993+M993+N993+O993+P993+IF(Q993="",0,Q993*サマリー!$B$9)+IF(R993="",0,IF(R993=200,サマリー!$B$10,IF(R993=100,サマリー!$B$11,0)))+IF(S993="",0,S993*サマリー!$B$12)</f>
        <v>0</v>
      </c>
      <c r="D993" s="27">
        <f>T993+U993+V993+W993+X993+IF(Y993="",0,Y993*サマリー!$B$9)+IF(Z993="",0,IF(Z993=200,サマリー!$B$10,IF(Z993=100,サマリー!$B$11,0)))+IF(AA993="",0,AA993*サマリー!$B$12)</f>
        <v>0</v>
      </c>
      <c r="E993" s="27">
        <f t="shared" si="30"/>
        <v>0</v>
      </c>
      <c r="I993" s="30"/>
      <c r="J993" s="30"/>
      <c r="K993" s="30"/>
      <c r="L993" s="30"/>
      <c r="M993" s="30"/>
      <c r="N993" s="30"/>
      <c r="O993" s="30"/>
      <c r="P993" s="30"/>
      <c r="Q993" s="31"/>
      <c r="R993" s="31"/>
      <c r="S993" s="31"/>
      <c r="T993" s="32"/>
      <c r="U993" s="32"/>
      <c r="V993" s="32"/>
      <c r="W993" s="32"/>
      <c r="X993" s="32"/>
      <c r="Y993" s="33"/>
      <c r="Z993" s="33"/>
      <c r="AA993" s="33"/>
    </row>
    <row r="994" spans="1:27">
      <c r="A994" s="29"/>
      <c r="B994" s="19">
        <f t="shared" si="31"/>
        <v>46327</v>
      </c>
      <c r="C994" s="27">
        <f>I994+J994+K994+L994+M994+N994+O994+P994+IF(Q994="",0,Q994*サマリー!$B$9)+IF(R994="",0,IF(R994=200,サマリー!$B$10,IF(R994=100,サマリー!$B$11,0)))+IF(S994="",0,S994*サマリー!$B$12)</f>
        <v>0</v>
      </c>
      <c r="D994" s="27">
        <f>T994+U994+V994+W994+X994+IF(Y994="",0,Y994*サマリー!$B$9)+IF(Z994="",0,IF(Z994=200,サマリー!$B$10,IF(Z994=100,サマリー!$B$11,0)))+IF(AA994="",0,AA994*サマリー!$B$12)</f>
        <v>0</v>
      </c>
      <c r="E994" s="27">
        <f t="shared" si="30"/>
        <v>0</v>
      </c>
      <c r="I994" s="30"/>
      <c r="J994" s="30"/>
      <c r="K994" s="30"/>
      <c r="L994" s="30"/>
      <c r="M994" s="30"/>
      <c r="N994" s="30"/>
      <c r="O994" s="30"/>
      <c r="P994" s="30"/>
      <c r="Q994" s="31"/>
      <c r="R994" s="31"/>
      <c r="S994" s="31"/>
      <c r="T994" s="32"/>
      <c r="U994" s="32"/>
      <c r="V994" s="32"/>
      <c r="W994" s="32"/>
      <c r="X994" s="32"/>
      <c r="Y994" s="33"/>
      <c r="Z994" s="33"/>
      <c r="AA994" s="33"/>
    </row>
    <row r="995" spans="1:27">
      <c r="A995" s="29"/>
      <c r="B995" s="19">
        <f t="shared" si="31"/>
        <v>46327</v>
      </c>
      <c r="C995" s="27">
        <f>I995+J995+K995+L995+M995+N995+O995+P995+IF(Q995="",0,Q995*サマリー!$B$9)+IF(R995="",0,IF(R995=200,サマリー!$B$10,IF(R995=100,サマリー!$B$11,0)))+IF(S995="",0,S995*サマリー!$B$12)</f>
        <v>0</v>
      </c>
      <c r="D995" s="27">
        <f>T995+U995+V995+W995+X995+IF(Y995="",0,Y995*サマリー!$B$9)+IF(Z995="",0,IF(Z995=200,サマリー!$B$10,IF(Z995=100,サマリー!$B$11,0)))+IF(AA995="",0,AA995*サマリー!$B$12)</f>
        <v>0</v>
      </c>
      <c r="E995" s="27">
        <f t="shared" si="30"/>
        <v>0</v>
      </c>
      <c r="I995" s="30"/>
      <c r="J995" s="30"/>
      <c r="K995" s="30"/>
      <c r="L995" s="30"/>
      <c r="M995" s="30"/>
      <c r="N995" s="30"/>
      <c r="O995" s="30"/>
      <c r="P995" s="30"/>
      <c r="Q995" s="31"/>
      <c r="R995" s="31"/>
      <c r="S995" s="31"/>
      <c r="T995" s="32"/>
      <c r="U995" s="32"/>
      <c r="V995" s="32"/>
      <c r="W995" s="32"/>
      <c r="X995" s="32"/>
      <c r="Y995" s="33"/>
      <c r="Z995" s="33"/>
      <c r="AA995" s="33"/>
    </row>
    <row r="996" spans="1:27">
      <c r="A996" s="29"/>
      <c r="B996" s="19">
        <f t="shared" si="31"/>
        <v>46327</v>
      </c>
      <c r="C996" s="27">
        <f>I996+J996+K996+L996+M996+N996+O996+P996+IF(Q996="",0,Q996*サマリー!$B$9)+IF(R996="",0,IF(R996=200,サマリー!$B$10,IF(R996=100,サマリー!$B$11,0)))+IF(S996="",0,S996*サマリー!$B$12)</f>
        <v>0</v>
      </c>
      <c r="D996" s="27">
        <f>T996+U996+V996+W996+X996+IF(Y996="",0,Y996*サマリー!$B$9)+IF(Z996="",0,IF(Z996=200,サマリー!$B$10,IF(Z996=100,サマリー!$B$11,0)))+IF(AA996="",0,AA996*サマリー!$B$12)</f>
        <v>0</v>
      </c>
      <c r="E996" s="27">
        <f t="shared" si="30"/>
        <v>0</v>
      </c>
      <c r="I996" s="30"/>
      <c r="J996" s="30"/>
      <c r="K996" s="30"/>
      <c r="L996" s="30"/>
      <c r="M996" s="30"/>
      <c r="N996" s="30"/>
      <c r="O996" s="30"/>
      <c r="P996" s="30"/>
      <c r="Q996" s="31"/>
      <c r="R996" s="31"/>
      <c r="S996" s="31"/>
      <c r="T996" s="32"/>
      <c r="U996" s="32"/>
      <c r="V996" s="32"/>
      <c r="W996" s="32"/>
      <c r="X996" s="32"/>
      <c r="Y996" s="33"/>
      <c r="Z996" s="33"/>
      <c r="AA996" s="33"/>
    </row>
    <row r="997" spans="1:27">
      <c r="A997" s="29"/>
      <c r="B997" s="19">
        <f t="shared" si="31"/>
        <v>46327</v>
      </c>
      <c r="C997" s="27">
        <f>I997+J997+K997+L997+M997+N997+O997+P997+IF(Q997="",0,Q997*サマリー!$B$9)+IF(R997="",0,IF(R997=200,サマリー!$B$10,IF(R997=100,サマリー!$B$11,0)))+IF(S997="",0,S997*サマリー!$B$12)</f>
        <v>0</v>
      </c>
      <c r="D997" s="27">
        <f>T997+U997+V997+W997+X997+IF(Y997="",0,Y997*サマリー!$B$9)+IF(Z997="",0,IF(Z997=200,サマリー!$B$10,IF(Z997=100,サマリー!$B$11,0)))+IF(AA997="",0,AA997*サマリー!$B$12)</f>
        <v>0</v>
      </c>
      <c r="E997" s="27">
        <f t="shared" si="30"/>
        <v>0</v>
      </c>
      <c r="I997" s="30"/>
      <c r="J997" s="30"/>
      <c r="K997" s="30"/>
      <c r="L997" s="30"/>
      <c r="M997" s="30"/>
      <c r="N997" s="30"/>
      <c r="O997" s="30"/>
      <c r="P997" s="30"/>
      <c r="Q997" s="31"/>
      <c r="R997" s="31"/>
      <c r="S997" s="31"/>
      <c r="T997" s="32"/>
      <c r="U997" s="32"/>
      <c r="V997" s="32"/>
      <c r="W997" s="32"/>
      <c r="X997" s="32"/>
      <c r="Y997" s="33"/>
      <c r="Z997" s="33"/>
      <c r="AA997" s="33"/>
    </row>
    <row r="998" spans="1:27">
      <c r="A998" s="29"/>
      <c r="B998" s="19">
        <f t="shared" si="31"/>
        <v>46327</v>
      </c>
      <c r="C998" s="27">
        <f>I998+J998+K998+L998+M998+N998+O998+P998+IF(Q998="",0,Q998*サマリー!$B$9)+IF(R998="",0,IF(R998=200,サマリー!$B$10,IF(R998=100,サマリー!$B$11,0)))+IF(S998="",0,S998*サマリー!$B$12)</f>
        <v>0</v>
      </c>
      <c r="D998" s="27">
        <f>T998+U998+V998+W998+X998+IF(Y998="",0,Y998*サマリー!$B$9)+IF(Z998="",0,IF(Z998=200,サマリー!$B$10,IF(Z998=100,サマリー!$B$11,0)))+IF(AA998="",0,AA998*サマリー!$B$12)</f>
        <v>0</v>
      </c>
      <c r="E998" s="27">
        <f t="shared" si="30"/>
        <v>0</v>
      </c>
      <c r="I998" s="30"/>
      <c r="J998" s="30"/>
      <c r="K998" s="30"/>
      <c r="L998" s="30"/>
      <c r="M998" s="30"/>
      <c r="N998" s="30"/>
      <c r="O998" s="30"/>
      <c r="P998" s="30"/>
      <c r="Q998" s="31"/>
      <c r="R998" s="31"/>
      <c r="S998" s="31"/>
      <c r="T998" s="32"/>
      <c r="U998" s="32"/>
      <c r="V998" s="32"/>
      <c r="W998" s="32"/>
      <c r="X998" s="32"/>
      <c r="Y998" s="33"/>
      <c r="Z998" s="33"/>
      <c r="AA998" s="33"/>
    </row>
    <row r="999" spans="1:27">
      <c r="A999" s="29"/>
      <c r="B999" s="19">
        <f t="shared" si="31"/>
        <v>46327</v>
      </c>
      <c r="C999" s="27">
        <f>I999+J999+K999+L999+M999+N999+O999+P999+IF(Q999="",0,Q999*サマリー!$B$9)+IF(R999="",0,IF(R999=200,サマリー!$B$10,IF(R999=100,サマリー!$B$11,0)))+IF(S999="",0,S999*サマリー!$B$12)</f>
        <v>0</v>
      </c>
      <c r="D999" s="27">
        <f>T999+U999+V999+W999+X999+IF(Y999="",0,Y999*サマリー!$B$9)+IF(Z999="",0,IF(Z999=200,サマリー!$B$10,IF(Z999=100,サマリー!$B$11,0)))+IF(AA999="",0,AA999*サマリー!$B$12)</f>
        <v>0</v>
      </c>
      <c r="E999" s="27">
        <f t="shared" si="30"/>
        <v>0</v>
      </c>
      <c r="I999" s="30"/>
      <c r="J999" s="30"/>
      <c r="K999" s="30"/>
      <c r="L999" s="30"/>
      <c r="M999" s="30"/>
      <c r="N999" s="30"/>
      <c r="O999" s="30"/>
      <c r="P999" s="30"/>
      <c r="Q999" s="31"/>
      <c r="R999" s="31"/>
      <c r="S999" s="31"/>
      <c r="T999" s="32"/>
      <c r="U999" s="32"/>
      <c r="V999" s="32"/>
      <c r="W999" s="32"/>
      <c r="X999" s="32"/>
      <c r="Y999" s="33"/>
      <c r="Z999" s="33"/>
      <c r="AA999" s="33"/>
    </row>
    <row r="1000" spans="1:27">
      <c r="A1000" s="29"/>
      <c r="B1000" s="19">
        <f t="shared" si="31"/>
        <v>46327</v>
      </c>
      <c r="C1000" s="27">
        <f>I1000+J1000+K1000+L1000+M1000+N1000+O1000+P1000+IF(Q1000="",0,Q1000*サマリー!$B$9)+IF(R1000="",0,IF(R1000=200,サマリー!$B$10,IF(R1000=100,サマリー!$B$11,0)))+IF(S1000="",0,S1000*サマリー!$B$12)</f>
        <v>0</v>
      </c>
      <c r="D1000" s="27">
        <f>T1000+U1000+V1000+W1000+X1000+IF(Y1000="",0,Y1000*サマリー!$B$9)+IF(Z1000="",0,IF(Z1000=200,サマリー!$B$10,IF(Z1000=100,サマリー!$B$11,0)))+IF(AA1000="",0,AA1000*サマリー!$B$12)</f>
        <v>0</v>
      </c>
      <c r="E1000" s="27">
        <f t="shared" si="30"/>
        <v>0</v>
      </c>
      <c r="I1000" s="30"/>
      <c r="J1000" s="30"/>
      <c r="K1000" s="30"/>
      <c r="L1000" s="30"/>
      <c r="M1000" s="30"/>
      <c r="N1000" s="30"/>
      <c r="O1000" s="30"/>
      <c r="P1000" s="30"/>
      <c r="Q1000" s="31"/>
      <c r="R1000" s="31"/>
      <c r="S1000" s="31"/>
      <c r="T1000" s="32"/>
      <c r="U1000" s="32"/>
      <c r="V1000" s="32"/>
      <c r="W1000" s="32"/>
      <c r="X1000" s="32"/>
      <c r="Y1000" s="33"/>
      <c r="Z1000" s="33"/>
      <c r="AA1000" s="33"/>
    </row>
    <row r="1001" spans="1:27">
      <c r="A1001" s="29"/>
      <c r="B1001" s="19">
        <f t="shared" si="31"/>
        <v>46327</v>
      </c>
      <c r="C1001" s="27">
        <f>I1001+J1001+K1001+L1001+M1001+N1001+O1001+P1001+IF(Q1001="",0,Q1001*サマリー!$B$9)+IF(R1001="",0,IF(R1001=200,サマリー!$B$10,IF(R1001=100,サマリー!$B$11,0)))+IF(S1001="",0,S1001*サマリー!$B$12)</f>
        <v>0</v>
      </c>
      <c r="D1001" s="27">
        <f>T1001+U1001+V1001+W1001+X1001+IF(Y1001="",0,Y1001*サマリー!$B$9)+IF(Z1001="",0,IF(Z1001=200,サマリー!$B$10,IF(Z1001=100,サマリー!$B$11,0)))+IF(AA1001="",0,AA1001*サマリー!$B$12)</f>
        <v>0</v>
      </c>
      <c r="E1001" s="27">
        <f t="shared" si="30"/>
        <v>0</v>
      </c>
      <c r="I1001" s="30"/>
      <c r="J1001" s="30"/>
      <c r="K1001" s="30"/>
      <c r="L1001" s="30"/>
      <c r="M1001" s="30"/>
      <c r="N1001" s="30"/>
      <c r="O1001" s="30"/>
      <c r="P1001" s="30"/>
      <c r="Q1001" s="31"/>
      <c r="R1001" s="31"/>
      <c r="S1001" s="31"/>
      <c r="T1001" s="32"/>
      <c r="U1001" s="32"/>
      <c r="V1001" s="32"/>
      <c r="W1001" s="32"/>
      <c r="X1001" s="32"/>
      <c r="Y1001" s="33"/>
      <c r="Z1001" s="33"/>
      <c r="AA1001" s="33"/>
    </row>
    <row r="1002" spans="1:27">
      <c r="A1002" s="29"/>
      <c r="B1002" s="19">
        <f t="shared" si="31"/>
        <v>46327</v>
      </c>
      <c r="C1002" s="27">
        <f>I1002+J1002+K1002+L1002+M1002+N1002+O1002+P1002+IF(Q1002="",0,Q1002*サマリー!$B$9)+IF(R1002="",0,IF(R1002=200,サマリー!$B$10,IF(R1002=100,サマリー!$B$11,0)))+IF(S1002="",0,S1002*サマリー!$B$12)</f>
        <v>0</v>
      </c>
      <c r="D1002" s="27">
        <f>T1002+U1002+V1002+W1002+X1002+IF(Y1002="",0,Y1002*サマリー!$B$9)+IF(Z1002="",0,IF(Z1002=200,サマリー!$B$10,IF(Z1002=100,サマリー!$B$11,0)))+IF(AA1002="",0,AA1002*サマリー!$B$12)</f>
        <v>0</v>
      </c>
      <c r="E1002" s="27">
        <f t="shared" si="30"/>
        <v>0</v>
      </c>
      <c r="I1002" s="30"/>
      <c r="J1002" s="30"/>
      <c r="K1002" s="30"/>
      <c r="L1002" s="30"/>
      <c r="M1002" s="30"/>
      <c r="N1002" s="30"/>
      <c r="O1002" s="30"/>
      <c r="P1002" s="30"/>
      <c r="Q1002" s="31"/>
      <c r="R1002" s="31"/>
      <c r="S1002" s="31"/>
      <c r="T1002" s="32"/>
      <c r="U1002" s="32"/>
      <c r="V1002" s="32"/>
      <c r="W1002" s="32"/>
      <c r="X1002" s="32"/>
      <c r="Y1002" s="33"/>
      <c r="Z1002" s="33"/>
      <c r="AA1002" s="33"/>
    </row>
    <row r="1003" spans="1:27">
      <c r="A1003" s="29"/>
      <c r="B1003" s="19">
        <f t="shared" si="31"/>
        <v>46327</v>
      </c>
      <c r="C1003" s="27">
        <f>I1003+J1003+K1003+L1003+M1003+N1003+O1003+P1003+IF(Q1003="",0,Q1003*サマリー!$B$9)+IF(R1003="",0,IF(R1003=200,サマリー!$B$10,IF(R1003=100,サマリー!$B$11,0)))+IF(S1003="",0,S1003*サマリー!$B$12)</f>
        <v>0</v>
      </c>
      <c r="D1003" s="27">
        <f>T1003+U1003+V1003+W1003+X1003+IF(Y1003="",0,Y1003*サマリー!$B$9)+IF(Z1003="",0,IF(Z1003=200,サマリー!$B$10,IF(Z1003=100,サマリー!$B$11,0)))+IF(AA1003="",0,AA1003*サマリー!$B$12)</f>
        <v>0</v>
      </c>
      <c r="E1003" s="27">
        <f t="shared" si="30"/>
        <v>0</v>
      </c>
      <c r="I1003" s="30"/>
      <c r="J1003" s="30"/>
      <c r="K1003" s="30"/>
      <c r="L1003" s="30"/>
      <c r="M1003" s="30"/>
      <c r="N1003" s="30"/>
      <c r="O1003" s="30"/>
      <c r="P1003" s="30"/>
      <c r="Q1003" s="31"/>
      <c r="R1003" s="31"/>
      <c r="S1003" s="31"/>
      <c r="T1003" s="32"/>
      <c r="U1003" s="32"/>
      <c r="V1003" s="32"/>
      <c r="W1003" s="32"/>
      <c r="X1003" s="32"/>
      <c r="Y1003" s="33"/>
      <c r="Z1003" s="33"/>
      <c r="AA1003" s="33"/>
    </row>
    <row r="1004" spans="1:27">
      <c r="A1004" s="29"/>
      <c r="B1004" s="19">
        <f t="shared" si="31"/>
        <v>46327</v>
      </c>
      <c r="C1004" s="27">
        <f>I1004+J1004+K1004+L1004+M1004+N1004+O1004+P1004+IF(Q1004="",0,Q1004*サマリー!$B$9)+IF(R1004="",0,IF(R1004=200,サマリー!$B$10,IF(R1004=100,サマリー!$B$11,0)))+IF(S1004="",0,S1004*サマリー!$B$12)</f>
        <v>0</v>
      </c>
      <c r="D1004" s="27">
        <f>T1004+U1004+V1004+W1004+X1004+IF(Y1004="",0,Y1004*サマリー!$B$9)+IF(Z1004="",0,IF(Z1004=200,サマリー!$B$10,IF(Z1004=100,サマリー!$B$11,0)))+IF(AA1004="",0,AA1004*サマリー!$B$12)</f>
        <v>0</v>
      </c>
      <c r="E1004" s="27">
        <f t="shared" si="30"/>
        <v>0</v>
      </c>
      <c r="I1004" s="30"/>
      <c r="J1004" s="30"/>
      <c r="K1004" s="30"/>
      <c r="L1004" s="30"/>
      <c r="M1004" s="30"/>
      <c r="N1004" s="30"/>
      <c r="O1004" s="30"/>
      <c r="P1004" s="30"/>
      <c r="Q1004" s="31"/>
      <c r="R1004" s="31"/>
      <c r="S1004" s="31"/>
      <c r="T1004" s="32"/>
      <c r="U1004" s="32"/>
      <c r="V1004" s="32"/>
      <c r="W1004" s="32"/>
      <c r="X1004" s="32"/>
      <c r="Y1004" s="33"/>
      <c r="Z1004" s="33"/>
      <c r="AA1004" s="33"/>
    </row>
    <row r="1005" spans="1:27">
      <c r="A1005" s="29"/>
      <c r="B1005" s="19">
        <f t="shared" si="31"/>
        <v>46327</v>
      </c>
      <c r="C1005" s="27">
        <f>I1005+J1005+K1005+L1005+M1005+N1005+O1005+P1005+IF(Q1005="",0,Q1005*サマリー!$B$9)+IF(R1005="",0,IF(R1005=200,サマリー!$B$10,IF(R1005=100,サマリー!$B$11,0)))+IF(S1005="",0,S1005*サマリー!$B$12)</f>
        <v>0</v>
      </c>
      <c r="D1005" s="27">
        <f>T1005+U1005+V1005+W1005+X1005+IF(Y1005="",0,Y1005*サマリー!$B$9)+IF(Z1005="",0,IF(Z1005=200,サマリー!$B$10,IF(Z1005=100,サマリー!$B$11,0)))+IF(AA1005="",0,AA1005*サマリー!$B$12)</f>
        <v>0</v>
      </c>
      <c r="E1005" s="27">
        <f t="shared" si="30"/>
        <v>0</v>
      </c>
      <c r="I1005" s="30"/>
      <c r="J1005" s="30"/>
      <c r="K1005" s="30"/>
      <c r="L1005" s="30"/>
      <c r="M1005" s="30"/>
      <c r="N1005" s="30"/>
      <c r="O1005" s="30"/>
      <c r="P1005" s="30"/>
      <c r="Q1005" s="31"/>
      <c r="R1005" s="31"/>
      <c r="S1005" s="31"/>
      <c r="T1005" s="32"/>
      <c r="U1005" s="32"/>
      <c r="V1005" s="32"/>
      <c r="W1005" s="32"/>
      <c r="X1005" s="32"/>
      <c r="Y1005" s="33"/>
      <c r="Z1005" s="33"/>
      <c r="AA1005" s="33"/>
    </row>
    <row r="1006" spans="1:27">
      <c r="A1006" s="29"/>
      <c r="B1006" s="19">
        <f t="shared" si="31"/>
        <v>46327</v>
      </c>
      <c r="C1006" s="27">
        <f>I1006+J1006+K1006+L1006+M1006+N1006+O1006+P1006+IF(Q1006="",0,Q1006*サマリー!$B$9)+IF(R1006="",0,IF(R1006=200,サマリー!$B$10,IF(R1006=100,サマリー!$B$11,0)))+IF(S1006="",0,S1006*サマリー!$B$12)</f>
        <v>0</v>
      </c>
      <c r="D1006" s="27">
        <f>T1006+U1006+V1006+W1006+X1006+IF(Y1006="",0,Y1006*サマリー!$B$9)+IF(Z1006="",0,IF(Z1006=200,サマリー!$B$10,IF(Z1006=100,サマリー!$B$11,0)))+IF(AA1006="",0,AA1006*サマリー!$B$12)</f>
        <v>0</v>
      </c>
      <c r="E1006" s="27">
        <f t="shared" si="30"/>
        <v>0</v>
      </c>
      <c r="I1006" s="30"/>
      <c r="J1006" s="30"/>
      <c r="K1006" s="30"/>
      <c r="L1006" s="30"/>
      <c r="M1006" s="30"/>
      <c r="N1006" s="30"/>
      <c r="O1006" s="30"/>
      <c r="P1006" s="30"/>
      <c r="Q1006" s="31"/>
      <c r="R1006" s="31"/>
      <c r="S1006" s="31"/>
      <c r="T1006" s="32"/>
      <c r="U1006" s="32"/>
      <c r="V1006" s="32"/>
      <c r="W1006" s="32"/>
      <c r="X1006" s="32"/>
      <c r="Y1006" s="33"/>
      <c r="Z1006" s="33"/>
      <c r="AA1006" s="33"/>
    </row>
    <row r="1007" spans="1:27">
      <c r="A1007" s="29"/>
      <c r="B1007" s="19">
        <f t="shared" si="31"/>
        <v>46327</v>
      </c>
      <c r="C1007" s="27">
        <f>I1007+J1007+K1007+L1007+M1007+N1007+O1007+P1007+IF(Q1007="",0,Q1007*サマリー!$B$9)+IF(R1007="",0,IF(R1007=200,サマリー!$B$10,IF(R1007=100,サマリー!$B$11,0)))+IF(S1007="",0,S1007*サマリー!$B$12)</f>
        <v>0</v>
      </c>
      <c r="D1007" s="27">
        <f>T1007+U1007+V1007+W1007+X1007+IF(Y1007="",0,Y1007*サマリー!$B$9)+IF(Z1007="",0,IF(Z1007=200,サマリー!$B$10,IF(Z1007=100,サマリー!$B$11,0)))+IF(AA1007="",0,AA1007*サマリー!$B$12)</f>
        <v>0</v>
      </c>
      <c r="E1007" s="27">
        <f t="shared" si="30"/>
        <v>0</v>
      </c>
      <c r="I1007" s="30"/>
      <c r="J1007" s="30"/>
      <c r="K1007" s="30"/>
      <c r="L1007" s="30"/>
      <c r="M1007" s="30"/>
      <c r="N1007" s="30"/>
      <c r="O1007" s="30"/>
      <c r="P1007" s="30"/>
      <c r="Q1007" s="31"/>
      <c r="R1007" s="31"/>
      <c r="S1007" s="31"/>
      <c r="T1007" s="32"/>
      <c r="U1007" s="32"/>
      <c r="V1007" s="32"/>
      <c r="W1007" s="32"/>
      <c r="X1007" s="32"/>
      <c r="Y1007" s="33"/>
      <c r="Z1007" s="33"/>
      <c r="AA1007" s="33"/>
    </row>
    <row r="1008" spans="1:27">
      <c r="A1008" s="29"/>
      <c r="B1008" s="19">
        <f t="shared" si="31"/>
        <v>46327</v>
      </c>
      <c r="C1008" s="27">
        <f>I1008+J1008+K1008+L1008+M1008+N1008+O1008+P1008+IF(Q1008="",0,Q1008*サマリー!$B$9)+IF(R1008="",0,IF(R1008=200,サマリー!$B$10,IF(R1008=100,サマリー!$B$11,0)))+IF(S1008="",0,S1008*サマリー!$B$12)</f>
        <v>0</v>
      </c>
      <c r="D1008" s="27">
        <f>T1008+U1008+V1008+W1008+X1008+IF(Y1008="",0,Y1008*サマリー!$B$9)+IF(Z1008="",0,IF(Z1008=200,サマリー!$B$10,IF(Z1008=100,サマリー!$B$11,0)))+IF(AA1008="",0,AA1008*サマリー!$B$12)</f>
        <v>0</v>
      </c>
      <c r="E1008" s="27">
        <f t="shared" si="30"/>
        <v>0</v>
      </c>
      <c r="I1008" s="30"/>
      <c r="J1008" s="30"/>
      <c r="K1008" s="30"/>
      <c r="L1008" s="30"/>
      <c r="M1008" s="30"/>
      <c r="N1008" s="30"/>
      <c r="O1008" s="30"/>
      <c r="P1008" s="30"/>
      <c r="Q1008" s="31"/>
      <c r="R1008" s="31"/>
      <c r="S1008" s="31"/>
      <c r="T1008" s="32"/>
      <c r="U1008" s="32"/>
      <c r="V1008" s="32"/>
      <c r="W1008" s="32"/>
      <c r="X1008" s="32"/>
      <c r="Y1008" s="33"/>
      <c r="Z1008" s="33"/>
      <c r="AA1008" s="33"/>
    </row>
    <row r="1009" spans="1:27">
      <c r="A1009" s="29"/>
      <c r="B1009" s="19">
        <f t="shared" si="31"/>
        <v>46327</v>
      </c>
      <c r="C1009" s="27">
        <f>I1009+J1009+K1009+L1009+M1009+N1009+O1009+P1009+IF(Q1009="",0,Q1009*サマリー!$B$9)+IF(R1009="",0,IF(R1009=200,サマリー!$B$10,IF(R1009=100,サマリー!$B$11,0)))+IF(S1009="",0,S1009*サマリー!$B$12)</f>
        <v>0</v>
      </c>
      <c r="D1009" s="27">
        <f>T1009+U1009+V1009+W1009+X1009+IF(Y1009="",0,Y1009*サマリー!$B$9)+IF(Z1009="",0,IF(Z1009=200,サマリー!$B$10,IF(Z1009=100,サマリー!$B$11,0)))+IF(AA1009="",0,AA1009*サマリー!$B$12)</f>
        <v>0</v>
      </c>
      <c r="E1009" s="27">
        <f t="shared" si="30"/>
        <v>0</v>
      </c>
      <c r="I1009" s="30"/>
      <c r="J1009" s="30"/>
      <c r="K1009" s="30"/>
      <c r="L1009" s="30"/>
      <c r="M1009" s="30"/>
      <c r="N1009" s="30"/>
      <c r="O1009" s="30"/>
      <c r="P1009" s="30"/>
      <c r="Q1009" s="31"/>
      <c r="R1009" s="31"/>
      <c r="S1009" s="31"/>
      <c r="T1009" s="32"/>
      <c r="U1009" s="32"/>
      <c r="V1009" s="32"/>
      <c r="W1009" s="32"/>
      <c r="X1009" s="32"/>
      <c r="Y1009" s="33"/>
      <c r="Z1009" s="33"/>
      <c r="AA1009" s="33"/>
    </row>
    <row r="1010" spans="1:27">
      <c r="A1010" s="29"/>
      <c r="B1010" s="19">
        <f t="shared" si="31"/>
        <v>46327</v>
      </c>
      <c r="C1010" s="27">
        <f>I1010+J1010+K1010+L1010+M1010+N1010+O1010+P1010+IF(Q1010="",0,Q1010*サマリー!$B$9)+IF(R1010="",0,IF(R1010=200,サマリー!$B$10,IF(R1010=100,サマリー!$B$11,0)))+IF(S1010="",0,S1010*サマリー!$B$12)</f>
        <v>0</v>
      </c>
      <c r="D1010" s="27">
        <f>T1010+U1010+V1010+W1010+X1010+IF(Y1010="",0,Y1010*サマリー!$B$9)+IF(Z1010="",0,IF(Z1010=200,サマリー!$B$10,IF(Z1010=100,サマリー!$B$11,0)))+IF(AA1010="",0,AA1010*サマリー!$B$12)</f>
        <v>0</v>
      </c>
      <c r="E1010" s="27">
        <f t="shared" si="30"/>
        <v>0</v>
      </c>
      <c r="I1010" s="30"/>
      <c r="J1010" s="30"/>
      <c r="K1010" s="30"/>
      <c r="L1010" s="30"/>
      <c r="M1010" s="30"/>
      <c r="N1010" s="30"/>
      <c r="O1010" s="30"/>
      <c r="P1010" s="30"/>
      <c r="Q1010" s="31"/>
      <c r="R1010" s="31"/>
      <c r="S1010" s="31"/>
      <c r="T1010" s="32"/>
      <c r="U1010" s="32"/>
      <c r="V1010" s="32"/>
      <c r="W1010" s="32"/>
      <c r="X1010" s="32"/>
      <c r="Y1010" s="33"/>
      <c r="Z1010" s="33"/>
      <c r="AA1010" s="33"/>
    </row>
    <row r="1011" spans="1:27">
      <c r="A1011" s="29"/>
      <c r="B1011" s="19">
        <f t="shared" si="31"/>
        <v>46327</v>
      </c>
      <c r="C1011" s="27">
        <f>I1011+J1011+K1011+L1011+M1011+N1011+O1011+P1011+IF(Q1011="",0,Q1011*サマリー!$B$9)+IF(R1011="",0,IF(R1011=200,サマリー!$B$10,IF(R1011=100,サマリー!$B$11,0)))+IF(S1011="",0,S1011*サマリー!$B$12)</f>
        <v>0</v>
      </c>
      <c r="D1011" s="27">
        <f>T1011+U1011+V1011+W1011+X1011+IF(Y1011="",0,Y1011*サマリー!$B$9)+IF(Z1011="",0,IF(Z1011=200,サマリー!$B$10,IF(Z1011=100,サマリー!$B$11,0)))+IF(AA1011="",0,AA1011*サマリー!$B$12)</f>
        <v>0</v>
      </c>
      <c r="E1011" s="27">
        <f t="shared" si="30"/>
        <v>0</v>
      </c>
      <c r="I1011" s="30"/>
      <c r="J1011" s="30"/>
      <c r="K1011" s="30"/>
      <c r="L1011" s="30"/>
      <c r="M1011" s="30"/>
      <c r="N1011" s="30"/>
      <c r="O1011" s="30"/>
      <c r="P1011" s="30"/>
      <c r="Q1011" s="31"/>
      <c r="R1011" s="31"/>
      <c r="S1011" s="31"/>
      <c r="T1011" s="32"/>
      <c r="U1011" s="32"/>
      <c r="V1011" s="32"/>
      <c r="W1011" s="32"/>
      <c r="X1011" s="32"/>
      <c r="Y1011" s="33"/>
      <c r="Z1011" s="33"/>
      <c r="AA1011" s="33"/>
    </row>
    <row r="1012" spans="1:27">
      <c r="A1012" s="29"/>
      <c r="B1012" s="19">
        <f t="shared" si="31"/>
        <v>46327</v>
      </c>
      <c r="C1012" s="27">
        <f>I1012+J1012+K1012+L1012+M1012+N1012+O1012+P1012+IF(Q1012="",0,Q1012*サマリー!$B$9)+IF(R1012="",0,IF(R1012=200,サマリー!$B$10,IF(R1012=100,サマリー!$B$11,0)))+IF(S1012="",0,S1012*サマリー!$B$12)</f>
        <v>0</v>
      </c>
      <c r="D1012" s="27">
        <f>T1012+U1012+V1012+W1012+X1012+IF(Y1012="",0,Y1012*サマリー!$B$9)+IF(Z1012="",0,IF(Z1012=200,サマリー!$B$10,IF(Z1012=100,サマリー!$B$11,0)))+IF(AA1012="",0,AA1012*サマリー!$B$12)</f>
        <v>0</v>
      </c>
      <c r="E1012" s="27">
        <f t="shared" si="30"/>
        <v>0</v>
      </c>
      <c r="I1012" s="30"/>
      <c r="J1012" s="30"/>
      <c r="K1012" s="30"/>
      <c r="L1012" s="30"/>
      <c r="M1012" s="30"/>
      <c r="N1012" s="30"/>
      <c r="O1012" s="30"/>
      <c r="P1012" s="30"/>
      <c r="Q1012" s="31"/>
      <c r="R1012" s="31"/>
      <c r="S1012" s="31"/>
      <c r="T1012" s="32"/>
      <c r="U1012" s="32"/>
      <c r="V1012" s="32"/>
      <c r="W1012" s="32"/>
      <c r="X1012" s="32"/>
      <c r="Y1012" s="33"/>
      <c r="Z1012" s="33"/>
      <c r="AA1012" s="33"/>
    </row>
    <row r="1013" spans="1:27">
      <c r="A1013" s="29"/>
      <c r="B1013" s="19">
        <f t="shared" si="31"/>
        <v>46327</v>
      </c>
      <c r="C1013" s="27">
        <f>I1013+J1013+K1013+L1013+M1013+N1013+O1013+P1013+IF(Q1013="",0,Q1013*サマリー!$B$9)+IF(R1013="",0,IF(R1013=200,サマリー!$B$10,IF(R1013=100,サマリー!$B$11,0)))+IF(S1013="",0,S1013*サマリー!$B$12)</f>
        <v>0</v>
      </c>
      <c r="D1013" s="27">
        <f>T1013+U1013+V1013+W1013+X1013+IF(Y1013="",0,Y1013*サマリー!$B$9)+IF(Z1013="",0,IF(Z1013=200,サマリー!$B$10,IF(Z1013=100,サマリー!$B$11,0)))+IF(AA1013="",0,AA1013*サマリー!$B$12)</f>
        <v>0</v>
      </c>
      <c r="E1013" s="27">
        <f t="shared" si="30"/>
        <v>0</v>
      </c>
      <c r="I1013" s="30"/>
      <c r="J1013" s="30"/>
      <c r="K1013" s="30"/>
      <c r="L1013" s="30"/>
      <c r="M1013" s="30"/>
      <c r="N1013" s="30"/>
      <c r="O1013" s="30"/>
      <c r="P1013" s="30"/>
      <c r="Q1013" s="31"/>
      <c r="R1013" s="31"/>
      <c r="S1013" s="31"/>
      <c r="T1013" s="32"/>
      <c r="U1013" s="32"/>
      <c r="V1013" s="32"/>
      <c r="W1013" s="32"/>
      <c r="X1013" s="32"/>
      <c r="Y1013" s="33"/>
      <c r="Z1013" s="33"/>
      <c r="AA1013" s="33"/>
    </row>
    <row r="1014" spans="1:27">
      <c r="A1014" s="29"/>
      <c r="B1014" s="19">
        <f t="shared" si="31"/>
        <v>46327</v>
      </c>
      <c r="C1014" s="27">
        <f>I1014+J1014+K1014+L1014+M1014+N1014+O1014+P1014+IF(Q1014="",0,Q1014*サマリー!$B$9)+IF(R1014="",0,IF(R1014=200,サマリー!$B$10,IF(R1014=100,サマリー!$B$11,0)))+IF(S1014="",0,S1014*サマリー!$B$12)</f>
        <v>0</v>
      </c>
      <c r="D1014" s="27">
        <f>T1014+U1014+V1014+W1014+X1014+IF(Y1014="",0,Y1014*サマリー!$B$9)+IF(Z1014="",0,IF(Z1014=200,サマリー!$B$10,IF(Z1014=100,サマリー!$B$11,0)))+IF(AA1014="",0,AA1014*サマリー!$B$12)</f>
        <v>0</v>
      </c>
      <c r="E1014" s="27">
        <f t="shared" si="30"/>
        <v>0</v>
      </c>
      <c r="I1014" s="30"/>
      <c r="J1014" s="30"/>
      <c r="K1014" s="30"/>
      <c r="L1014" s="30"/>
      <c r="M1014" s="30"/>
      <c r="N1014" s="30"/>
      <c r="O1014" s="30"/>
      <c r="P1014" s="30"/>
      <c r="Q1014" s="31"/>
      <c r="R1014" s="31"/>
      <c r="S1014" s="31"/>
      <c r="T1014" s="32"/>
      <c r="U1014" s="32"/>
      <c r="V1014" s="32"/>
      <c r="W1014" s="32"/>
      <c r="X1014" s="32"/>
      <c r="Y1014" s="33"/>
      <c r="Z1014" s="33"/>
      <c r="AA1014" s="33"/>
    </row>
    <row r="1015" spans="1:27">
      <c r="A1015" s="29"/>
      <c r="B1015" s="19">
        <f t="shared" si="31"/>
        <v>46327</v>
      </c>
      <c r="C1015" s="27">
        <f>I1015+J1015+K1015+L1015+M1015+N1015+O1015+P1015+IF(Q1015="",0,Q1015*サマリー!$B$9)+IF(R1015="",0,IF(R1015=200,サマリー!$B$10,IF(R1015=100,サマリー!$B$11,0)))+IF(S1015="",0,S1015*サマリー!$B$12)</f>
        <v>0</v>
      </c>
      <c r="D1015" s="27">
        <f>T1015+U1015+V1015+W1015+X1015+IF(Y1015="",0,Y1015*サマリー!$B$9)+IF(Z1015="",0,IF(Z1015=200,サマリー!$B$10,IF(Z1015=100,サマリー!$B$11,0)))+IF(AA1015="",0,AA1015*サマリー!$B$12)</f>
        <v>0</v>
      </c>
      <c r="E1015" s="27">
        <f t="shared" si="30"/>
        <v>0</v>
      </c>
      <c r="I1015" s="30"/>
      <c r="J1015" s="30"/>
      <c r="K1015" s="30"/>
      <c r="L1015" s="30"/>
      <c r="M1015" s="30"/>
      <c r="N1015" s="30"/>
      <c r="O1015" s="30"/>
      <c r="P1015" s="30"/>
      <c r="Q1015" s="31"/>
      <c r="R1015" s="31"/>
      <c r="S1015" s="31"/>
      <c r="T1015" s="32"/>
      <c r="U1015" s="32"/>
      <c r="V1015" s="32"/>
      <c r="W1015" s="32"/>
      <c r="X1015" s="32"/>
      <c r="Y1015" s="33"/>
      <c r="Z1015" s="33"/>
      <c r="AA1015" s="33"/>
    </row>
    <row r="1016" spans="1:27">
      <c r="A1016" s="29"/>
      <c r="B1016" s="19">
        <f t="shared" si="31"/>
        <v>46327</v>
      </c>
      <c r="C1016" s="27">
        <f>I1016+J1016+K1016+L1016+M1016+N1016+O1016+P1016+IF(Q1016="",0,Q1016*サマリー!$B$9)+IF(R1016="",0,IF(R1016=200,サマリー!$B$10,IF(R1016=100,サマリー!$B$11,0)))+IF(S1016="",0,S1016*サマリー!$B$12)</f>
        <v>0</v>
      </c>
      <c r="D1016" s="27">
        <f>T1016+U1016+V1016+W1016+X1016+IF(Y1016="",0,Y1016*サマリー!$B$9)+IF(Z1016="",0,IF(Z1016=200,サマリー!$B$10,IF(Z1016=100,サマリー!$B$11,0)))+IF(AA1016="",0,AA1016*サマリー!$B$12)</f>
        <v>0</v>
      </c>
      <c r="E1016" s="27">
        <f t="shared" si="30"/>
        <v>0</v>
      </c>
      <c r="I1016" s="30"/>
      <c r="J1016" s="30"/>
      <c r="K1016" s="30"/>
      <c r="L1016" s="30"/>
      <c r="M1016" s="30"/>
      <c r="N1016" s="30"/>
      <c r="O1016" s="30"/>
      <c r="P1016" s="30"/>
      <c r="Q1016" s="31"/>
      <c r="R1016" s="31"/>
      <c r="S1016" s="31"/>
      <c r="T1016" s="32"/>
      <c r="U1016" s="32"/>
      <c r="V1016" s="32"/>
      <c r="W1016" s="32"/>
      <c r="X1016" s="32"/>
      <c r="Y1016" s="33"/>
      <c r="Z1016" s="33"/>
      <c r="AA1016" s="33"/>
    </row>
    <row r="1017" spans="1:27">
      <c r="A1017" s="29"/>
      <c r="B1017" s="19">
        <f t="shared" si="31"/>
        <v>46327</v>
      </c>
      <c r="C1017" s="27">
        <f>I1017+J1017+K1017+L1017+M1017+N1017+O1017+P1017+IF(Q1017="",0,Q1017*サマリー!$B$9)+IF(R1017="",0,IF(R1017=200,サマリー!$B$10,IF(R1017=100,サマリー!$B$11,0)))+IF(S1017="",0,S1017*サマリー!$B$12)</f>
        <v>0</v>
      </c>
      <c r="D1017" s="27">
        <f>T1017+U1017+V1017+W1017+X1017+IF(Y1017="",0,Y1017*サマリー!$B$9)+IF(Z1017="",0,IF(Z1017=200,サマリー!$B$10,IF(Z1017=100,サマリー!$B$11,0)))+IF(AA1017="",0,AA1017*サマリー!$B$12)</f>
        <v>0</v>
      </c>
      <c r="E1017" s="27">
        <f t="shared" si="30"/>
        <v>0</v>
      </c>
      <c r="I1017" s="30"/>
      <c r="J1017" s="30"/>
      <c r="K1017" s="30"/>
      <c r="L1017" s="30"/>
      <c r="M1017" s="30"/>
      <c r="N1017" s="30"/>
      <c r="O1017" s="30"/>
      <c r="P1017" s="30"/>
      <c r="Q1017" s="31"/>
      <c r="R1017" s="31"/>
      <c r="S1017" s="31"/>
      <c r="T1017" s="32"/>
      <c r="U1017" s="32"/>
      <c r="V1017" s="32"/>
      <c r="W1017" s="32"/>
      <c r="X1017" s="32"/>
      <c r="Y1017" s="33"/>
      <c r="Z1017" s="33"/>
      <c r="AA1017" s="33"/>
    </row>
    <row r="1018" spans="1:27">
      <c r="A1018" s="29"/>
      <c r="B1018" s="19">
        <f t="shared" si="31"/>
        <v>46327</v>
      </c>
      <c r="C1018" s="27">
        <f>I1018+J1018+K1018+L1018+M1018+N1018+O1018+P1018+IF(Q1018="",0,Q1018*サマリー!$B$9)+IF(R1018="",0,IF(R1018=200,サマリー!$B$10,IF(R1018=100,サマリー!$B$11,0)))+IF(S1018="",0,S1018*サマリー!$B$12)</f>
        <v>0</v>
      </c>
      <c r="D1018" s="27">
        <f>T1018+U1018+V1018+W1018+X1018+IF(Y1018="",0,Y1018*サマリー!$B$9)+IF(Z1018="",0,IF(Z1018=200,サマリー!$B$10,IF(Z1018=100,サマリー!$B$11,0)))+IF(AA1018="",0,AA1018*サマリー!$B$12)</f>
        <v>0</v>
      </c>
      <c r="E1018" s="27">
        <f t="shared" si="30"/>
        <v>0</v>
      </c>
      <c r="I1018" s="30"/>
      <c r="J1018" s="30"/>
      <c r="K1018" s="30"/>
      <c r="L1018" s="30"/>
      <c r="M1018" s="30"/>
      <c r="N1018" s="30"/>
      <c r="O1018" s="30"/>
      <c r="P1018" s="30"/>
      <c r="Q1018" s="31"/>
      <c r="R1018" s="31"/>
      <c r="S1018" s="31"/>
      <c r="T1018" s="32"/>
      <c r="U1018" s="32"/>
      <c r="V1018" s="32"/>
      <c r="W1018" s="32"/>
      <c r="X1018" s="32"/>
      <c r="Y1018" s="33"/>
      <c r="Z1018" s="33"/>
      <c r="AA1018" s="33"/>
    </row>
    <row r="1019" spans="1:27">
      <c r="A1019" s="29"/>
      <c r="B1019" s="19">
        <f t="shared" si="31"/>
        <v>46327</v>
      </c>
      <c r="C1019" s="27">
        <f>I1019+J1019+K1019+L1019+M1019+N1019+O1019+P1019+IF(Q1019="",0,Q1019*サマリー!$B$9)+IF(R1019="",0,IF(R1019=200,サマリー!$B$10,IF(R1019=100,サマリー!$B$11,0)))+IF(S1019="",0,S1019*サマリー!$B$12)</f>
        <v>0</v>
      </c>
      <c r="D1019" s="27">
        <f>T1019+U1019+V1019+W1019+X1019+IF(Y1019="",0,Y1019*サマリー!$B$9)+IF(Z1019="",0,IF(Z1019=200,サマリー!$B$10,IF(Z1019=100,サマリー!$B$11,0)))+IF(AA1019="",0,AA1019*サマリー!$B$12)</f>
        <v>0</v>
      </c>
      <c r="E1019" s="27">
        <f t="shared" si="30"/>
        <v>0</v>
      </c>
      <c r="I1019" s="30"/>
      <c r="J1019" s="30"/>
      <c r="K1019" s="30"/>
      <c r="L1019" s="30"/>
      <c r="M1019" s="30"/>
      <c r="N1019" s="30"/>
      <c r="O1019" s="30"/>
      <c r="P1019" s="30"/>
      <c r="Q1019" s="31"/>
      <c r="R1019" s="31"/>
      <c r="S1019" s="31"/>
      <c r="T1019" s="32"/>
      <c r="U1019" s="32"/>
      <c r="V1019" s="32"/>
      <c r="W1019" s="32"/>
      <c r="X1019" s="32"/>
      <c r="Y1019" s="33"/>
      <c r="Z1019" s="33"/>
      <c r="AA1019" s="33"/>
    </row>
    <row r="1020" spans="1:27">
      <c r="A1020" s="29"/>
      <c r="B1020" s="19">
        <f t="shared" si="31"/>
        <v>46327</v>
      </c>
      <c r="C1020" s="27">
        <f>I1020+J1020+K1020+L1020+M1020+N1020+O1020+P1020+IF(Q1020="",0,Q1020*サマリー!$B$9)+IF(R1020="",0,IF(R1020=200,サマリー!$B$10,IF(R1020=100,サマリー!$B$11,0)))+IF(S1020="",0,S1020*サマリー!$B$12)</f>
        <v>0</v>
      </c>
      <c r="D1020" s="27">
        <f>T1020+U1020+V1020+W1020+X1020+IF(Y1020="",0,Y1020*サマリー!$B$9)+IF(Z1020="",0,IF(Z1020=200,サマリー!$B$10,IF(Z1020=100,サマリー!$B$11,0)))+IF(AA1020="",0,AA1020*サマリー!$B$12)</f>
        <v>0</v>
      </c>
      <c r="E1020" s="27">
        <f t="shared" si="30"/>
        <v>0</v>
      </c>
      <c r="I1020" s="30"/>
      <c r="J1020" s="30"/>
      <c r="K1020" s="30"/>
      <c r="L1020" s="30"/>
      <c r="M1020" s="30"/>
      <c r="N1020" s="30"/>
      <c r="O1020" s="30"/>
      <c r="P1020" s="30"/>
      <c r="Q1020" s="31"/>
      <c r="R1020" s="31"/>
      <c r="S1020" s="31"/>
      <c r="T1020" s="32"/>
      <c r="U1020" s="32"/>
      <c r="V1020" s="32"/>
      <c r="W1020" s="32"/>
      <c r="X1020" s="32"/>
      <c r="Y1020" s="33"/>
      <c r="Z1020" s="33"/>
      <c r="AA1020" s="33"/>
    </row>
    <row r="1021" spans="1:27">
      <c r="A1021" s="29"/>
      <c r="B1021" s="19">
        <f t="shared" si="31"/>
        <v>46327</v>
      </c>
      <c r="C1021" s="27">
        <f>I1021+J1021+K1021+L1021+M1021+N1021+O1021+P1021+IF(Q1021="",0,Q1021*サマリー!$B$9)+IF(R1021="",0,IF(R1021=200,サマリー!$B$10,IF(R1021=100,サマリー!$B$11,0)))+IF(S1021="",0,S1021*サマリー!$B$12)</f>
        <v>0</v>
      </c>
      <c r="D1021" s="27">
        <f>T1021+U1021+V1021+W1021+X1021+IF(Y1021="",0,Y1021*サマリー!$B$9)+IF(Z1021="",0,IF(Z1021=200,サマリー!$B$10,IF(Z1021=100,サマリー!$B$11,0)))+IF(AA1021="",0,AA1021*サマリー!$B$12)</f>
        <v>0</v>
      </c>
      <c r="E1021" s="27">
        <f t="shared" si="30"/>
        <v>0</v>
      </c>
      <c r="I1021" s="30"/>
      <c r="J1021" s="30"/>
      <c r="K1021" s="30"/>
      <c r="L1021" s="30"/>
      <c r="M1021" s="30"/>
      <c r="N1021" s="30"/>
      <c r="O1021" s="30"/>
      <c r="P1021" s="30"/>
      <c r="Q1021" s="31"/>
      <c r="R1021" s="31"/>
      <c r="S1021" s="31"/>
      <c r="T1021" s="32"/>
      <c r="U1021" s="32"/>
      <c r="V1021" s="32"/>
      <c r="W1021" s="32"/>
      <c r="X1021" s="32"/>
      <c r="Y1021" s="33"/>
      <c r="Z1021" s="33"/>
      <c r="AA1021" s="33"/>
    </row>
    <row r="1022" spans="1:27">
      <c r="A1022" s="29"/>
      <c r="B1022" s="19">
        <f t="shared" si="31"/>
        <v>46327</v>
      </c>
      <c r="C1022" s="27">
        <f>I1022+J1022+K1022+L1022+M1022+N1022+O1022+P1022+IF(Q1022="",0,Q1022*サマリー!$B$9)+IF(R1022="",0,IF(R1022=200,サマリー!$B$10,IF(R1022=100,サマリー!$B$11,0)))+IF(S1022="",0,S1022*サマリー!$B$12)</f>
        <v>0</v>
      </c>
      <c r="D1022" s="27">
        <f>T1022+U1022+V1022+W1022+X1022+IF(Y1022="",0,Y1022*サマリー!$B$9)+IF(Z1022="",0,IF(Z1022=200,サマリー!$B$10,IF(Z1022=100,サマリー!$B$11,0)))+IF(AA1022="",0,AA1022*サマリー!$B$12)</f>
        <v>0</v>
      </c>
      <c r="E1022" s="27">
        <f t="shared" si="30"/>
        <v>0</v>
      </c>
      <c r="I1022" s="30"/>
      <c r="J1022" s="30"/>
      <c r="K1022" s="30"/>
      <c r="L1022" s="30"/>
      <c r="M1022" s="30"/>
      <c r="N1022" s="30"/>
      <c r="O1022" s="30"/>
      <c r="P1022" s="30"/>
      <c r="Q1022" s="31"/>
      <c r="R1022" s="31"/>
      <c r="S1022" s="31"/>
      <c r="T1022" s="32"/>
      <c r="U1022" s="32"/>
      <c r="V1022" s="32"/>
      <c r="W1022" s="32"/>
      <c r="X1022" s="32"/>
      <c r="Y1022" s="33"/>
      <c r="Z1022" s="33"/>
      <c r="AA1022" s="33"/>
    </row>
    <row r="1023" spans="1:27">
      <c r="A1023" s="29"/>
      <c r="B1023" s="19">
        <f t="shared" si="31"/>
        <v>46327</v>
      </c>
      <c r="C1023" s="27">
        <f>I1023+J1023+K1023+L1023+M1023+N1023+O1023+P1023+IF(Q1023="",0,Q1023*サマリー!$B$9)+IF(R1023="",0,IF(R1023=200,サマリー!$B$10,IF(R1023=100,サマリー!$B$11,0)))+IF(S1023="",0,S1023*サマリー!$B$12)</f>
        <v>0</v>
      </c>
      <c r="D1023" s="27">
        <f>T1023+U1023+V1023+W1023+X1023+IF(Y1023="",0,Y1023*サマリー!$B$9)+IF(Z1023="",0,IF(Z1023=200,サマリー!$B$10,IF(Z1023=100,サマリー!$B$11,0)))+IF(AA1023="",0,AA1023*サマリー!$B$12)</f>
        <v>0</v>
      </c>
      <c r="E1023" s="27">
        <f t="shared" si="30"/>
        <v>0</v>
      </c>
      <c r="I1023" s="30"/>
      <c r="J1023" s="30"/>
      <c r="K1023" s="30"/>
      <c r="L1023" s="30"/>
      <c r="M1023" s="30"/>
      <c r="N1023" s="30"/>
      <c r="O1023" s="30"/>
      <c r="P1023" s="30"/>
      <c r="Q1023" s="31"/>
      <c r="R1023" s="31"/>
      <c r="S1023" s="31"/>
      <c r="T1023" s="32"/>
      <c r="U1023" s="32"/>
      <c r="V1023" s="32"/>
      <c r="W1023" s="32"/>
      <c r="X1023" s="32"/>
      <c r="Y1023" s="33"/>
      <c r="Z1023" s="33"/>
      <c r="AA1023" s="33"/>
    </row>
    <row r="1024" spans="1:27">
      <c r="A1024" s="29"/>
      <c r="B1024" s="19">
        <f t="shared" si="31"/>
        <v>46327</v>
      </c>
      <c r="C1024" s="27">
        <f>I1024+J1024+K1024+L1024+M1024+N1024+O1024+P1024+IF(Q1024="",0,Q1024*サマリー!$B$9)+IF(R1024="",0,IF(R1024=200,サマリー!$B$10,IF(R1024=100,サマリー!$B$11,0)))+IF(S1024="",0,S1024*サマリー!$B$12)</f>
        <v>0</v>
      </c>
      <c r="D1024" s="27">
        <f>T1024+U1024+V1024+W1024+X1024+IF(Y1024="",0,Y1024*サマリー!$B$9)+IF(Z1024="",0,IF(Z1024=200,サマリー!$B$10,IF(Z1024=100,サマリー!$B$11,0)))+IF(AA1024="",0,AA1024*サマリー!$B$12)</f>
        <v>0</v>
      </c>
      <c r="E1024" s="27">
        <f t="shared" si="30"/>
        <v>0</v>
      </c>
      <c r="I1024" s="30"/>
      <c r="J1024" s="30"/>
      <c r="K1024" s="30"/>
      <c r="L1024" s="30"/>
      <c r="M1024" s="30"/>
      <c r="N1024" s="30"/>
      <c r="O1024" s="30"/>
      <c r="P1024" s="30"/>
      <c r="Q1024" s="31"/>
      <c r="R1024" s="31"/>
      <c r="S1024" s="31"/>
      <c r="T1024" s="32"/>
      <c r="U1024" s="32"/>
      <c r="V1024" s="32"/>
      <c r="W1024" s="32"/>
      <c r="X1024" s="32"/>
      <c r="Y1024" s="33"/>
      <c r="Z1024" s="33"/>
      <c r="AA1024" s="33"/>
    </row>
    <row r="1025" spans="1:27">
      <c r="A1025" s="29"/>
      <c r="B1025" s="19">
        <f t="shared" si="31"/>
        <v>46327</v>
      </c>
      <c r="C1025" s="27">
        <f>I1025+J1025+K1025+L1025+M1025+N1025+O1025+P1025+IF(Q1025="",0,Q1025*サマリー!$B$9)+IF(R1025="",0,IF(R1025=200,サマリー!$B$10,IF(R1025=100,サマリー!$B$11,0)))+IF(S1025="",0,S1025*サマリー!$B$12)</f>
        <v>0</v>
      </c>
      <c r="D1025" s="27">
        <f>T1025+U1025+V1025+W1025+X1025+IF(Y1025="",0,Y1025*サマリー!$B$9)+IF(Z1025="",0,IF(Z1025=200,サマリー!$B$10,IF(Z1025=100,サマリー!$B$11,0)))+IF(AA1025="",0,AA1025*サマリー!$B$12)</f>
        <v>0</v>
      </c>
      <c r="E1025" s="27">
        <f t="shared" si="30"/>
        <v>0</v>
      </c>
      <c r="I1025" s="30"/>
      <c r="J1025" s="30"/>
      <c r="K1025" s="30"/>
      <c r="L1025" s="30"/>
      <c r="M1025" s="30"/>
      <c r="N1025" s="30"/>
      <c r="O1025" s="30"/>
      <c r="P1025" s="30"/>
      <c r="Q1025" s="31"/>
      <c r="R1025" s="31"/>
      <c r="S1025" s="31"/>
      <c r="T1025" s="32"/>
      <c r="U1025" s="32"/>
      <c r="V1025" s="32"/>
      <c r="W1025" s="32"/>
      <c r="X1025" s="32"/>
      <c r="Y1025" s="33"/>
      <c r="Z1025" s="33"/>
      <c r="AA1025" s="33"/>
    </row>
    <row r="1026" spans="1:27">
      <c r="A1026" s="29"/>
      <c r="B1026" s="19">
        <f t="shared" si="31"/>
        <v>46327</v>
      </c>
      <c r="C1026" s="27">
        <f>I1026+J1026+K1026+L1026+M1026+N1026+O1026+P1026+IF(Q1026="",0,Q1026*サマリー!$B$9)+IF(R1026="",0,IF(R1026=200,サマリー!$B$10,IF(R1026=100,サマリー!$B$11,0)))+IF(S1026="",0,S1026*サマリー!$B$12)</f>
        <v>0</v>
      </c>
      <c r="D1026" s="27">
        <f>T1026+U1026+V1026+W1026+X1026+IF(Y1026="",0,Y1026*サマリー!$B$9)+IF(Z1026="",0,IF(Z1026=200,サマリー!$B$10,IF(Z1026=100,サマリー!$B$11,0)))+IF(AA1026="",0,AA1026*サマリー!$B$12)</f>
        <v>0</v>
      </c>
      <c r="E1026" s="27">
        <f t="shared" si="30"/>
        <v>0</v>
      </c>
      <c r="I1026" s="30"/>
      <c r="J1026" s="30"/>
      <c r="K1026" s="30"/>
      <c r="L1026" s="30"/>
      <c r="M1026" s="30"/>
      <c r="N1026" s="30"/>
      <c r="O1026" s="30"/>
      <c r="P1026" s="30"/>
      <c r="Q1026" s="31"/>
      <c r="R1026" s="31"/>
      <c r="S1026" s="31"/>
      <c r="T1026" s="32"/>
      <c r="U1026" s="32"/>
      <c r="V1026" s="32"/>
      <c r="W1026" s="32"/>
      <c r="X1026" s="32"/>
      <c r="Y1026" s="33"/>
      <c r="Z1026" s="33"/>
      <c r="AA1026" s="33"/>
    </row>
    <row r="1027" spans="1:27">
      <c r="A1027" s="29"/>
      <c r="B1027" s="19">
        <f t="shared" si="31"/>
        <v>46327</v>
      </c>
      <c r="C1027" s="27">
        <f>I1027+J1027+K1027+L1027+M1027+N1027+O1027+P1027+IF(Q1027="",0,Q1027*サマリー!$B$9)+IF(R1027="",0,IF(R1027=200,サマリー!$B$10,IF(R1027=100,サマリー!$B$11,0)))+IF(S1027="",0,S1027*サマリー!$B$12)</f>
        <v>0</v>
      </c>
      <c r="D1027" s="27">
        <f>T1027+U1027+V1027+W1027+X1027+IF(Y1027="",0,Y1027*サマリー!$B$9)+IF(Z1027="",0,IF(Z1027=200,サマリー!$B$10,IF(Z1027=100,サマリー!$B$11,0)))+IF(AA1027="",0,AA1027*サマリー!$B$12)</f>
        <v>0</v>
      </c>
      <c r="E1027" s="27">
        <f t="shared" si="30"/>
        <v>0</v>
      </c>
      <c r="I1027" s="30"/>
      <c r="J1027" s="30"/>
      <c r="K1027" s="30"/>
      <c r="L1027" s="30"/>
      <c r="M1027" s="30"/>
      <c r="N1027" s="30"/>
      <c r="O1027" s="30"/>
      <c r="P1027" s="30"/>
      <c r="Q1027" s="31"/>
      <c r="R1027" s="31"/>
      <c r="S1027" s="31"/>
      <c r="T1027" s="32"/>
      <c r="U1027" s="32"/>
      <c r="V1027" s="32"/>
      <c r="W1027" s="32"/>
      <c r="X1027" s="32"/>
      <c r="Y1027" s="33"/>
      <c r="Z1027" s="33"/>
      <c r="AA1027" s="33"/>
    </row>
    <row r="1028" spans="1:27">
      <c r="A1028" s="29"/>
      <c r="B1028" s="19">
        <f t="shared" si="31"/>
        <v>46327</v>
      </c>
      <c r="C1028" s="27">
        <f>I1028+J1028+K1028+L1028+M1028+N1028+O1028+P1028+IF(Q1028="",0,Q1028*サマリー!$B$9)+IF(R1028="",0,IF(R1028=200,サマリー!$B$10,IF(R1028=100,サマリー!$B$11,0)))+IF(S1028="",0,S1028*サマリー!$B$12)</f>
        <v>0</v>
      </c>
      <c r="D1028" s="27">
        <f>T1028+U1028+V1028+W1028+X1028+IF(Y1028="",0,Y1028*サマリー!$B$9)+IF(Z1028="",0,IF(Z1028=200,サマリー!$B$10,IF(Z1028=100,サマリー!$B$11,0)))+IF(AA1028="",0,AA1028*サマリー!$B$12)</f>
        <v>0</v>
      </c>
      <c r="E1028" s="27">
        <f t="shared" si="30"/>
        <v>0</v>
      </c>
      <c r="I1028" s="30"/>
      <c r="J1028" s="30"/>
      <c r="K1028" s="30"/>
      <c r="L1028" s="30"/>
      <c r="M1028" s="30"/>
      <c r="N1028" s="30"/>
      <c r="O1028" s="30"/>
      <c r="P1028" s="30"/>
      <c r="Q1028" s="31"/>
      <c r="R1028" s="31"/>
      <c r="S1028" s="31"/>
      <c r="T1028" s="32"/>
      <c r="U1028" s="32"/>
      <c r="V1028" s="32"/>
      <c r="W1028" s="32"/>
      <c r="X1028" s="32"/>
      <c r="Y1028" s="33"/>
      <c r="Z1028" s="33"/>
      <c r="AA1028" s="33"/>
    </row>
    <row r="1029" spans="1:27">
      <c r="A1029" s="29"/>
      <c r="B1029" s="19">
        <f t="shared" si="31"/>
        <v>46327</v>
      </c>
      <c r="C1029" s="27">
        <f>I1029+J1029+K1029+L1029+M1029+N1029+O1029+P1029+IF(Q1029="",0,Q1029*サマリー!$B$9)+IF(R1029="",0,IF(R1029=200,サマリー!$B$10,IF(R1029=100,サマリー!$B$11,0)))+IF(S1029="",0,S1029*サマリー!$B$12)</f>
        <v>0</v>
      </c>
      <c r="D1029" s="27">
        <f>T1029+U1029+V1029+W1029+X1029+IF(Y1029="",0,Y1029*サマリー!$B$9)+IF(Z1029="",0,IF(Z1029=200,サマリー!$B$10,IF(Z1029=100,サマリー!$B$11,0)))+IF(AA1029="",0,AA1029*サマリー!$B$12)</f>
        <v>0</v>
      </c>
      <c r="E1029" s="27">
        <f t="shared" si="30"/>
        <v>0</v>
      </c>
      <c r="I1029" s="30"/>
      <c r="J1029" s="30"/>
      <c r="K1029" s="30"/>
      <c r="L1029" s="30"/>
      <c r="M1029" s="30"/>
      <c r="N1029" s="30"/>
      <c r="O1029" s="30"/>
      <c r="P1029" s="30"/>
      <c r="Q1029" s="31"/>
      <c r="R1029" s="31"/>
      <c r="S1029" s="31"/>
      <c r="T1029" s="32"/>
      <c r="U1029" s="32"/>
      <c r="V1029" s="32"/>
      <c r="W1029" s="32"/>
      <c r="X1029" s="32"/>
      <c r="Y1029" s="33"/>
      <c r="Z1029" s="33"/>
      <c r="AA1029" s="33"/>
    </row>
    <row r="1030" spans="1:27">
      <c r="A1030" s="29"/>
      <c r="B1030" s="19">
        <f t="shared" si="31"/>
        <v>46327</v>
      </c>
      <c r="C1030" s="27">
        <f>I1030+J1030+K1030+L1030+M1030+N1030+O1030+P1030+IF(Q1030="",0,Q1030*サマリー!$B$9)+IF(R1030="",0,IF(R1030=200,サマリー!$B$10,IF(R1030=100,サマリー!$B$11,0)))+IF(S1030="",0,S1030*サマリー!$B$12)</f>
        <v>0</v>
      </c>
      <c r="D1030" s="27">
        <f>T1030+U1030+V1030+W1030+X1030+IF(Y1030="",0,Y1030*サマリー!$B$9)+IF(Z1030="",0,IF(Z1030=200,サマリー!$B$10,IF(Z1030=100,サマリー!$B$11,0)))+IF(AA1030="",0,AA1030*サマリー!$B$12)</f>
        <v>0</v>
      </c>
      <c r="E1030" s="27">
        <f t="shared" ref="E1030:E1093" si="32">C1030+D1030</f>
        <v>0</v>
      </c>
      <c r="I1030" s="30"/>
      <c r="J1030" s="30"/>
      <c r="K1030" s="30"/>
      <c r="L1030" s="30"/>
      <c r="M1030" s="30"/>
      <c r="N1030" s="30"/>
      <c r="O1030" s="30"/>
      <c r="P1030" s="30"/>
      <c r="Q1030" s="31"/>
      <c r="R1030" s="31"/>
      <c r="S1030" s="31"/>
      <c r="T1030" s="32"/>
      <c r="U1030" s="32"/>
      <c r="V1030" s="32"/>
      <c r="W1030" s="32"/>
      <c r="X1030" s="32"/>
      <c r="Y1030" s="33"/>
      <c r="Z1030" s="33"/>
      <c r="AA1030" s="33"/>
    </row>
    <row r="1031" spans="1:27">
      <c r="A1031" s="29"/>
      <c r="B1031" s="19">
        <f t="shared" ref="B1031:B1094" si="33">IF(A1031="",B1030,IF(A1031&lt;DAY(B1030),DATE(YEAR(B1030),MONTH(B1030)+1,A1031),DATE(YEAR(B1030),MONTH(B1030),A1031)))</f>
        <v>46327</v>
      </c>
      <c r="C1031" s="27">
        <f>I1031+J1031+K1031+L1031+M1031+N1031+O1031+P1031+IF(Q1031="",0,Q1031*サマリー!$B$9)+IF(R1031="",0,IF(R1031=200,サマリー!$B$10,IF(R1031=100,サマリー!$B$11,0)))+IF(S1031="",0,S1031*サマリー!$B$12)</f>
        <v>0</v>
      </c>
      <c r="D1031" s="27">
        <f>T1031+U1031+V1031+W1031+X1031+IF(Y1031="",0,Y1031*サマリー!$B$9)+IF(Z1031="",0,IF(Z1031=200,サマリー!$B$10,IF(Z1031=100,サマリー!$B$11,0)))+IF(AA1031="",0,AA1031*サマリー!$B$12)</f>
        <v>0</v>
      </c>
      <c r="E1031" s="27">
        <f t="shared" si="32"/>
        <v>0</v>
      </c>
      <c r="I1031" s="30"/>
      <c r="J1031" s="30"/>
      <c r="K1031" s="30"/>
      <c r="L1031" s="30"/>
      <c r="M1031" s="30"/>
      <c r="N1031" s="30"/>
      <c r="O1031" s="30"/>
      <c r="P1031" s="30"/>
      <c r="Q1031" s="31"/>
      <c r="R1031" s="31"/>
      <c r="S1031" s="31"/>
      <c r="T1031" s="32"/>
      <c r="U1031" s="32"/>
      <c r="V1031" s="32"/>
      <c r="W1031" s="32"/>
      <c r="X1031" s="32"/>
      <c r="Y1031" s="33"/>
      <c r="Z1031" s="33"/>
      <c r="AA1031" s="33"/>
    </row>
    <row r="1032" spans="1:27">
      <c r="A1032" s="29"/>
      <c r="B1032" s="19">
        <f t="shared" si="33"/>
        <v>46327</v>
      </c>
      <c r="C1032" s="27">
        <f>I1032+J1032+K1032+L1032+M1032+N1032+O1032+P1032+IF(Q1032="",0,Q1032*サマリー!$B$9)+IF(R1032="",0,IF(R1032=200,サマリー!$B$10,IF(R1032=100,サマリー!$B$11,0)))+IF(S1032="",0,S1032*サマリー!$B$12)</f>
        <v>0</v>
      </c>
      <c r="D1032" s="27">
        <f>T1032+U1032+V1032+W1032+X1032+IF(Y1032="",0,Y1032*サマリー!$B$9)+IF(Z1032="",0,IF(Z1032=200,サマリー!$B$10,IF(Z1032=100,サマリー!$B$11,0)))+IF(AA1032="",0,AA1032*サマリー!$B$12)</f>
        <v>0</v>
      </c>
      <c r="E1032" s="27">
        <f t="shared" si="32"/>
        <v>0</v>
      </c>
      <c r="I1032" s="30"/>
      <c r="J1032" s="30"/>
      <c r="K1032" s="30"/>
      <c r="L1032" s="30"/>
      <c r="M1032" s="30"/>
      <c r="N1032" s="30"/>
      <c r="O1032" s="30"/>
      <c r="P1032" s="30"/>
      <c r="Q1032" s="31"/>
      <c r="R1032" s="31"/>
      <c r="S1032" s="31"/>
      <c r="T1032" s="32"/>
      <c r="U1032" s="32"/>
      <c r="V1032" s="32"/>
      <c r="W1032" s="32"/>
      <c r="X1032" s="32"/>
      <c r="Y1032" s="33"/>
      <c r="Z1032" s="33"/>
      <c r="AA1032" s="33"/>
    </row>
    <row r="1033" spans="1:27">
      <c r="A1033" s="29"/>
      <c r="B1033" s="19">
        <f t="shared" si="33"/>
        <v>46327</v>
      </c>
      <c r="C1033" s="27">
        <f>I1033+J1033+K1033+L1033+M1033+N1033+O1033+P1033+IF(Q1033="",0,Q1033*サマリー!$B$9)+IF(R1033="",0,IF(R1033=200,サマリー!$B$10,IF(R1033=100,サマリー!$B$11,0)))+IF(S1033="",0,S1033*サマリー!$B$12)</f>
        <v>0</v>
      </c>
      <c r="D1033" s="27">
        <f>T1033+U1033+V1033+W1033+X1033+IF(Y1033="",0,Y1033*サマリー!$B$9)+IF(Z1033="",0,IF(Z1033=200,サマリー!$B$10,IF(Z1033=100,サマリー!$B$11,0)))+IF(AA1033="",0,AA1033*サマリー!$B$12)</f>
        <v>0</v>
      </c>
      <c r="E1033" s="27">
        <f t="shared" si="32"/>
        <v>0</v>
      </c>
      <c r="I1033" s="30"/>
      <c r="J1033" s="30"/>
      <c r="K1033" s="30"/>
      <c r="L1033" s="30"/>
      <c r="M1033" s="30"/>
      <c r="N1033" s="30"/>
      <c r="O1033" s="30"/>
      <c r="P1033" s="30"/>
      <c r="Q1033" s="31"/>
      <c r="R1033" s="31"/>
      <c r="S1033" s="31"/>
      <c r="T1033" s="32"/>
      <c r="U1033" s="32"/>
      <c r="V1033" s="32"/>
      <c r="W1033" s="32"/>
      <c r="X1033" s="32"/>
      <c r="Y1033" s="33"/>
      <c r="Z1033" s="33"/>
      <c r="AA1033" s="33"/>
    </row>
    <row r="1034" spans="1:27">
      <c r="A1034" s="29"/>
      <c r="B1034" s="19">
        <f t="shared" si="33"/>
        <v>46327</v>
      </c>
      <c r="C1034" s="27">
        <f>I1034+J1034+K1034+L1034+M1034+N1034+O1034+P1034+IF(Q1034="",0,Q1034*サマリー!$B$9)+IF(R1034="",0,IF(R1034=200,サマリー!$B$10,IF(R1034=100,サマリー!$B$11,0)))+IF(S1034="",0,S1034*サマリー!$B$12)</f>
        <v>0</v>
      </c>
      <c r="D1034" s="27">
        <f>T1034+U1034+V1034+W1034+X1034+IF(Y1034="",0,Y1034*サマリー!$B$9)+IF(Z1034="",0,IF(Z1034=200,サマリー!$B$10,IF(Z1034=100,サマリー!$B$11,0)))+IF(AA1034="",0,AA1034*サマリー!$B$12)</f>
        <v>0</v>
      </c>
      <c r="E1034" s="27">
        <f t="shared" si="32"/>
        <v>0</v>
      </c>
      <c r="I1034" s="30"/>
      <c r="J1034" s="30"/>
      <c r="K1034" s="30"/>
      <c r="L1034" s="30"/>
      <c r="M1034" s="30"/>
      <c r="N1034" s="30"/>
      <c r="O1034" s="30"/>
      <c r="P1034" s="30"/>
      <c r="Q1034" s="31"/>
      <c r="R1034" s="31"/>
      <c r="S1034" s="31"/>
      <c r="T1034" s="32"/>
      <c r="U1034" s="32"/>
      <c r="V1034" s="32"/>
      <c r="W1034" s="32"/>
      <c r="X1034" s="32"/>
      <c r="Y1034" s="33"/>
      <c r="Z1034" s="33"/>
      <c r="AA1034" s="33"/>
    </row>
    <row r="1035" spans="1:27">
      <c r="A1035" s="29"/>
      <c r="B1035" s="19">
        <f t="shared" si="33"/>
        <v>46327</v>
      </c>
      <c r="C1035" s="27">
        <f>I1035+J1035+K1035+L1035+M1035+N1035+O1035+P1035+IF(Q1035="",0,Q1035*サマリー!$B$9)+IF(R1035="",0,IF(R1035=200,サマリー!$B$10,IF(R1035=100,サマリー!$B$11,0)))+IF(S1035="",0,S1035*サマリー!$B$12)</f>
        <v>0</v>
      </c>
      <c r="D1035" s="27">
        <f>T1035+U1035+V1035+W1035+X1035+IF(Y1035="",0,Y1035*サマリー!$B$9)+IF(Z1035="",0,IF(Z1035=200,サマリー!$B$10,IF(Z1035=100,サマリー!$B$11,0)))+IF(AA1035="",0,AA1035*サマリー!$B$12)</f>
        <v>0</v>
      </c>
      <c r="E1035" s="27">
        <f t="shared" si="32"/>
        <v>0</v>
      </c>
      <c r="I1035" s="30"/>
      <c r="J1035" s="30"/>
      <c r="K1035" s="30"/>
      <c r="L1035" s="30"/>
      <c r="M1035" s="30"/>
      <c r="N1035" s="30"/>
      <c r="O1035" s="30"/>
      <c r="P1035" s="30"/>
      <c r="Q1035" s="31"/>
      <c r="R1035" s="31"/>
      <c r="S1035" s="31"/>
      <c r="T1035" s="32"/>
      <c r="U1035" s="32"/>
      <c r="V1035" s="32"/>
      <c r="W1035" s="32"/>
      <c r="X1035" s="32"/>
      <c r="Y1035" s="33"/>
      <c r="Z1035" s="33"/>
      <c r="AA1035" s="33"/>
    </row>
    <row r="1036" spans="1:27">
      <c r="A1036" s="29"/>
      <c r="B1036" s="19">
        <f t="shared" si="33"/>
        <v>46327</v>
      </c>
      <c r="C1036" s="27">
        <f>I1036+J1036+K1036+L1036+M1036+N1036+O1036+P1036+IF(Q1036="",0,Q1036*サマリー!$B$9)+IF(R1036="",0,IF(R1036=200,サマリー!$B$10,IF(R1036=100,サマリー!$B$11,0)))+IF(S1036="",0,S1036*サマリー!$B$12)</f>
        <v>0</v>
      </c>
      <c r="D1036" s="27">
        <f>T1036+U1036+V1036+W1036+X1036+IF(Y1036="",0,Y1036*サマリー!$B$9)+IF(Z1036="",0,IF(Z1036=200,サマリー!$B$10,IF(Z1036=100,サマリー!$B$11,0)))+IF(AA1036="",0,AA1036*サマリー!$B$12)</f>
        <v>0</v>
      </c>
      <c r="E1036" s="27">
        <f t="shared" si="32"/>
        <v>0</v>
      </c>
      <c r="I1036" s="30"/>
      <c r="J1036" s="30"/>
      <c r="K1036" s="30"/>
      <c r="L1036" s="30"/>
      <c r="M1036" s="30"/>
      <c r="N1036" s="30"/>
      <c r="O1036" s="30"/>
      <c r="P1036" s="30"/>
      <c r="Q1036" s="31"/>
      <c r="R1036" s="31"/>
      <c r="S1036" s="31"/>
      <c r="T1036" s="32"/>
      <c r="U1036" s="32"/>
      <c r="V1036" s="32"/>
      <c r="W1036" s="32"/>
      <c r="X1036" s="32"/>
      <c r="Y1036" s="33"/>
      <c r="Z1036" s="33"/>
      <c r="AA1036" s="33"/>
    </row>
    <row r="1037" spans="1:27">
      <c r="A1037" s="29"/>
      <c r="B1037" s="19">
        <f t="shared" si="33"/>
        <v>46327</v>
      </c>
      <c r="C1037" s="27">
        <f>I1037+J1037+K1037+L1037+M1037+N1037+O1037+P1037+IF(Q1037="",0,Q1037*サマリー!$B$9)+IF(R1037="",0,IF(R1037=200,サマリー!$B$10,IF(R1037=100,サマリー!$B$11,0)))+IF(S1037="",0,S1037*サマリー!$B$12)</f>
        <v>0</v>
      </c>
      <c r="D1037" s="27">
        <f>T1037+U1037+V1037+W1037+X1037+IF(Y1037="",0,Y1037*サマリー!$B$9)+IF(Z1037="",0,IF(Z1037=200,サマリー!$B$10,IF(Z1037=100,サマリー!$B$11,0)))+IF(AA1037="",0,AA1037*サマリー!$B$12)</f>
        <v>0</v>
      </c>
      <c r="E1037" s="27">
        <f t="shared" si="32"/>
        <v>0</v>
      </c>
      <c r="I1037" s="30"/>
      <c r="J1037" s="30"/>
      <c r="K1037" s="30"/>
      <c r="L1037" s="30"/>
      <c r="M1037" s="30"/>
      <c r="N1037" s="30"/>
      <c r="O1037" s="30"/>
      <c r="P1037" s="30"/>
      <c r="Q1037" s="31"/>
      <c r="R1037" s="31"/>
      <c r="S1037" s="31"/>
      <c r="T1037" s="32"/>
      <c r="U1037" s="32"/>
      <c r="V1037" s="32"/>
      <c r="W1037" s="32"/>
      <c r="X1037" s="32"/>
      <c r="Y1037" s="33"/>
      <c r="Z1037" s="33"/>
      <c r="AA1037" s="33"/>
    </row>
    <row r="1038" spans="1:27">
      <c r="A1038" s="29"/>
      <c r="B1038" s="19">
        <f t="shared" si="33"/>
        <v>46327</v>
      </c>
      <c r="C1038" s="27">
        <f>I1038+J1038+K1038+L1038+M1038+N1038+O1038+P1038+IF(Q1038="",0,Q1038*サマリー!$B$9)+IF(R1038="",0,IF(R1038=200,サマリー!$B$10,IF(R1038=100,サマリー!$B$11,0)))+IF(S1038="",0,S1038*サマリー!$B$12)</f>
        <v>0</v>
      </c>
      <c r="D1038" s="27">
        <f>T1038+U1038+V1038+W1038+X1038+IF(Y1038="",0,Y1038*サマリー!$B$9)+IF(Z1038="",0,IF(Z1038=200,サマリー!$B$10,IF(Z1038=100,サマリー!$B$11,0)))+IF(AA1038="",0,AA1038*サマリー!$B$12)</f>
        <v>0</v>
      </c>
      <c r="E1038" s="27">
        <f t="shared" si="32"/>
        <v>0</v>
      </c>
      <c r="I1038" s="30"/>
      <c r="J1038" s="30"/>
      <c r="K1038" s="30"/>
      <c r="L1038" s="30"/>
      <c r="M1038" s="30"/>
      <c r="N1038" s="30"/>
      <c r="O1038" s="30"/>
      <c r="P1038" s="30"/>
      <c r="Q1038" s="31"/>
      <c r="R1038" s="31"/>
      <c r="S1038" s="31"/>
      <c r="T1038" s="32"/>
      <c r="U1038" s="32"/>
      <c r="V1038" s="32"/>
      <c r="W1038" s="32"/>
      <c r="X1038" s="32"/>
      <c r="Y1038" s="33"/>
      <c r="Z1038" s="33"/>
      <c r="AA1038" s="33"/>
    </row>
    <row r="1039" spans="1:27">
      <c r="A1039" s="29"/>
      <c r="B1039" s="19">
        <f t="shared" si="33"/>
        <v>46327</v>
      </c>
      <c r="C1039" s="27">
        <f>I1039+J1039+K1039+L1039+M1039+N1039+O1039+P1039+IF(Q1039="",0,Q1039*サマリー!$B$9)+IF(R1039="",0,IF(R1039=200,サマリー!$B$10,IF(R1039=100,サマリー!$B$11,0)))+IF(S1039="",0,S1039*サマリー!$B$12)</f>
        <v>0</v>
      </c>
      <c r="D1039" s="27">
        <f>T1039+U1039+V1039+W1039+X1039+IF(Y1039="",0,Y1039*サマリー!$B$9)+IF(Z1039="",0,IF(Z1039=200,サマリー!$B$10,IF(Z1039=100,サマリー!$B$11,0)))+IF(AA1039="",0,AA1039*サマリー!$B$12)</f>
        <v>0</v>
      </c>
      <c r="E1039" s="27">
        <f t="shared" si="32"/>
        <v>0</v>
      </c>
      <c r="I1039" s="30"/>
      <c r="J1039" s="30"/>
      <c r="K1039" s="30"/>
      <c r="L1039" s="30"/>
      <c r="M1039" s="30"/>
      <c r="N1039" s="30"/>
      <c r="O1039" s="30"/>
      <c r="P1039" s="30"/>
      <c r="Q1039" s="31"/>
      <c r="R1039" s="31"/>
      <c r="S1039" s="31"/>
      <c r="T1039" s="32"/>
      <c r="U1039" s="32"/>
      <c r="V1039" s="32"/>
      <c r="W1039" s="32"/>
      <c r="X1039" s="32"/>
      <c r="Y1039" s="33"/>
      <c r="Z1039" s="33"/>
      <c r="AA1039" s="33"/>
    </row>
    <row r="1040" spans="1:27">
      <c r="A1040" s="29"/>
      <c r="B1040" s="19">
        <f t="shared" si="33"/>
        <v>46327</v>
      </c>
      <c r="C1040" s="27">
        <f>I1040+J1040+K1040+L1040+M1040+N1040+O1040+P1040+IF(Q1040="",0,Q1040*サマリー!$B$9)+IF(R1040="",0,IF(R1040=200,サマリー!$B$10,IF(R1040=100,サマリー!$B$11,0)))+IF(S1040="",0,S1040*サマリー!$B$12)</f>
        <v>0</v>
      </c>
      <c r="D1040" s="27">
        <f>T1040+U1040+V1040+W1040+X1040+IF(Y1040="",0,Y1040*サマリー!$B$9)+IF(Z1040="",0,IF(Z1040=200,サマリー!$B$10,IF(Z1040=100,サマリー!$B$11,0)))+IF(AA1040="",0,AA1040*サマリー!$B$12)</f>
        <v>0</v>
      </c>
      <c r="E1040" s="27">
        <f t="shared" si="32"/>
        <v>0</v>
      </c>
      <c r="I1040" s="30"/>
      <c r="J1040" s="30"/>
      <c r="K1040" s="30"/>
      <c r="L1040" s="30"/>
      <c r="M1040" s="30"/>
      <c r="N1040" s="30"/>
      <c r="O1040" s="30"/>
      <c r="P1040" s="30"/>
      <c r="Q1040" s="31"/>
      <c r="R1040" s="31"/>
      <c r="S1040" s="31"/>
      <c r="T1040" s="32"/>
      <c r="U1040" s="32"/>
      <c r="V1040" s="32"/>
      <c r="W1040" s="32"/>
      <c r="X1040" s="32"/>
      <c r="Y1040" s="33"/>
      <c r="Z1040" s="33"/>
      <c r="AA1040" s="33"/>
    </row>
    <row r="1041" spans="1:27">
      <c r="A1041" s="29"/>
      <c r="B1041" s="19">
        <f t="shared" si="33"/>
        <v>46327</v>
      </c>
      <c r="C1041" s="27">
        <f>I1041+J1041+K1041+L1041+M1041+N1041+O1041+P1041+IF(Q1041="",0,Q1041*サマリー!$B$9)+IF(R1041="",0,IF(R1041=200,サマリー!$B$10,IF(R1041=100,サマリー!$B$11,0)))+IF(S1041="",0,S1041*サマリー!$B$12)</f>
        <v>0</v>
      </c>
      <c r="D1041" s="27">
        <f>T1041+U1041+V1041+W1041+X1041+IF(Y1041="",0,Y1041*サマリー!$B$9)+IF(Z1041="",0,IF(Z1041=200,サマリー!$B$10,IF(Z1041=100,サマリー!$B$11,0)))+IF(AA1041="",0,AA1041*サマリー!$B$12)</f>
        <v>0</v>
      </c>
      <c r="E1041" s="27">
        <f t="shared" si="32"/>
        <v>0</v>
      </c>
      <c r="I1041" s="30"/>
      <c r="J1041" s="30"/>
      <c r="K1041" s="30"/>
      <c r="L1041" s="30"/>
      <c r="M1041" s="30"/>
      <c r="N1041" s="30"/>
      <c r="O1041" s="30"/>
      <c r="P1041" s="30"/>
      <c r="Q1041" s="31"/>
      <c r="R1041" s="31"/>
      <c r="S1041" s="31"/>
      <c r="T1041" s="32"/>
      <c r="U1041" s="32"/>
      <c r="V1041" s="32"/>
      <c r="W1041" s="32"/>
      <c r="X1041" s="32"/>
      <c r="Y1041" s="33"/>
      <c r="Z1041" s="33"/>
      <c r="AA1041" s="33"/>
    </row>
    <row r="1042" spans="1:27">
      <c r="A1042" s="29"/>
      <c r="B1042" s="19">
        <f t="shared" si="33"/>
        <v>46327</v>
      </c>
      <c r="C1042" s="27">
        <f>I1042+J1042+K1042+L1042+M1042+N1042+O1042+P1042+IF(Q1042="",0,Q1042*サマリー!$B$9)+IF(R1042="",0,IF(R1042=200,サマリー!$B$10,IF(R1042=100,サマリー!$B$11,0)))+IF(S1042="",0,S1042*サマリー!$B$12)</f>
        <v>0</v>
      </c>
      <c r="D1042" s="27">
        <f>T1042+U1042+V1042+W1042+X1042+IF(Y1042="",0,Y1042*サマリー!$B$9)+IF(Z1042="",0,IF(Z1042=200,サマリー!$B$10,IF(Z1042=100,サマリー!$B$11,0)))+IF(AA1042="",0,AA1042*サマリー!$B$12)</f>
        <v>0</v>
      </c>
      <c r="E1042" s="27">
        <f t="shared" si="32"/>
        <v>0</v>
      </c>
      <c r="I1042" s="30"/>
      <c r="J1042" s="30"/>
      <c r="K1042" s="30"/>
      <c r="L1042" s="30"/>
      <c r="M1042" s="30"/>
      <c r="N1042" s="30"/>
      <c r="O1042" s="30"/>
      <c r="P1042" s="30"/>
      <c r="Q1042" s="31"/>
      <c r="R1042" s="31"/>
      <c r="S1042" s="31"/>
      <c r="T1042" s="32"/>
      <c r="U1042" s="32"/>
      <c r="V1042" s="32"/>
      <c r="W1042" s="32"/>
      <c r="X1042" s="32"/>
      <c r="Y1042" s="33"/>
      <c r="Z1042" s="33"/>
      <c r="AA1042" s="33"/>
    </row>
    <row r="1043" spans="1:27">
      <c r="A1043" s="29"/>
      <c r="B1043" s="19">
        <f t="shared" si="33"/>
        <v>46327</v>
      </c>
      <c r="C1043" s="27">
        <f>I1043+J1043+K1043+L1043+M1043+N1043+O1043+P1043+IF(Q1043="",0,Q1043*サマリー!$B$9)+IF(R1043="",0,IF(R1043=200,サマリー!$B$10,IF(R1043=100,サマリー!$B$11,0)))+IF(S1043="",0,S1043*サマリー!$B$12)</f>
        <v>0</v>
      </c>
      <c r="D1043" s="27">
        <f>T1043+U1043+V1043+W1043+X1043+IF(Y1043="",0,Y1043*サマリー!$B$9)+IF(Z1043="",0,IF(Z1043=200,サマリー!$B$10,IF(Z1043=100,サマリー!$B$11,0)))+IF(AA1043="",0,AA1043*サマリー!$B$12)</f>
        <v>0</v>
      </c>
      <c r="E1043" s="27">
        <f t="shared" si="32"/>
        <v>0</v>
      </c>
      <c r="I1043" s="30"/>
      <c r="J1043" s="30"/>
      <c r="K1043" s="30"/>
      <c r="L1043" s="30"/>
      <c r="M1043" s="30"/>
      <c r="N1043" s="30"/>
      <c r="O1043" s="30"/>
      <c r="P1043" s="30"/>
      <c r="Q1043" s="31"/>
      <c r="R1043" s="31"/>
      <c r="S1043" s="31"/>
      <c r="T1043" s="32"/>
      <c r="U1043" s="32"/>
      <c r="V1043" s="32"/>
      <c r="W1043" s="32"/>
      <c r="X1043" s="32"/>
      <c r="Y1043" s="33"/>
      <c r="Z1043" s="33"/>
      <c r="AA1043" s="33"/>
    </row>
    <row r="1044" spans="1:27">
      <c r="A1044" s="29"/>
      <c r="B1044" s="19">
        <f t="shared" si="33"/>
        <v>46327</v>
      </c>
      <c r="C1044" s="27">
        <f>I1044+J1044+K1044+L1044+M1044+N1044+O1044+P1044+IF(Q1044="",0,Q1044*サマリー!$B$9)+IF(R1044="",0,IF(R1044=200,サマリー!$B$10,IF(R1044=100,サマリー!$B$11,0)))+IF(S1044="",0,S1044*サマリー!$B$12)</f>
        <v>0</v>
      </c>
      <c r="D1044" s="27">
        <f>T1044+U1044+V1044+W1044+X1044+IF(Y1044="",0,Y1044*サマリー!$B$9)+IF(Z1044="",0,IF(Z1044=200,サマリー!$B$10,IF(Z1044=100,サマリー!$B$11,0)))+IF(AA1044="",0,AA1044*サマリー!$B$12)</f>
        <v>0</v>
      </c>
      <c r="E1044" s="27">
        <f t="shared" si="32"/>
        <v>0</v>
      </c>
      <c r="I1044" s="30"/>
      <c r="J1044" s="30"/>
      <c r="K1044" s="30"/>
      <c r="L1044" s="30"/>
      <c r="M1044" s="30"/>
      <c r="N1044" s="30"/>
      <c r="O1044" s="30"/>
      <c r="P1044" s="30"/>
      <c r="Q1044" s="31"/>
      <c r="R1044" s="31"/>
      <c r="S1044" s="31"/>
      <c r="T1044" s="32"/>
      <c r="U1044" s="32"/>
      <c r="V1044" s="32"/>
      <c r="W1044" s="32"/>
      <c r="X1044" s="32"/>
      <c r="Y1044" s="33"/>
      <c r="Z1044" s="33"/>
      <c r="AA1044" s="33"/>
    </row>
    <row r="1045" spans="1:27">
      <c r="A1045" s="29"/>
      <c r="B1045" s="19">
        <f t="shared" si="33"/>
        <v>46327</v>
      </c>
      <c r="C1045" s="27">
        <f>I1045+J1045+K1045+L1045+M1045+N1045+O1045+P1045+IF(Q1045="",0,Q1045*サマリー!$B$9)+IF(R1045="",0,IF(R1045=200,サマリー!$B$10,IF(R1045=100,サマリー!$B$11,0)))+IF(S1045="",0,S1045*サマリー!$B$12)</f>
        <v>0</v>
      </c>
      <c r="D1045" s="27">
        <f>T1045+U1045+V1045+W1045+X1045+IF(Y1045="",0,Y1045*サマリー!$B$9)+IF(Z1045="",0,IF(Z1045=200,サマリー!$B$10,IF(Z1045=100,サマリー!$B$11,0)))+IF(AA1045="",0,AA1045*サマリー!$B$12)</f>
        <v>0</v>
      </c>
      <c r="E1045" s="27">
        <f t="shared" si="32"/>
        <v>0</v>
      </c>
      <c r="I1045" s="30"/>
      <c r="J1045" s="30"/>
      <c r="K1045" s="30"/>
      <c r="L1045" s="30"/>
      <c r="M1045" s="30"/>
      <c r="N1045" s="30"/>
      <c r="O1045" s="30"/>
      <c r="P1045" s="30"/>
      <c r="Q1045" s="31"/>
      <c r="R1045" s="31"/>
      <c r="S1045" s="31"/>
      <c r="T1045" s="32"/>
      <c r="U1045" s="32"/>
      <c r="V1045" s="32"/>
      <c r="W1045" s="32"/>
      <c r="X1045" s="32"/>
      <c r="Y1045" s="33"/>
      <c r="Z1045" s="33"/>
      <c r="AA1045" s="33"/>
    </row>
    <row r="1046" spans="1:27">
      <c r="A1046" s="29"/>
      <c r="B1046" s="19">
        <f t="shared" si="33"/>
        <v>46327</v>
      </c>
      <c r="C1046" s="27">
        <f>I1046+J1046+K1046+L1046+M1046+N1046+O1046+P1046+IF(Q1046="",0,Q1046*サマリー!$B$9)+IF(R1046="",0,IF(R1046=200,サマリー!$B$10,IF(R1046=100,サマリー!$B$11,0)))+IF(S1046="",0,S1046*サマリー!$B$12)</f>
        <v>0</v>
      </c>
      <c r="D1046" s="27">
        <f>T1046+U1046+V1046+W1046+X1046+IF(Y1046="",0,Y1046*サマリー!$B$9)+IF(Z1046="",0,IF(Z1046=200,サマリー!$B$10,IF(Z1046=100,サマリー!$B$11,0)))+IF(AA1046="",0,AA1046*サマリー!$B$12)</f>
        <v>0</v>
      </c>
      <c r="E1046" s="27">
        <f t="shared" si="32"/>
        <v>0</v>
      </c>
      <c r="I1046" s="30"/>
      <c r="J1046" s="30"/>
      <c r="K1046" s="30"/>
      <c r="L1046" s="30"/>
      <c r="M1046" s="30"/>
      <c r="N1046" s="30"/>
      <c r="O1046" s="30"/>
      <c r="P1046" s="30"/>
      <c r="Q1046" s="31"/>
      <c r="R1046" s="31"/>
      <c r="S1046" s="31"/>
      <c r="T1046" s="32"/>
      <c r="U1046" s="32"/>
      <c r="V1046" s="32"/>
      <c r="W1046" s="32"/>
      <c r="X1046" s="32"/>
      <c r="Y1046" s="33"/>
      <c r="Z1046" s="33"/>
      <c r="AA1046" s="33"/>
    </row>
    <row r="1047" spans="1:27">
      <c r="A1047" s="29"/>
      <c r="B1047" s="19">
        <f t="shared" si="33"/>
        <v>46327</v>
      </c>
      <c r="C1047" s="27">
        <f>I1047+J1047+K1047+L1047+M1047+N1047+O1047+P1047+IF(Q1047="",0,Q1047*サマリー!$B$9)+IF(R1047="",0,IF(R1047=200,サマリー!$B$10,IF(R1047=100,サマリー!$B$11,0)))+IF(S1047="",0,S1047*サマリー!$B$12)</f>
        <v>0</v>
      </c>
      <c r="D1047" s="27">
        <f>T1047+U1047+V1047+W1047+X1047+IF(Y1047="",0,Y1047*サマリー!$B$9)+IF(Z1047="",0,IF(Z1047=200,サマリー!$B$10,IF(Z1047=100,サマリー!$B$11,0)))+IF(AA1047="",0,AA1047*サマリー!$B$12)</f>
        <v>0</v>
      </c>
      <c r="E1047" s="27">
        <f t="shared" si="32"/>
        <v>0</v>
      </c>
      <c r="I1047" s="30"/>
      <c r="J1047" s="30"/>
      <c r="K1047" s="30"/>
      <c r="L1047" s="30"/>
      <c r="M1047" s="30"/>
      <c r="N1047" s="30"/>
      <c r="O1047" s="30"/>
      <c r="P1047" s="30"/>
      <c r="Q1047" s="31"/>
      <c r="R1047" s="31"/>
      <c r="S1047" s="31"/>
      <c r="T1047" s="32"/>
      <c r="U1047" s="32"/>
      <c r="V1047" s="32"/>
      <c r="W1047" s="32"/>
      <c r="X1047" s="32"/>
      <c r="Y1047" s="33"/>
      <c r="Z1047" s="33"/>
      <c r="AA1047" s="33"/>
    </row>
    <row r="1048" spans="1:27">
      <c r="A1048" s="29"/>
      <c r="B1048" s="19">
        <f t="shared" si="33"/>
        <v>46327</v>
      </c>
      <c r="C1048" s="27">
        <f>I1048+J1048+K1048+L1048+M1048+N1048+O1048+P1048+IF(Q1048="",0,Q1048*サマリー!$B$9)+IF(R1048="",0,IF(R1048=200,サマリー!$B$10,IF(R1048=100,サマリー!$B$11,0)))+IF(S1048="",0,S1048*サマリー!$B$12)</f>
        <v>0</v>
      </c>
      <c r="D1048" s="27">
        <f>T1048+U1048+V1048+W1048+X1048+IF(Y1048="",0,Y1048*サマリー!$B$9)+IF(Z1048="",0,IF(Z1048=200,サマリー!$B$10,IF(Z1048=100,サマリー!$B$11,0)))+IF(AA1048="",0,AA1048*サマリー!$B$12)</f>
        <v>0</v>
      </c>
      <c r="E1048" s="27">
        <f t="shared" si="32"/>
        <v>0</v>
      </c>
      <c r="I1048" s="30"/>
      <c r="J1048" s="30"/>
      <c r="K1048" s="30"/>
      <c r="L1048" s="30"/>
      <c r="M1048" s="30"/>
      <c r="N1048" s="30"/>
      <c r="O1048" s="30"/>
      <c r="P1048" s="30"/>
      <c r="Q1048" s="31"/>
      <c r="R1048" s="31"/>
      <c r="S1048" s="31"/>
      <c r="T1048" s="32"/>
      <c r="U1048" s="32"/>
      <c r="V1048" s="32"/>
      <c r="W1048" s="32"/>
      <c r="X1048" s="32"/>
      <c r="Y1048" s="33"/>
      <c r="Z1048" s="33"/>
      <c r="AA1048" s="33"/>
    </row>
    <row r="1049" spans="1:27">
      <c r="A1049" s="29"/>
      <c r="B1049" s="19">
        <f t="shared" si="33"/>
        <v>46327</v>
      </c>
      <c r="C1049" s="27">
        <f>I1049+J1049+K1049+L1049+M1049+N1049+O1049+P1049+IF(Q1049="",0,Q1049*サマリー!$B$9)+IF(R1049="",0,IF(R1049=200,サマリー!$B$10,IF(R1049=100,サマリー!$B$11,0)))+IF(S1049="",0,S1049*サマリー!$B$12)</f>
        <v>0</v>
      </c>
      <c r="D1049" s="27">
        <f>T1049+U1049+V1049+W1049+X1049+IF(Y1049="",0,Y1049*サマリー!$B$9)+IF(Z1049="",0,IF(Z1049=200,サマリー!$B$10,IF(Z1049=100,サマリー!$B$11,0)))+IF(AA1049="",0,AA1049*サマリー!$B$12)</f>
        <v>0</v>
      </c>
      <c r="E1049" s="27">
        <f t="shared" si="32"/>
        <v>0</v>
      </c>
      <c r="I1049" s="30"/>
      <c r="J1049" s="30"/>
      <c r="K1049" s="30"/>
      <c r="L1049" s="30"/>
      <c r="M1049" s="30"/>
      <c r="N1049" s="30"/>
      <c r="O1049" s="30"/>
      <c r="P1049" s="30"/>
      <c r="Q1049" s="31"/>
      <c r="R1049" s="31"/>
      <c r="S1049" s="31"/>
      <c r="T1049" s="32"/>
      <c r="U1049" s="32"/>
      <c r="V1049" s="32"/>
      <c r="W1049" s="32"/>
      <c r="X1049" s="32"/>
      <c r="Y1049" s="33"/>
      <c r="Z1049" s="33"/>
      <c r="AA1049" s="33"/>
    </row>
    <row r="1050" spans="1:27">
      <c r="A1050" s="29"/>
      <c r="B1050" s="19">
        <f t="shared" si="33"/>
        <v>46327</v>
      </c>
      <c r="C1050" s="27">
        <f>I1050+J1050+K1050+L1050+M1050+N1050+O1050+P1050+IF(Q1050="",0,Q1050*サマリー!$B$9)+IF(R1050="",0,IF(R1050=200,サマリー!$B$10,IF(R1050=100,サマリー!$B$11,0)))+IF(S1050="",0,S1050*サマリー!$B$12)</f>
        <v>0</v>
      </c>
      <c r="D1050" s="27">
        <f>T1050+U1050+V1050+W1050+X1050+IF(Y1050="",0,Y1050*サマリー!$B$9)+IF(Z1050="",0,IF(Z1050=200,サマリー!$B$10,IF(Z1050=100,サマリー!$B$11,0)))+IF(AA1050="",0,AA1050*サマリー!$B$12)</f>
        <v>0</v>
      </c>
      <c r="E1050" s="27">
        <f t="shared" si="32"/>
        <v>0</v>
      </c>
      <c r="I1050" s="30"/>
      <c r="J1050" s="30"/>
      <c r="K1050" s="30"/>
      <c r="L1050" s="30"/>
      <c r="M1050" s="30"/>
      <c r="N1050" s="30"/>
      <c r="O1050" s="30"/>
      <c r="P1050" s="30"/>
      <c r="Q1050" s="31"/>
      <c r="R1050" s="31"/>
      <c r="S1050" s="31"/>
      <c r="T1050" s="32"/>
      <c r="U1050" s="32"/>
      <c r="V1050" s="32"/>
      <c r="W1050" s="32"/>
      <c r="X1050" s="32"/>
      <c r="Y1050" s="33"/>
      <c r="Z1050" s="33"/>
      <c r="AA1050" s="33"/>
    </row>
    <row r="1051" spans="1:27">
      <c r="A1051" s="29"/>
      <c r="B1051" s="19">
        <f t="shared" si="33"/>
        <v>46327</v>
      </c>
      <c r="C1051" s="27">
        <f>I1051+J1051+K1051+L1051+M1051+N1051+O1051+P1051+IF(Q1051="",0,Q1051*サマリー!$B$9)+IF(R1051="",0,IF(R1051=200,サマリー!$B$10,IF(R1051=100,サマリー!$B$11,0)))+IF(S1051="",0,S1051*サマリー!$B$12)</f>
        <v>0</v>
      </c>
      <c r="D1051" s="27">
        <f>T1051+U1051+V1051+W1051+X1051+IF(Y1051="",0,Y1051*サマリー!$B$9)+IF(Z1051="",0,IF(Z1051=200,サマリー!$B$10,IF(Z1051=100,サマリー!$B$11,0)))+IF(AA1051="",0,AA1051*サマリー!$B$12)</f>
        <v>0</v>
      </c>
      <c r="E1051" s="27">
        <f t="shared" si="32"/>
        <v>0</v>
      </c>
      <c r="I1051" s="30"/>
      <c r="J1051" s="30"/>
      <c r="K1051" s="30"/>
      <c r="L1051" s="30"/>
      <c r="M1051" s="30"/>
      <c r="N1051" s="30"/>
      <c r="O1051" s="30"/>
      <c r="P1051" s="30"/>
      <c r="Q1051" s="31"/>
      <c r="R1051" s="31"/>
      <c r="S1051" s="31"/>
      <c r="T1051" s="32"/>
      <c r="U1051" s="32"/>
      <c r="V1051" s="32"/>
      <c r="W1051" s="32"/>
      <c r="X1051" s="32"/>
      <c r="Y1051" s="33"/>
      <c r="Z1051" s="33"/>
      <c r="AA1051" s="33"/>
    </row>
    <row r="1052" spans="1:27">
      <c r="A1052" s="29"/>
      <c r="B1052" s="19">
        <f t="shared" si="33"/>
        <v>46327</v>
      </c>
      <c r="C1052" s="27">
        <f>I1052+J1052+K1052+L1052+M1052+N1052+O1052+P1052+IF(Q1052="",0,Q1052*サマリー!$B$9)+IF(R1052="",0,IF(R1052=200,サマリー!$B$10,IF(R1052=100,サマリー!$B$11,0)))+IF(S1052="",0,S1052*サマリー!$B$12)</f>
        <v>0</v>
      </c>
      <c r="D1052" s="27">
        <f>T1052+U1052+V1052+W1052+X1052+IF(Y1052="",0,Y1052*サマリー!$B$9)+IF(Z1052="",0,IF(Z1052=200,サマリー!$B$10,IF(Z1052=100,サマリー!$B$11,0)))+IF(AA1052="",0,AA1052*サマリー!$B$12)</f>
        <v>0</v>
      </c>
      <c r="E1052" s="27">
        <f t="shared" si="32"/>
        <v>0</v>
      </c>
      <c r="I1052" s="30"/>
      <c r="J1052" s="30"/>
      <c r="K1052" s="30"/>
      <c r="L1052" s="30"/>
      <c r="M1052" s="30"/>
      <c r="N1052" s="30"/>
      <c r="O1052" s="30"/>
      <c r="P1052" s="30"/>
      <c r="Q1052" s="31"/>
      <c r="R1052" s="31"/>
      <c r="S1052" s="31"/>
      <c r="T1052" s="32"/>
      <c r="U1052" s="32"/>
      <c r="V1052" s="32"/>
      <c r="W1052" s="32"/>
      <c r="X1052" s="32"/>
      <c r="Y1052" s="33"/>
      <c r="Z1052" s="33"/>
      <c r="AA1052" s="33"/>
    </row>
    <row r="1053" spans="1:27">
      <c r="A1053" s="29"/>
      <c r="B1053" s="19">
        <f t="shared" si="33"/>
        <v>46327</v>
      </c>
      <c r="C1053" s="27">
        <f>I1053+J1053+K1053+L1053+M1053+N1053+O1053+P1053+IF(Q1053="",0,Q1053*サマリー!$B$9)+IF(R1053="",0,IF(R1053=200,サマリー!$B$10,IF(R1053=100,サマリー!$B$11,0)))+IF(S1053="",0,S1053*サマリー!$B$12)</f>
        <v>0</v>
      </c>
      <c r="D1053" s="27">
        <f>T1053+U1053+V1053+W1053+X1053+IF(Y1053="",0,Y1053*サマリー!$B$9)+IF(Z1053="",0,IF(Z1053=200,サマリー!$B$10,IF(Z1053=100,サマリー!$B$11,0)))+IF(AA1053="",0,AA1053*サマリー!$B$12)</f>
        <v>0</v>
      </c>
      <c r="E1053" s="27">
        <f t="shared" si="32"/>
        <v>0</v>
      </c>
      <c r="I1053" s="30"/>
      <c r="J1053" s="30"/>
      <c r="K1053" s="30"/>
      <c r="L1053" s="30"/>
      <c r="M1053" s="30"/>
      <c r="N1053" s="30"/>
      <c r="O1053" s="30"/>
      <c r="P1053" s="30"/>
      <c r="Q1053" s="31"/>
      <c r="R1053" s="31"/>
      <c r="S1053" s="31"/>
      <c r="T1053" s="32"/>
      <c r="U1053" s="32"/>
      <c r="V1053" s="32"/>
      <c r="W1053" s="32"/>
      <c r="X1053" s="32"/>
      <c r="Y1053" s="33"/>
      <c r="Z1053" s="33"/>
      <c r="AA1053" s="33"/>
    </row>
    <row r="1054" spans="1:27">
      <c r="A1054" s="29"/>
      <c r="B1054" s="19">
        <f t="shared" si="33"/>
        <v>46327</v>
      </c>
      <c r="C1054" s="27">
        <f>I1054+J1054+K1054+L1054+M1054+N1054+O1054+P1054+IF(Q1054="",0,Q1054*サマリー!$B$9)+IF(R1054="",0,IF(R1054=200,サマリー!$B$10,IF(R1054=100,サマリー!$B$11,0)))+IF(S1054="",0,S1054*サマリー!$B$12)</f>
        <v>0</v>
      </c>
      <c r="D1054" s="27">
        <f>T1054+U1054+V1054+W1054+X1054+IF(Y1054="",0,Y1054*サマリー!$B$9)+IF(Z1054="",0,IF(Z1054=200,サマリー!$B$10,IF(Z1054=100,サマリー!$B$11,0)))+IF(AA1054="",0,AA1054*サマリー!$B$12)</f>
        <v>0</v>
      </c>
      <c r="E1054" s="27">
        <f t="shared" si="32"/>
        <v>0</v>
      </c>
      <c r="I1054" s="30"/>
      <c r="J1054" s="30"/>
      <c r="K1054" s="30"/>
      <c r="L1054" s="30"/>
      <c r="M1054" s="30"/>
      <c r="N1054" s="30"/>
      <c r="O1054" s="30"/>
      <c r="P1054" s="30"/>
      <c r="Q1054" s="31"/>
      <c r="R1054" s="31"/>
      <c r="S1054" s="31"/>
      <c r="T1054" s="32"/>
      <c r="U1054" s="32"/>
      <c r="V1054" s="32"/>
      <c r="W1054" s="32"/>
      <c r="X1054" s="32"/>
      <c r="Y1054" s="33"/>
      <c r="Z1054" s="33"/>
      <c r="AA1054" s="33"/>
    </row>
    <row r="1055" spans="1:27">
      <c r="A1055" s="29"/>
      <c r="B1055" s="19">
        <f t="shared" si="33"/>
        <v>46327</v>
      </c>
      <c r="C1055" s="27">
        <f>I1055+J1055+K1055+L1055+M1055+N1055+O1055+P1055+IF(Q1055="",0,Q1055*サマリー!$B$9)+IF(R1055="",0,IF(R1055=200,サマリー!$B$10,IF(R1055=100,サマリー!$B$11,0)))+IF(S1055="",0,S1055*サマリー!$B$12)</f>
        <v>0</v>
      </c>
      <c r="D1055" s="27">
        <f>T1055+U1055+V1055+W1055+X1055+IF(Y1055="",0,Y1055*サマリー!$B$9)+IF(Z1055="",0,IF(Z1055=200,サマリー!$B$10,IF(Z1055=100,サマリー!$B$11,0)))+IF(AA1055="",0,AA1055*サマリー!$B$12)</f>
        <v>0</v>
      </c>
      <c r="E1055" s="27">
        <f t="shared" si="32"/>
        <v>0</v>
      </c>
      <c r="I1055" s="30"/>
      <c r="J1055" s="30"/>
      <c r="K1055" s="30"/>
      <c r="L1055" s="30"/>
      <c r="M1055" s="30"/>
      <c r="N1055" s="30"/>
      <c r="O1055" s="30"/>
      <c r="P1055" s="30"/>
      <c r="Q1055" s="31"/>
      <c r="R1055" s="31"/>
      <c r="S1055" s="31"/>
      <c r="T1055" s="32"/>
      <c r="U1055" s="32"/>
      <c r="V1055" s="32"/>
      <c r="W1055" s="32"/>
      <c r="X1055" s="32"/>
      <c r="Y1055" s="33"/>
      <c r="Z1055" s="33"/>
      <c r="AA1055" s="33"/>
    </row>
    <row r="1056" spans="1:27">
      <c r="A1056" s="29"/>
      <c r="B1056" s="19">
        <f t="shared" si="33"/>
        <v>46327</v>
      </c>
      <c r="C1056" s="27">
        <f>I1056+J1056+K1056+L1056+M1056+N1056+O1056+P1056+IF(Q1056="",0,Q1056*サマリー!$B$9)+IF(R1056="",0,IF(R1056=200,サマリー!$B$10,IF(R1056=100,サマリー!$B$11,0)))+IF(S1056="",0,S1056*サマリー!$B$12)</f>
        <v>0</v>
      </c>
      <c r="D1056" s="27">
        <f>T1056+U1056+V1056+W1056+X1056+IF(Y1056="",0,Y1056*サマリー!$B$9)+IF(Z1056="",0,IF(Z1056=200,サマリー!$B$10,IF(Z1056=100,サマリー!$B$11,0)))+IF(AA1056="",0,AA1056*サマリー!$B$12)</f>
        <v>0</v>
      </c>
      <c r="E1056" s="27">
        <f t="shared" si="32"/>
        <v>0</v>
      </c>
      <c r="I1056" s="30"/>
      <c r="J1056" s="30"/>
      <c r="K1056" s="30"/>
      <c r="L1056" s="30"/>
      <c r="M1056" s="30"/>
      <c r="N1056" s="30"/>
      <c r="O1056" s="30"/>
      <c r="P1056" s="30"/>
      <c r="Q1056" s="31"/>
      <c r="R1056" s="31"/>
      <c r="S1056" s="31"/>
      <c r="T1056" s="32"/>
      <c r="U1056" s="32"/>
      <c r="V1056" s="32"/>
      <c r="W1056" s="32"/>
      <c r="X1056" s="32"/>
      <c r="Y1056" s="33"/>
      <c r="Z1056" s="33"/>
      <c r="AA1056" s="33"/>
    </row>
    <row r="1057" spans="1:27">
      <c r="A1057" s="29"/>
      <c r="B1057" s="19">
        <f t="shared" si="33"/>
        <v>46327</v>
      </c>
      <c r="C1057" s="27">
        <f>I1057+J1057+K1057+L1057+M1057+N1057+O1057+P1057+IF(Q1057="",0,Q1057*サマリー!$B$9)+IF(R1057="",0,IF(R1057=200,サマリー!$B$10,IF(R1057=100,サマリー!$B$11,0)))+IF(S1057="",0,S1057*サマリー!$B$12)</f>
        <v>0</v>
      </c>
      <c r="D1057" s="27">
        <f>T1057+U1057+V1057+W1057+X1057+IF(Y1057="",0,Y1057*サマリー!$B$9)+IF(Z1057="",0,IF(Z1057=200,サマリー!$B$10,IF(Z1057=100,サマリー!$B$11,0)))+IF(AA1057="",0,AA1057*サマリー!$B$12)</f>
        <v>0</v>
      </c>
      <c r="E1057" s="27">
        <f t="shared" si="32"/>
        <v>0</v>
      </c>
      <c r="I1057" s="30"/>
      <c r="J1057" s="30"/>
      <c r="K1057" s="30"/>
      <c r="L1057" s="30"/>
      <c r="M1057" s="30"/>
      <c r="N1057" s="30"/>
      <c r="O1057" s="30"/>
      <c r="P1057" s="30"/>
      <c r="Q1057" s="31"/>
      <c r="R1057" s="31"/>
      <c r="S1057" s="31"/>
      <c r="T1057" s="32"/>
      <c r="U1057" s="32"/>
      <c r="V1057" s="32"/>
      <c r="W1057" s="32"/>
      <c r="X1057" s="32"/>
      <c r="Y1057" s="33"/>
      <c r="Z1057" s="33"/>
      <c r="AA1057" s="33"/>
    </row>
    <row r="1058" spans="1:27">
      <c r="A1058" s="29"/>
      <c r="B1058" s="19">
        <f t="shared" si="33"/>
        <v>46327</v>
      </c>
      <c r="C1058" s="27">
        <f>I1058+J1058+K1058+L1058+M1058+N1058+O1058+P1058+IF(Q1058="",0,Q1058*サマリー!$B$9)+IF(R1058="",0,IF(R1058=200,サマリー!$B$10,IF(R1058=100,サマリー!$B$11,0)))+IF(S1058="",0,S1058*サマリー!$B$12)</f>
        <v>0</v>
      </c>
      <c r="D1058" s="27">
        <f>T1058+U1058+V1058+W1058+X1058+IF(Y1058="",0,Y1058*サマリー!$B$9)+IF(Z1058="",0,IF(Z1058=200,サマリー!$B$10,IF(Z1058=100,サマリー!$B$11,0)))+IF(AA1058="",0,AA1058*サマリー!$B$12)</f>
        <v>0</v>
      </c>
      <c r="E1058" s="27">
        <f t="shared" si="32"/>
        <v>0</v>
      </c>
      <c r="I1058" s="30"/>
      <c r="J1058" s="30"/>
      <c r="K1058" s="30"/>
      <c r="L1058" s="30"/>
      <c r="M1058" s="30"/>
      <c r="N1058" s="30"/>
      <c r="O1058" s="30"/>
      <c r="P1058" s="30"/>
      <c r="Q1058" s="31"/>
      <c r="R1058" s="31"/>
      <c r="S1058" s="31"/>
      <c r="T1058" s="32"/>
      <c r="U1058" s="32"/>
      <c r="V1058" s="32"/>
      <c r="W1058" s="32"/>
      <c r="X1058" s="32"/>
      <c r="Y1058" s="33"/>
      <c r="Z1058" s="33"/>
      <c r="AA1058" s="33"/>
    </row>
    <row r="1059" spans="1:27">
      <c r="A1059" s="29"/>
      <c r="B1059" s="19">
        <f t="shared" si="33"/>
        <v>46327</v>
      </c>
      <c r="C1059" s="27">
        <f>I1059+J1059+K1059+L1059+M1059+N1059+O1059+P1059+IF(Q1059="",0,Q1059*サマリー!$B$9)+IF(R1059="",0,IF(R1059=200,サマリー!$B$10,IF(R1059=100,サマリー!$B$11,0)))+IF(S1059="",0,S1059*サマリー!$B$12)</f>
        <v>0</v>
      </c>
      <c r="D1059" s="27">
        <f>T1059+U1059+V1059+W1059+X1059+IF(Y1059="",0,Y1059*サマリー!$B$9)+IF(Z1059="",0,IF(Z1059=200,サマリー!$B$10,IF(Z1059=100,サマリー!$B$11,0)))+IF(AA1059="",0,AA1059*サマリー!$B$12)</f>
        <v>0</v>
      </c>
      <c r="E1059" s="27">
        <f t="shared" si="32"/>
        <v>0</v>
      </c>
      <c r="I1059" s="30"/>
      <c r="J1059" s="30"/>
      <c r="K1059" s="30"/>
      <c r="L1059" s="30"/>
      <c r="M1059" s="30"/>
      <c r="N1059" s="30"/>
      <c r="O1059" s="30"/>
      <c r="P1059" s="30"/>
      <c r="Q1059" s="31"/>
      <c r="R1059" s="31"/>
      <c r="S1059" s="31"/>
      <c r="T1059" s="32"/>
      <c r="U1059" s="32"/>
      <c r="V1059" s="32"/>
      <c r="W1059" s="32"/>
      <c r="X1059" s="32"/>
      <c r="Y1059" s="33"/>
      <c r="Z1059" s="33"/>
      <c r="AA1059" s="33"/>
    </row>
    <row r="1060" spans="1:27">
      <c r="A1060" s="29"/>
      <c r="B1060" s="19">
        <f t="shared" si="33"/>
        <v>46327</v>
      </c>
      <c r="C1060" s="27">
        <f>I1060+J1060+K1060+L1060+M1060+N1060+O1060+P1060+IF(Q1060="",0,Q1060*サマリー!$B$9)+IF(R1060="",0,IF(R1060=200,サマリー!$B$10,IF(R1060=100,サマリー!$B$11,0)))+IF(S1060="",0,S1060*サマリー!$B$12)</f>
        <v>0</v>
      </c>
      <c r="D1060" s="27">
        <f>T1060+U1060+V1060+W1060+X1060+IF(Y1060="",0,Y1060*サマリー!$B$9)+IF(Z1060="",0,IF(Z1060=200,サマリー!$B$10,IF(Z1060=100,サマリー!$B$11,0)))+IF(AA1060="",0,AA1060*サマリー!$B$12)</f>
        <v>0</v>
      </c>
      <c r="E1060" s="27">
        <f t="shared" si="32"/>
        <v>0</v>
      </c>
      <c r="I1060" s="30"/>
      <c r="J1060" s="30"/>
      <c r="K1060" s="30"/>
      <c r="L1060" s="30"/>
      <c r="M1060" s="30"/>
      <c r="N1060" s="30"/>
      <c r="O1060" s="30"/>
      <c r="P1060" s="30"/>
      <c r="Q1060" s="31"/>
      <c r="R1060" s="31"/>
      <c r="S1060" s="31"/>
      <c r="T1060" s="32"/>
      <c r="U1060" s="32"/>
      <c r="V1060" s="32"/>
      <c r="W1060" s="32"/>
      <c r="X1060" s="32"/>
      <c r="Y1060" s="33"/>
      <c r="Z1060" s="33"/>
      <c r="AA1060" s="33"/>
    </row>
    <row r="1061" spans="1:27">
      <c r="A1061" s="29"/>
      <c r="B1061" s="19">
        <f t="shared" si="33"/>
        <v>46327</v>
      </c>
      <c r="C1061" s="27">
        <f>I1061+J1061+K1061+L1061+M1061+N1061+O1061+P1061+IF(Q1061="",0,Q1061*サマリー!$B$9)+IF(R1061="",0,IF(R1061=200,サマリー!$B$10,IF(R1061=100,サマリー!$B$11,0)))+IF(S1061="",0,S1061*サマリー!$B$12)</f>
        <v>0</v>
      </c>
      <c r="D1061" s="27">
        <f>T1061+U1061+V1061+W1061+X1061+IF(Y1061="",0,Y1061*サマリー!$B$9)+IF(Z1061="",0,IF(Z1061=200,サマリー!$B$10,IF(Z1061=100,サマリー!$B$11,0)))+IF(AA1061="",0,AA1061*サマリー!$B$12)</f>
        <v>0</v>
      </c>
      <c r="E1061" s="27">
        <f t="shared" si="32"/>
        <v>0</v>
      </c>
      <c r="I1061" s="30"/>
      <c r="J1061" s="30"/>
      <c r="K1061" s="30"/>
      <c r="L1061" s="30"/>
      <c r="M1061" s="30"/>
      <c r="N1061" s="30"/>
      <c r="O1061" s="30"/>
      <c r="P1061" s="30"/>
      <c r="Q1061" s="31"/>
      <c r="R1061" s="31"/>
      <c r="S1061" s="31"/>
      <c r="T1061" s="32"/>
      <c r="U1061" s="32"/>
      <c r="V1061" s="32"/>
      <c r="W1061" s="32"/>
      <c r="X1061" s="32"/>
      <c r="Y1061" s="33"/>
      <c r="Z1061" s="33"/>
      <c r="AA1061" s="33"/>
    </row>
    <row r="1062" spans="1:27">
      <c r="A1062" s="29"/>
      <c r="B1062" s="19">
        <f t="shared" si="33"/>
        <v>46327</v>
      </c>
      <c r="C1062" s="27">
        <f>I1062+J1062+K1062+L1062+M1062+N1062+O1062+P1062+IF(Q1062="",0,Q1062*サマリー!$B$9)+IF(R1062="",0,IF(R1062=200,サマリー!$B$10,IF(R1062=100,サマリー!$B$11,0)))+IF(S1062="",0,S1062*サマリー!$B$12)</f>
        <v>0</v>
      </c>
      <c r="D1062" s="27">
        <f>T1062+U1062+V1062+W1062+X1062+IF(Y1062="",0,Y1062*サマリー!$B$9)+IF(Z1062="",0,IF(Z1062=200,サマリー!$B$10,IF(Z1062=100,サマリー!$B$11,0)))+IF(AA1062="",0,AA1062*サマリー!$B$12)</f>
        <v>0</v>
      </c>
      <c r="E1062" s="27">
        <f t="shared" si="32"/>
        <v>0</v>
      </c>
      <c r="I1062" s="30"/>
      <c r="J1062" s="30"/>
      <c r="K1062" s="30"/>
      <c r="L1062" s="30"/>
      <c r="M1062" s="30"/>
      <c r="N1062" s="30"/>
      <c r="O1062" s="30"/>
      <c r="P1062" s="30"/>
      <c r="Q1062" s="31"/>
      <c r="R1062" s="31"/>
      <c r="S1062" s="31"/>
      <c r="T1062" s="32"/>
      <c r="U1062" s="32"/>
      <c r="V1062" s="32"/>
      <c r="W1062" s="32"/>
      <c r="X1062" s="32"/>
      <c r="Y1062" s="33"/>
      <c r="Z1062" s="33"/>
      <c r="AA1062" s="33"/>
    </row>
    <row r="1063" spans="1:27">
      <c r="A1063" s="29"/>
      <c r="B1063" s="19">
        <f t="shared" si="33"/>
        <v>46327</v>
      </c>
      <c r="C1063" s="27">
        <f>I1063+J1063+K1063+L1063+M1063+N1063+O1063+P1063+IF(Q1063="",0,Q1063*サマリー!$B$9)+IF(R1063="",0,IF(R1063=200,サマリー!$B$10,IF(R1063=100,サマリー!$B$11,0)))+IF(S1063="",0,S1063*サマリー!$B$12)</f>
        <v>0</v>
      </c>
      <c r="D1063" s="27">
        <f>T1063+U1063+V1063+W1063+X1063+IF(Y1063="",0,Y1063*サマリー!$B$9)+IF(Z1063="",0,IF(Z1063=200,サマリー!$B$10,IF(Z1063=100,サマリー!$B$11,0)))+IF(AA1063="",0,AA1063*サマリー!$B$12)</f>
        <v>0</v>
      </c>
      <c r="E1063" s="27">
        <f t="shared" si="32"/>
        <v>0</v>
      </c>
      <c r="I1063" s="30"/>
      <c r="J1063" s="30"/>
      <c r="K1063" s="30"/>
      <c r="L1063" s="30"/>
      <c r="M1063" s="30"/>
      <c r="N1063" s="30"/>
      <c r="O1063" s="30"/>
      <c r="P1063" s="30"/>
      <c r="Q1063" s="31"/>
      <c r="R1063" s="31"/>
      <c r="S1063" s="31"/>
      <c r="T1063" s="32"/>
      <c r="U1063" s="32"/>
      <c r="V1063" s="32"/>
      <c r="W1063" s="32"/>
      <c r="X1063" s="32"/>
      <c r="Y1063" s="33"/>
      <c r="Z1063" s="33"/>
      <c r="AA1063" s="33"/>
    </row>
    <row r="1064" spans="1:27">
      <c r="A1064" s="29"/>
      <c r="B1064" s="19">
        <f t="shared" si="33"/>
        <v>46327</v>
      </c>
      <c r="C1064" s="27">
        <f>I1064+J1064+K1064+L1064+M1064+N1064+O1064+P1064+IF(Q1064="",0,Q1064*サマリー!$B$9)+IF(R1064="",0,IF(R1064=200,サマリー!$B$10,IF(R1064=100,サマリー!$B$11,0)))+IF(S1064="",0,S1064*サマリー!$B$12)</f>
        <v>0</v>
      </c>
      <c r="D1064" s="27">
        <f>T1064+U1064+V1064+W1064+X1064+IF(Y1064="",0,Y1064*サマリー!$B$9)+IF(Z1064="",0,IF(Z1064=200,サマリー!$B$10,IF(Z1064=100,サマリー!$B$11,0)))+IF(AA1064="",0,AA1064*サマリー!$B$12)</f>
        <v>0</v>
      </c>
      <c r="E1064" s="27">
        <f t="shared" si="32"/>
        <v>0</v>
      </c>
      <c r="I1064" s="30"/>
      <c r="J1064" s="30"/>
      <c r="K1064" s="30"/>
      <c r="L1064" s="30"/>
      <c r="M1064" s="30"/>
      <c r="N1064" s="30"/>
      <c r="O1064" s="30"/>
      <c r="P1064" s="30"/>
      <c r="Q1064" s="31"/>
      <c r="R1064" s="31"/>
      <c r="S1064" s="31"/>
      <c r="T1064" s="32"/>
      <c r="U1064" s="32"/>
      <c r="V1064" s="32"/>
      <c r="W1064" s="32"/>
      <c r="X1064" s="32"/>
      <c r="Y1064" s="33"/>
      <c r="Z1064" s="33"/>
      <c r="AA1064" s="33"/>
    </row>
    <row r="1065" spans="1:27">
      <c r="A1065" s="29"/>
      <c r="B1065" s="19">
        <f t="shared" si="33"/>
        <v>46327</v>
      </c>
      <c r="C1065" s="27">
        <f>I1065+J1065+K1065+L1065+M1065+N1065+O1065+P1065+IF(Q1065="",0,Q1065*サマリー!$B$9)+IF(R1065="",0,IF(R1065=200,サマリー!$B$10,IF(R1065=100,サマリー!$B$11,0)))+IF(S1065="",0,S1065*サマリー!$B$12)</f>
        <v>0</v>
      </c>
      <c r="D1065" s="27">
        <f>T1065+U1065+V1065+W1065+X1065+IF(Y1065="",0,Y1065*サマリー!$B$9)+IF(Z1065="",0,IF(Z1065=200,サマリー!$B$10,IF(Z1065=100,サマリー!$B$11,0)))+IF(AA1065="",0,AA1065*サマリー!$B$12)</f>
        <v>0</v>
      </c>
      <c r="E1065" s="27">
        <f t="shared" si="32"/>
        <v>0</v>
      </c>
      <c r="I1065" s="30"/>
      <c r="J1065" s="30"/>
      <c r="K1065" s="30"/>
      <c r="L1065" s="30"/>
      <c r="M1065" s="30"/>
      <c r="N1065" s="30"/>
      <c r="O1065" s="30"/>
      <c r="P1065" s="30"/>
      <c r="Q1065" s="31"/>
      <c r="R1065" s="31"/>
      <c r="S1065" s="31"/>
      <c r="T1065" s="32"/>
      <c r="U1065" s="32"/>
      <c r="V1065" s="32"/>
      <c r="W1065" s="32"/>
      <c r="X1065" s="32"/>
      <c r="Y1065" s="33"/>
      <c r="Z1065" s="33"/>
      <c r="AA1065" s="33"/>
    </row>
    <row r="1066" spans="1:27">
      <c r="A1066" s="29"/>
      <c r="B1066" s="19">
        <f t="shared" si="33"/>
        <v>46327</v>
      </c>
      <c r="C1066" s="27">
        <f>I1066+J1066+K1066+L1066+M1066+N1066+O1066+P1066+IF(Q1066="",0,Q1066*サマリー!$B$9)+IF(R1066="",0,IF(R1066=200,サマリー!$B$10,IF(R1066=100,サマリー!$B$11,0)))+IF(S1066="",0,S1066*サマリー!$B$12)</f>
        <v>0</v>
      </c>
      <c r="D1066" s="27">
        <f>T1066+U1066+V1066+W1066+X1066+IF(Y1066="",0,Y1066*サマリー!$B$9)+IF(Z1066="",0,IF(Z1066=200,サマリー!$B$10,IF(Z1066=100,サマリー!$B$11,0)))+IF(AA1066="",0,AA1066*サマリー!$B$12)</f>
        <v>0</v>
      </c>
      <c r="E1066" s="27">
        <f t="shared" si="32"/>
        <v>0</v>
      </c>
      <c r="I1066" s="30"/>
      <c r="J1066" s="30"/>
      <c r="K1066" s="30"/>
      <c r="L1066" s="30"/>
      <c r="M1066" s="30"/>
      <c r="N1066" s="30"/>
      <c r="O1066" s="30"/>
      <c r="P1066" s="30"/>
      <c r="Q1066" s="31"/>
      <c r="R1066" s="31"/>
      <c r="S1066" s="31"/>
      <c r="T1066" s="32"/>
      <c r="U1066" s="32"/>
      <c r="V1066" s="32"/>
      <c r="W1066" s="32"/>
      <c r="X1066" s="32"/>
      <c r="Y1066" s="33"/>
      <c r="Z1066" s="33"/>
      <c r="AA1066" s="33"/>
    </row>
    <row r="1067" spans="1:27">
      <c r="A1067" s="29"/>
      <c r="B1067" s="19">
        <f t="shared" si="33"/>
        <v>46327</v>
      </c>
      <c r="C1067" s="27">
        <f>I1067+J1067+K1067+L1067+M1067+N1067+O1067+P1067+IF(Q1067="",0,Q1067*サマリー!$B$9)+IF(R1067="",0,IF(R1067=200,サマリー!$B$10,IF(R1067=100,サマリー!$B$11,0)))+IF(S1067="",0,S1067*サマリー!$B$12)</f>
        <v>0</v>
      </c>
      <c r="D1067" s="27">
        <f>T1067+U1067+V1067+W1067+X1067+IF(Y1067="",0,Y1067*サマリー!$B$9)+IF(Z1067="",0,IF(Z1067=200,サマリー!$B$10,IF(Z1067=100,サマリー!$B$11,0)))+IF(AA1067="",0,AA1067*サマリー!$B$12)</f>
        <v>0</v>
      </c>
      <c r="E1067" s="27">
        <f t="shared" si="32"/>
        <v>0</v>
      </c>
      <c r="I1067" s="30"/>
      <c r="J1067" s="30"/>
      <c r="K1067" s="30"/>
      <c r="L1067" s="30"/>
      <c r="M1067" s="30"/>
      <c r="N1067" s="30"/>
      <c r="O1067" s="30"/>
      <c r="P1067" s="30"/>
      <c r="Q1067" s="31"/>
      <c r="R1067" s="31"/>
      <c r="S1067" s="31"/>
      <c r="T1067" s="32"/>
      <c r="U1067" s="32"/>
      <c r="V1067" s="32"/>
      <c r="W1067" s="32"/>
      <c r="X1067" s="32"/>
      <c r="Y1067" s="33"/>
      <c r="Z1067" s="33"/>
      <c r="AA1067" s="33"/>
    </row>
    <row r="1068" spans="1:27">
      <c r="A1068" s="29"/>
      <c r="B1068" s="19">
        <f t="shared" si="33"/>
        <v>46327</v>
      </c>
      <c r="C1068" s="27">
        <f>I1068+J1068+K1068+L1068+M1068+N1068+O1068+P1068+IF(Q1068="",0,Q1068*サマリー!$B$9)+IF(R1068="",0,IF(R1068=200,サマリー!$B$10,IF(R1068=100,サマリー!$B$11,0)))+IF(S1068="",0,S1068*サマリー!$B$12)</f>
        <v>0</v>
      </c>
      <c r="D1068" s="27">
        <f>T1068+U1068+V1068+W1068+X1068+IF(Y1068="",0,Y1068*サマリー!$B$9)+IF(Z1068="",0,IF(Z1068=200,サマリー!$B$10,IF(Z1068=100,サマリー!$B$11,0)))+IF(AA1068="",0,AA1068*サマリー!$B$12)</f>
        <v>0</v>
      </c>
      <c r="E1068" s="27">
        <f t="shared" si="32"/>
        <v>0</v>
      </c>
      <c r="I1068" s="30"/>
      <c r="J1068" s="30"/>
      <c r="K1068" s="30"/>
      <c r="L1068" s="30"/>
      <c r="M1068" s="30"/>
      <c r="N1068" s="30"/>
      <c r="O1068" s="30"/>
      <c r="P1068" s="30"/>
      <c r="Q1068" s="31"/>
      <c r="R1068" s="31"/>
      <c r="S1068" s="31"/>
      <c r="T1068" s="32"/>
      <c r="U1068" s="32"/>
      <c r="V1068" s="32"/>
      <c r="W1068" s="32"/>
      <c r="X1068" s="32"/>
      <c r="Y1068" s="33"/>
      <c r="Z1068" s="33"/>
      <c r="AA1068" s="33"/>
    </row>
    <row r="1069" spans="1:27">
      <c r="A1069" s="29"/>
      <c r="B1069" s="19">
        <f t="shared" si="33"/>
        <v>46327</v>
      </c>
      <c r="C1069" s="27">
        <f>I1069+J1069+K1069+L1069+M1069+N1069+O1069+P1069+IF(Q1069="",0,Q1069*サマリー!$B$9)+IF(R1069="",0,IF(R1069=200,サマリー!$B$10,IF(R1069=100,サマリー!$B$11,0)))+IF(S1069="",0,S1069*サマリー!$B$12)</f>
        <v>0</v>
      </c>
      <c r="D1069" s="27">
        <f>T1069+U1069+V1069+W1069+X1069+IF(Y1069="",0,Y1069*サマリー!$B$9)+IF(Z1069="",0,IF(Z1069=200,サマリー!$B$10,IF(Z1069=100,サマリー!$B$11,0)))+IF(AA1069="",0,AA1069*サマリー!$B$12)</f>
        <v>0</v>
      </c>
      <c r="E1069" s="27">
        <f t="shared" si="32"/>
        <v>0</v>
      </c>
      <c r="I1069" s="30"/>
      <c r="J1069" s="30"/>
      <c r="K1069" s="30"/>
      <c r="L1069" s="30"/>
      <c r="M1069" s="30"/>
      <c r="N1069" s="30"/>
      <c r="O1069" s="30"/>
      <c r="P1069" s="30"/>
      <c r="Q1069" s="31"/>
      <c r="R1069" s="31"/>
      <c r="S1069" s="31"/>
      <c r="T1069" s="32"/>
      <c r="U1069" s="32"/>
      <c r="V1069" s="32"/>
      <c r="W1069" s="32"/>
      <c r="X1069" s="32"/>
      <c r="Y1069" s="33"/>
      <c r="Z1069" s="33"/>
      <c r="AA1069" s="33"/>
    </row>
    <row r="1070" spans="1:27">
      <c r="A1070" s="29"/>
      <c r="B1070" s="19">
        <f t="shared" si="33"/>
        <v>46327</v>
      </c>
      <c r="C1070" s="27">
        <f>I1070+J1070+K1070+L1070+M1070+N1070+O1070+P1070+IF(Q1070="",0,Q1070*サマリー!$B$9)+IF(R1070="",0,IF(R1070=200,サマリー!$B$10,IF(R1070=100,サマリー!$B$11,0)))+IF(S1070="",0,S1070*サマリー!$B$12)</f>
        <v>0</v>
      </c>
      <c r="D1070" s="27">
        <f>T1070+U1070+V1070+W1070+X1070+IF(Y1070="",0,Y1070*サマリー!$B$9)+IF(Z1070="",0,IF(Z1070=200,サマリー!$B$10,IF(Z1070=100,サマリー!$B$11,0)))+IF(AA1070="",0,AA1070*サマリー!$B$12)</f>
        <v>0</v>
      </c>
      <c r="E1070" s="27">
        <f t="shared" si="32"/>
        <v>0</v>
      </c>
      <c r="I1070" s="30"/>
      <c r="J1070" s="30"/>
      <c r="K1070" s="30"/>
      <c r="L1070" s="30"/>
      <c r="M1070" s="30"/>
      <c r="N1070" s="30"/>
      <c r="O1070" s="30"/>
      <c r="P1070" s="30"/>
      <c r="Q1070" s="31"/>
      <c r="R1070" s="31"/>
      <c r="S1070" s="31"/>
      <c r="T1070" s="32"/>
      <c r="U1070" s="32"/>
      <c r="V1070" s="32"/>
      <c r="W1070" s="32"/>
      <c r="X1070" s="32"/>
      <c r="Y1070" s="33"/>
      <c r="Z1070" s="33"/>
      <c r="AA1070" s="33"/>
    </row>
    <row r="1071" spans="1:27">
      <c r="A1071" s="29"/>
      <c r="B1071" s="19">
        <f t="shared" si="33"/>
        <v>46327</v>
      </c>
      <c r="C1071" s="27">
        <f>I1071+J1071+K1071+L1071+M1071+N1071+O1071+P1071+IF(Q1071="",0,Q1071*サマリー!$B$9)+IF(R1071="",0,IF(R1071=200,サマリー!$B$10,IF(R1071=100,サマリー!$B$11,0)))+IF(S1071="",0,S1071*サマリー!$B$12)</f>
        <v>0</v>
      </c>
      <c r="D1071" s="27">
        <f>T1071+U1071+V1071+W1071+X1071+IF(Y1071="",0,Y1071*サマリー!$B$9)+IF(Z1071="",0,IF(Z1071=200,サマリー!$B$10,IF(Z1071=100,サマリー!$B$11,0)))+IF(AA1071="",0,AA1071*サマリー!$B$12)</f>
        <v>0</v>
      </c>
      <c r="E1071" s="27">
        <f t="shared" si="32"/>
        <v>0</v>
      </c>
      <c r="I1071" s="30"/>
      <c r="J1071" s="30"/>
      <c r="K1071" s="30"/>
      <c r="L1071" s="30"/>
      <c r="M1071" s="30"/>
      <c r="N1071" s="30"/>
      <c r="O1071" s="30"/>
      <c r="P1071" s="30"/>
      <c r="Q1071" s="31"/>
      <c r="R1071" s="31"/>
      <c r="S1071" s="31"/>
      <c r="T1071" s="32"/>
      <c r="U1071" s="32"/>
      <c r="V1071" s="32"/>
      <c r="W1071" s="32"/>
      <c r="X1071" s="32"/>
      <c r="Y1071" s="33"/>
      <c r="Z1071" s="33"/>
      <c r="AA1071" s="33"/>
    </row>
    <row r="1072" spans="1:27">
      <c r="A1072" s="29"/>
      <c r="B1072" s="19">
        <f t="shared" si="33"/>
        <v>46327</v>
      </c>
      <c r="C1072" s="27">
        <f>I1072+J1072+K1072+L1072+M1072+N1072+O1072+P1072+IF(Q1072="",0,Q1072*サマリー!$B$9)+IF(R1072="",0,IF(R1072=200,サマリー!$B$10,IF(R1072=100,サマリー!$B$11,0)))+IF(S1072="",0,S1072*サマリー!$B$12)</f>
        <v>0</v>
      </c>
      <c r="D1072" s="27">
        <f>T1072+U1072+V1072+W1072+X1072+IF(Y1072="",0,Y1072*サマリー!$B$9)+IF(Z1072="",0,IF(Z1072=200,サマリー!$B$10,IF(Z1072=100,サマリー!$B$11,0)))+IF(AA1072="",0,AA1072*サマリー!$B$12)</f>
        <v>0</v>
      </c>
      <c r="E1072" s="27">
        <f t="shared" si="32"/>
        <v>0</v>
      </c>
      <c r="I1072" s="30"/>
      <c r="J1072" s="30"/>
      <c r="K1072" s="30"/>
      <c r="L1072" s="30"/>
      <c r="M1072" s="30"/>
      <c r="N1072" s="30"/>
      <c r="O1072" s="30"/>
      <c r="P1072" s="30"/>
      <c r="Q1072" s="31"/>
      <c r="R1072" s="31"/>
      <c r="S1072" s="31"/>
      <c r="T1072" s="32"/>
      <c r="U1072" s="32"/>
      <c r="V1072" s="32"/>
      <c r="W1072" s="32"/>
      <c r="X1072" s="32"/>
      <c r="Y1072" s="33"/>
      <c r="Z1072" s="33"/>
      <c r="AA1072" s="33"/>
    </row>
    <row r="1073" spans="1:27">
      <c r="A1073" s="29"/>
      <c r="B1073" s="19">
        <f t="shared" si="33"/>
        <v>46327</v>
      </c>
      <c r="C1073" s="27">
        <f>I1073+J1073+K1073+L1073+M1073+N1073+O1073+P1073+IF(Q1073="",0,Q1073*サマリー!$B$9)+IF(R1073="",0,IF(R1073=200,サマリー!$B$10,IF(R1073=100,サマリー!$B$11,0)))+IF(S1073="",0,S1073*サマリー!$B$12)</f>
        <v>0</v>
      </c>
      <c r="D1073" s="27">
        <f>T1073+U1073+V1073+W1073+X1073+IF(Y1073="",0,Y1073*サマリー!$B$9)+IF(Z1073="",0,IF(Z1073=200,サマリー!$B$10,IF(Z1073=100,サマリー!$B$11,0)))+IF(AA1073="",0,AA1073*サマリー!$B$12)</f>
        <v>0</v>
      </c>
      <c r="E1073" s="27">
        <f t="shared" si="32"/>
        <v>0</v>
      </c>
      <c r="I1073" s="30"/>
      <c r="J1073" s="30"/>
      <c r="K1073" s="30"/>
      <c r="L1073" s="30"/>
      <c r="M1073" s="30"/>
      <c r="N1073" s="30"/>
      <c r="O1073" s="30"/>
      <c r="P1073" s="30"/>
      <c r="Q1073" s="31"/>
      <c r="R1073" s="31"/>
      <c r="S1073" s="31"/>
      <c r="T1073" s="32"/>
      <c r="U1073" s="32"/>
      <c r="V1073" s="32"/>
      <c r="W1073" s="32"/>
      <c r="X1073" s="32"/>
      <c r="Y1073" s="33"/>
      <c r="Z1073" s="33"/>
      <c r="AA1073" s="33"/>
    </row>
    <row r="1074" spans="1:27">
      <c r="A1074" s="29"/>
      <c r="B1074" s="19">
        <f t="shared" si="33"/>
        <v>46327</v>
      </c>
      <c r="C1074" s="27">
        <f>I1074+J1074+K1074+L1074+M1074+N1074+O1074+P1074+IF(Q1074="",0,Q1074*サマリー!$B$9)+IF(R1074="",0,IF(R1074=200,サマリー!$B$10,IF(R1074=100,サマリー!$B$11,0)))+IF(S1074="",0,S1074*サマリー!$B$12)</f>
        <v>0</v>
      </c>
      <c r="D1074" s="27">
        <f>T1074+U1074+V1074+W1074+X1074+IF(Y1074="",0,Y1074*サマリー!$B$9)+IF(Z1074="",0,IF(Z1074=200,サマリー!$B$10,IF(Z1074=100,サマリー!$B$11,0)))+IF(AA1074="",0,AA1074*サマリー!$B$12)</f>
        <v>0</v>
      </c>
      <c r="E1074" s="27">
        <f t="shared" si="32"/>
        <v>0</v>
      </c>
      <c r="I1074" s="30"/>
      <c r="J1074" s="30"/>
      <c r="K1074" s="30"/>
      <c r="L1074" s="30"/>
      <c r="M1074" s="30"/>
      <c r="N1074" s="30"/>
      <c r="O1074" s="30"/>
      <c r="P1074" s="30"/>
      <c r="Q1074" s="31"/>
      <c r="R1074" s="31"/>
      <c r="S1074" s="31"/>
      <c r="T1074" s="32"/>
      <c r="U1074" s="32"/>
      <c r="V1074" s="32"/>
      <c r="W1074" s="32"/>
      <c r="X1074" s="32"/>
      <c r="Y1074" s="33"/>
      <c r="Z1074" s="33"/>
      <c r="AA1074" s="33"/>
    </row>
    <row r="1075" spans="1:27">
      <c r="A1075" s="29"/>
      <c r="B1075" s="19">
        <f t="shared" si="33"/>
        <v>46327</v>
      </c>
      <c r="C1075" s="27">
        <f>I1075+J1075+K1075+L1075+M1075+N1075+O1075+P1075+IF(Q1075="",0,Q1075*サマリー!$B$9)+IF(R1075="",0,IF(R1075=200,サマリー!$B$10,IF(R1075=100,サマリー!$B$11,0)))+IF(S1075="",0,S1075*サマリー!$B$12)</f>
        <v>0</v>
      </c>
      <c r="D1075" s="27">
        <f>T1075+U1075+V1075+W1075+X1075+IF(Y1075="",0,Y1075*サマリー!$B$9)+IF(Z1075="",0,IF(Z1075=200,サマリー!$B$10,IF(Z1075=100,サマリー!$B$11,0)))+IF(AA1075="",0,AA1075*サマリー!$B$12)</f>
        <v>0</v>
      </c>
      <c r="E1075" s="27">
        <f t="shared" si="32"/>
        <v>0</v>
      </c>
      <c r="I1075" s="30"/>
      <c r="J1075" s="30"/>
      <c r="K1075" s="30"/>
      <c r="L1075" s="30"/>
      <c r="M1075" s="30"/>
      <c r="N1075" s="30"/>
      <c r="O1075" s="30"/>
      <c r="P1075" s="30"/>
      <c r="Q1075" s="31"/>
      <c r="R1075" s="31"/>
      <c r="S1075" s="31"/>
      <c r="T1075" s="32"/>
      <c r="U1075" s="32"/>
      <c r="V1075" s="32"/>
      <c r="W1075" s="32"/>
      <c r="X1075" s="32"/>
      <c r="Y1075" s="33"/>
      <c r="Z1075" s="33"/>
      <c r="AA1075" s="33"/>
    </row>
    <row r="1076" spans="1:27">
      <c r="A1076" s="29"/>
      <c r="B1076" s="19">
        <f t="shared" si="33"/>
        <v>46327</v>
      </c>
      <c r="C1076" s="27">
        <f>I1076+J1076+K1076+L1076+M1076+N1076+O1076+P1076+IF(Q1076="",0,Q1076*サマリー!$B$9)+IF(R1076="",0,IF(R1076=200,サマリー!$B$10,IF(R1076=100,サマリー!$B$11,0)))+IF(S1076="",0,S1076*サマリー!$B$12)</f>
        <v>0</v>
      </c>
      <c r="D1076" s="27">
        <f>T1076+U1076+V1076+W1076+X1076+IF(Y1076="",0,Y1076*サマリー!$B$9)+IF(Z1076="",0,IF(Z1076=200,サマリー!$B$10,IF(Z1076=100,サマリー!$B$11,0)))+IF(AA1076="",0,AA1076*サマリー!$B$12)</f>
        <v>0</v>
      </c>
      <c r="E1076" s="27">
        <f t="shared" si="32"/>
        <v>0</v>
      </c>
      <c r="I1076" s="30"/>
      <c r="J1076" s="30"/>
      <c r="K1076" s="30"/>
      <c r="L1076" s="30"/>
      <c r="M1076" s="30"/>
      <c r="N1076" s="30"/>
      <c r="O1076" s="30"/>
      <c r="P1076" s="30"/>
      <c r="Q1076" s="31"/>
      <c r="R1076" s="31"/>
      <c r="S1076" s="31"/>
      <c r="T1076" s="32"/>
      <c r="U1076" s="32"/>
      <c r="V1076" s="32"/>
      <c r="W1076" s="32"/>
      <c r="X1076" s="32"/>
      <c r="Y1076" s="33"/>
      <c r="Z1076" s="33"/>
      <c r="AA1076" s="33"/>
    </row>
    <row r="1077" spans="1:27">
      <c r="A1077" s="29"/>
      <c r="B1077" s="19">
        <f t="shared" si="33"/>
        <v>46327</v>
      </c>
      <c r="C1077" s="27">
        <f>I1077+J1077+K1077+L1077+M1077+N1077+O1077+P1077+IF(Q1077="",0,Q1077*サマリー!$B$9)+IF(R1077="",0,IF(R1077=200,サマリー!$B$10,IF(R1077=100,サマリー!$B$11,0)))+IF(S1077="",0,S1077*サマリー!$B$12)</f>
        <v>0</v>
      </c>
      <c r="D1077" s="27">
        <f>T1077+U1077+V1077+W1077+X1077+IF(Y1077="",0,Y1077*サマリー!$B$9)+IF(Z1077="",0,IF(Z1077=200,サマリー!$B$10,IF(Z1077=100,サマリー!$B$11,0)))+IF(AA1077="",0,AA1077*サマリー!$B$12)</f>
        <v>0</v>
      </c>
      <c r="E1077" s="27">
        <f t="shared" si="32"/>
        <v>0</v>
      </c>
      <c r="I1077" s="30"/>
      <c r="J1077" s="30"/>
      <c r="K1077" s="30"/>
      <c r="L1077" s="30"/>
      <c r="M1077" s="30"/>
      <c r="N1077" s="30"/>
      <c r="O1077" s="30"/>
      <c r="P1077" s="30"/>
      <c r="Q1077" s="31"/>
      <c r="R1077" s="31"/>
      <c r="S1077" s="31"/>
      <c r="T1077" s="32"/>
      <c r="U1077" s="32"/>
      <c r="V1077" s="32"/>
      <c r="W1077" s="32"/>
      <c r="X1077" s="32"/>
      <c r="Y1077" s="33"/>
      <c r="Z1077" s="33"/>
      <c r="AA1077" s="33"/>
    </row>
    <row r="1078" spans="1:27">
      <c r="A1078" s="29"/>
      <c r="B1078" s="19">
        <f t="shared" si="33"/>
        <v>46327</v>
      </c>
      <c r="C1078" s="27">
        <f>I1078+J1078+K1078+L1078+M1078+N1078+O1078+P1078+IF(Q1078="",0,Q1078*サマリー!$B$9)+IF(R1078="",0,IF(R1078=200,サマリー!$B$10,IF(R1078=100,サマリー!$B$11,0)))+IF(S1078="",0,S1078*サマリー!$B$12)</f>
        <v>0</v>
      </c>
      <c r="D1078" s="27">
        <f>T1078+U1078+V1078+W1078+X1078+IF(Y1078="",0,Y1078*サマリー!$B$9)+IF(Z1078="",0,IF(Z1078=200,サマリー!$B$10,IF(Z1078=100,サマリー!$B$11,0)))+IF(AA1078="",0,AA1078*サマリー!$B$12)</f>
        <v>0</v>
      </c>
      <c r="E1078" s="27">
        <f t="shared" si="32"/>
        <v>0</v>
      </c>
      <c r="I1078" s="30"/>
      <c r="J1078" s="30"/>
      <c r="K1078" s="30"/>
      <c r="L1078" s="30"/>
      <c r="M1078" s="30"/>
      <c r="N1078" s="30"/>
      <c r="O1078" s="30"/>
      <c r="P1078" s="30"/>
      <c r="Q1078" s="31"/>
      <c r="R1078" s="31"/>
      <c r="S1078" s="31"/>
      <c r="T1078" s="32"/>
      <c r="U1078" s="32"/>
      <c r="V1078" s="32"/>
      <c r="W1078" s="32"/>
      <c r="X1078" s="32"/>
      <c r="Y1078" s="33"/>
      <c r="Z1078" s="33"/>
      <c r="AA1078" s="33"/>
    </row>
    <row r="1079" spans="1:27">
      <c r="A1079" s="29"/>
      <c r="B1079" s="19">
        <f t="shared" si="33"/>
        <v>46327</v>
      </c>
      <c r="C1079" s="27">
        <f>I1079+J1079+K1079+L1079+M1079+N1079+O1079+P1079+IF(Q1079="",0,Q1079*サマリー!$B$9)+IF(R1079="",0,IF(R1079=200,サマリー!$B$10,IF(R1079=100,サマリー!$B$11,0)))+IF(S1079="",0,S1079*サマリー!$B$12)</f>
        <v>0</v>
      </c>
      <c r="D1079" s="27">
        <f>T1079+U1079+V1079+W1079+X1079+IF(Y1079="",0,Y1079*サマリー!$B$9)+IF(Z1079="",0,IF(Z1079=200,サマリー!$B$10,IF(Z1079=100,サマリー!$B$11,0)))+IF(AA1079="",0,AA1079*サマリー!$B$12)</f>
        <v>0</v>
      </c>
      <c r="E1079" s="27">
        <f t="shared" si="32"/>
        <v>0</v>
      </c>
      <c r="I1079" s="30"/>
      <c r="J1079" s="30"/>
      <c r="K1079" s="30"/>
      <c r="L1079" s="30"/>
      <c r="M1079" s="30"/>
      <c r="N1079" s="30"/>
      <c r="O1079" s="30"/>
      <c r="P1079" s="30"/>
      <c r="Q1079" s="31"/>
      <c r="R1079" s="31"/>
      <c r="S1079" s="31"/>
      <c r="T1079" s="32"/>
      <c r="U1079" s="32"/>
      <c r="V1079" s="32"/>
      <c r="W1079" s="32"/>
      <c r="X1079" s="32"/>
      <c r="Y1079" s="33"/>
      <c r="Z1079" s="33"/>
      <c r="AA1079" s="33"/>
    </row>
    <row r="1080" spans="1:27">
      <c r="A1080" s="29"/>
      <c r="B1080" s="19">
        <f t="shared" si="33"/>
        <v>46327</v>
      </c>
      <c r="C1080" s="27">
        <f>I1080+J1080+K1080+L1080+M1080+N1080+O1080+P1080+IF(Q1080="",0,Q1080*サマリー!$B$9)+IF(R1080="",0,IF(R1080=200,サマリー!$B$10,IF(R1080=100,サマリー!$B$11,0)))+IF(S1080="",0,S1080*サマリー!$B$12)</f>
        <v>0</v>
      </c>
      <c r="D1080" s="27">
        <f>T1080+U1080+V1080+W1080+X1080+IF(Y1080="",0,Y1080*サマリー!$B$9)+IF(Z1080="",0,IF(Z1080=200,サマリー!$B$10,IF(Z1080=100,サマリー!$B$11,0)))+IF(AA1080="",0,AA1080*サマリー!$B$12)</f>
        <v>0</v>
      </c>
      <c r="E1080" s="27">
        <f t="shared" si="32"/>
        <v>0</v>
      </c>
      <c r="I1080" s="30"/>
      <c r="J1080" s="30"/>
      <c r="K1080" s="30"/>
      <c r="L1080" s="30"/>
      <c r="M1080" s="30"/>
      <c r="N1080" s="30"/>
      <c r="O1080" s="30"/>
      <c r="P1080" s="30"/>
      <c r="Q1080" s="31"/>
      <c r="R1080" s="31"/>
      <c r="S1080" s="31"/>
      <c r="T1080" s="32"/>
      <c r="U1080" s="32"/>
      <c r="V1080" s="32"/>
      <c r="W1080" s="32"/>
      <c r="X1080" s="32"/>
      <c r="Y1080" s="33"/>
      <c r="Z1080" s="33"/>
      <c r="AA1080" s="33"/>
    </row>
    <row r="1081" spans="1:27">
      <c r="A1081" s="29"/>
      <c r="B1081" s="19">
        <f t="shared" si="33"/>
        <v>46327</v>
      </c>
      <c r="C1081" s="27">
        <f>I1081+J1081+K1081+L1081+M1081+N1081+O1081+P1081+IF(Q1081="",0,Q1081*サマリー!$B$9)+IF(R1081="",0,IF(R1081=200,サマリー!$B$10,IF(R1081=100,サマリー!$B$11,0)))+IF(S1081="",0,S1081*サマリー!$B$12)</f>
        <v>0</v>
      </c>
      <c r="D1081" s="27">
        <f>T1081+U1081+V1081+W1081+X1081+IF(Y1081="",0,Y1081*サマリー!$B$9)+IF(Z1081="",0,IF(Z1081=200,サマリー!$B$10,IF(Z1081=100,サマリー!$B$11,0)))+IF(AA1081="",0,AA1081*サマリー!$B$12)</f>
        <v>0</v>
      </c>
      <c r="E1081" s="27">
        <f t="shared" si="32"/>
        <v>0</v>
      </c>
      <c r="I1081" s="30"/>
      <c r="J1081" s="30"/>
      <c r="K1081" s="30"/>
      <c r="L1081" s="30"/>
      <c r="M1081" s="30"/>
      <c r="N1081" s="30"/>
      <c r="O1081" s="30"/>
      <c r="P1081" s="30"/>
      <c r="Q1081" s="31"/>
      <c r="R1081" s="31"/>
      <c r="S1081" s="31"/>
      <c r="T1081" s="32"/>
      <c r="U1081" s="32"/>
      <c r="V1081" s="32"/>
      <c r="W1081" s="32"/>
      <c r="X1081" s="32"/>
      <c r="Y1081" s="33"/>
      <c r="Z1081" s="33"/>
      <c r="AA1081" s="33"/>
    </row>
    <row r="1082" spans="1:27">
      <c r="A1082" s="29"/>
      <c r="B1082" s="19">
        <f t="shared" si="33"/>
        <v>46327</v>
      </c>
      <c r="C1082" s="27">
        <f>I1082+J1082+K1082+L1082+M1082+N1082+O1082+P1082+IF(Q1082="",0,Q1082*サマリー!$B$9)+IF(R1082="",0,IF(R1082=200,サマリー!$B$10,IF(R1082=100,サマリー!$B$11,0)))+IF(S1082="",0,S1082*サマリー!$B$12)</f>
        <v>0</v>
      </c>
      <c r="D1082" s="27">
        <f>T1082+U1082+V1082+W1082+X1082+IF(Y1082="",0,Y1082*サマリー!$B$9)+IF(Z1082="",0,IF(Z1082=200,サマリー!$B$10,IF(Z1082=100,サマリー!$B$11,0)))+IF(AA1082="",0,AA1082*サマリー!$B$12)</f>
        <v>0</v>
      </c>
      <c r="E1082" s="27">
        <f t="shared" si="32"/>
        <v>0</v>
      </c>
      <c r="I1082" s="30"/>
      <c r="J1082" s="30"/>
      <c r="K1082" s="30"/>
      <c r="L1082" s="30"/>
      <c r="M1082" s="30"/>
      <c r="N1082" s="30"/>
      <c r="O1082" s="30"/>
      <c r="P1082" s="30"/>
      <c r="Q1082" s="31"/>
      <c r="R1082" s="31"/>
      <c r="S1082" s="31"/>
      <c r="T1082" s="32"/>
      <c r="U1082" s="32"/>
      <c r="V1082" s="32"/>
      <c r="W1082" s="32"/>
      <c r="X1082" s="32"/>
      <c r="Y1082" s="33"/>
      <c r="Z1082" s="33"/>
      <c r="AA1082" s="33"/>
    </row>
    <row r="1083" spans="1:27">
      <c r="A1083" s="29"/>
      <c r="B1083" s="19">
        <f t="shared" si="33"/>
        <v>46327</v>
      </c>
      <c r="C1083" s="27">
        <f>I1083+J1083+K1083+L1083+M1083+N1083+O1083+P1083+IF(Q1083="",0,Q1083*サマリー!$B$9)+IF(R1083="",0,IF(R1083=200,サマリー!$B$10,IF(R1083=100,サマリー!$B$11,0)))+IF(S1083="",0,S1083*サマリー!$B$12)</f>
        <v>0</v>
      </c>
      <c r="D1083" s="27">
        <f>T1083+U1083+V1083+W1083+X1083+IF(Y1083="",0,Y1083*サマリー!$B$9)+IF(Z1083="",0,IF(Z1083=200,サマリー!$B$10,IF(Z1083=100,サマリー!$B$11,0)))+IF(AA1083="",0,AA1083*サマリー!$B$12)</f>
        <v>0</v>
      </c>
      <c r="E1083" s="27">
        <f t="shared" si="32"/>
        <v>0</v>
      </c>
      <c r="I1083" s="30"/>
      <c r="J1083" s="30"/>
      <c r="K1083" s="30"/>
      <c r="L1083" s="30"/>
      <c r="M1083" s="30"/>
      <c r="N1083" s="30"/>
      <c r="O1083" s="30"/>
      <c r="P1083" s="30"/>
      <c r="Q1083" s="31"/>
      <c r="R1083" s="31"/>
      <c r="S1083" s="31"/>
      <c r="T1083" s="32"/>
      <c r="U1083" s="32"/>
      <c r="V1083" s="32"/>
      <c r="W1083" s="32"/>
      <c r="X1083" s="32"/>
      <c r="Y1083" s="33"/>
      <c r="Z1083" s="33"/>
      <c r="AA1083" s="33"/>
    </row>
    <row r="1084" spans="1:27">
      <c r="A1084" s="29"/>
      <c r="B1084" s="19">
        <f t="shared" si="33"/>
        <v>46327</v>
      </c>
      <c r="C1084" s="27">
        <f>I1084+J1084+K1084+L1084+M1084+N1084+O1084+P1084+IF(Q1084="",0,Q1084*サマリー!$B$9)+IF(R1084="",0,IF(R1084=200,サマリー!$B$10,IF(R1084=100,サマリー!$B$11,0)))+IF(S1084="",0,S1084*サマリー!$B$12)</f>
        <v>0</v>
      </c>
      <c r="D1084" s="27">
        <f>T1084+U1084+V1084+W1084+X1084+IF(Y1084="",0,Y1084*サマリー!$B$9)+IF(Z1084="",0,IF(Z1084=200,サマリー!$B$10,IF(Z1084=100,サマリー!$B$11,0)))+IF(AA1084="",0,AA1084*サマリー!$B$12)</f>
        <v>0</v>
      </c>
      <c r="E1084" s="27">
        <f t="shared" si="32"/>
        <v>0</v>
      </c>
      <c r="I1084" s="30"/>
      <c r="J1084" s="30"/>
      <c r="K1084" s="30"/>
      <c r="L1084" s="30"/>
      <c r="M1084" s="30"/>
      <c r="N1084" s="30"/>
      <c r="O1084" s="30"/>
      <c r="P1084" s="30"/>
      <c r="Q1084" s="31"/>
      <c r="R1084" s="31"/>
      <c r="S1084" s="31"/>
      <c r="T1084" s="32"/>
      <c r="U1084" s="32"/>
      <c r="V1084" s="32"/>
      <c r="W1084" s="32"/>
      <c r="X1084" s="32"/>
      <c r="Y1084" s="33"/>
      <c r="Z1084" s="33"/>
      <c r="AA1084" s="33"/>
    </row>
    <row r="1085" spans="1:27">
      <c r="A1085" s="29"/>
      <c r="B1085" s="19">
        <f t="shared" si="33"/>
        <v>46327</v>
      </c>
      <c r="C1085" s="27">
        <f>I1085+J1085+K1085+L1085+M1085+N1085+O1085+P1085+IF(Q1085="",0,Q1085*サマリー!$B$9)+IF(R1085="",0,IF(R1085=200,サマリー!$B$10,IF(R1085=100,サマリー!$B$11,0)))+IF(S1085="",0,S1085*サマリー!$B$12)</f>
        <v>0</v>
      </c>
      <c r="D1085" s="27">
        <f>T1085+U1085+V1085+W1085+X1085+IF(Y1085="",0,Y1085*サマリー!$B$9)+IF(Z1085="",0,IF(Z1085=200,サマリー!$B$10,IF(Z1085=100,サマリー!$B$11,0)))+IF(AA1085="",0,AA1085*サマリー!$B$12)</f>
        <v>0</v>
      </c>
      <c r="E1085" s="27">
        <f t="shared" si="32"/>
        <v>0</v>
      </c>
      <c r="I1085" s="30"/>
      <c r="J1085" s="30"/>
      <c r="K1085" s="30"/>
      <c r="L1085" s="30"/>
      <c r="M1085" s="30"/>
      <c r="N1085" s="30"/>
      <c r="O1085" s="30"/>
      <c r="P1085" s="30"/>
      <c r="Q1085" s="31"/>
      <c r="R1085" s="31"/>
      <c r="S1085" s="31"/>
      <c r="T1085" s="32"/>
      <c r="U1085" s="32"/>
      <c r="V1085" s="32"/>
      <c r="W1085" s="32"/>
      <c r="X1085" s="32"/>
      <c r="Y1085" s="33"/>
      <c r="Z1085" s="33"/>
      <c r="AA1085" s="33"/>
    </row>
    <row r="1086" spans="1:27">
      <c r="A1086" s="29"/>
      <c r="B1086" s="19">
        <f t="shared" si="33"/>
        <v>46327</v>
      </c>
      <c r="C1086" s="27">
        <f>I1086+J1086+K1086+L1086+M1086+N1086+O1086+P1086+IF(Q1086="",0,Q1086*サマリー!$B$9)+IF(R1086="",0,IF(R1086=200,サマリー!$B$10,IF(R1086=100,サマリー!$B$11,0)))+IF(S1086="",0,S1086*サマリー!$B$12)</f>
        <v>0</v>
      </c>
      <c r="D1086" s="27">
        <f>T1086+U1086+V1086+W1086+X1086+IF(Y1086="",0,Y1086*サマリー!$B$9)+IF(Z1086="",0,IF(Z1086=200,サマリー!$B$10,IF(Z1086=100,サマリー!$B$11,0)))+IF(AA1086="",0,AA1086*サマリー!$B$12)</f>
        <v>0</v>
      </c>
      <c r="E1086" s="27">
        <f t="shared" si="32"/>
        <v>0</v>
      </c>
      <c r="I1086" s="30"/>
      <c r="J1086" s="30"/>
      <c r="K1086" s="30"/>
      <c r="L1086" s="30"/>
      <c r="M1086" s="30"/>
      <c r="N1086" s="30"/>
      <c r="O1086" s="30"/>
      <c r="P1086" s="30"/>
      <c r="Q1086" s="31"/>
      <c r="R1086" s="31"/>
      <c r="S1086" s="31"/>
      <c r="T1086" s="32"/>
      <c r="U1086" s="32"/>
      <c r="V1086" s="32"/>
      <c r="W1086" s="32"/>
      <c r="X1086" s="32"/>
      <c r="Y1086" s="33"/>
      <c r="Z1086" s="33"/>
      <c r="AA1086" s="33"/>
    </row>
    <row r="1087" spans="1:27">
      <c r="A1087" s="29"/>
      <c r="B1087" s="19">
        <f t="shared" si="33"/>
        <v>46327</v>
      </c>
      <c r="C1087" s="27">
        <f>I1087+J1087+K1087+L1087+M1087+N1087+O1087+P1087+IF(Q1087="",0,Q1087*サマリー!$B$9)+IF(R1087="",0,IF(R1087=200,サマリー!$B$10,IF(R1087=100,サマリー!$B$11,0)))+IF(S1087="",0,S1087*サマリー!$B$12)</f>
        <v>0</v>
      </c>
      <c r="D1087" s="27">
        <f>T1087+U1087+V1087+W1087+X1087+IF(Y1087="",0,Y1087*サマリー!$B$9)+IF(Z1087="",0,IF(Z1087=200,サマリー!$B$10,IF(Z1087=100,サマリー!$B$11,0)))+IF(AA1087="",0,AA1087*サマリー!$B$12)</f>
        <v>0</v>
      </c>
      <c r="E1087" s="27">
        <f t="shared" si="32"/>
        <v>0</v>
      </c>
      <c r="I1087" s="30"/>
      <c r="J1087" s="30"/>
      <c r="K1087" s="30"/>
      <c r="L1087" s="30"/>
      <c r="M1087" s="30"/>
      <c r="N1087" s="30"/>
      <c r="O1087" s="30"/>
      <c r="P1087" s="30"/>
      <c r="Q1087" s="31"/>
      <c r="R1087" s="31"/>
      <c r="S1087" s="31"/>
      <c r="T1087" s="32"/>
      <c r="U1087" s="32"/>
      <c r="V1087" s="32"/>
      <c r="W1087" s="32"/>
      <c r="X1087" s="32"/>
      <c r="Y1087" s="33"/>
      <c r="Z1087" s="33"/>
      <c r="AA1087" s="33"/>
    </row>
    <row r="1088" spans="1:27">
      <c r="A1088" s="29"/>
      <c r="B1088" s="19">
        <f t="shared" si="33"/>
        <v>46327</v>
      </c>
      <c r="C1088" s="27">
        <f>I1088+J1088+K1088+L1088+M1088+N1088+O1088+P1088+IF(Q1088="",0,Q1088*サマリー!$B$9)+IF(R1088="",0,IF(R1088=200,サマリー!$B$10,IF(R1088=100,サマリー!$B$11,0)))+IF(S1088="",0,S1088*サマリー!$B$12)</f>
        <v>0</v>
      </c>
      <c r="D1088" s="27">
        <f>T1088+U1088+V1088+W1088+X1088+IF(Y1088="",0,Y1088*サマリー!$B$9)+IF(Z1088="",0,IF(Z1088=200,サマリー!$B$10,IF(Z1088=100,サマリー!$B$11,0)))+IF(AA1088="",0,AA1088*サマリー!$B$12)</f>
        <v>0</v>
      </c>
      <c r="E1088" s="27">
        <f t="shared" si="32"/>
        <v>0</v>
      </c>
      <c r="I1088" s="30"/>
      <c r="J1088" s="30"/>
      <c r="K1088" s="30"/>
      <c r="L1088" s="30"/>
      <c r="M1088" s="30"/>
      <c r="N1088" s="30"/>
      <c r="O1088" s="30"/>
      <c r="P1088" s="30"/>
      <c r="Q1088" s="31"/>
      <c r="R1088" s="31"/>
      <c r="S1088" s="31"/>
      <c r="T1088" s="32"/>
      <c r="U1088" s="32"/>
      <c r="V1088" s="32"/>
      <c r="W1088" s="32"/>
      <c r="X1088" s="32"/>
      <c r="Y1088" s="33"/>
      <c r="Z1088" s="33"/>
      <c r="AA1088" s="33"/>
    </row>
    <row r="1089" spans="1:27">
      <c r="A1089" s="29"/>
      <c r="B1089" s="19">
        <f t="shared" si="33"/>
        <v>46327</v>
      </c>
      <c r="C1089" s="27">
        <f>I1089+J1089+K1089+L1089+M1089+N1089+O1089+P1089+IF(Q1089="",0,Q1089*サマリー!$B$9)+IF(R1089="",0,IF(R1089=200,サマリー!$B$10,IF(R1089=100,サマリー!$B$11,0)))+IF(S1089="",0,S1089*サマリー!$B$12)</f>
        <v>0</v>
      </c>
      <c r="D1089" s="27">
        <f>T1089+U1089+V1089+W1089+X1089+IF(Y1089="",0,Y1089*サマリー!$B$9)+IF(Z1089="",0,IF(Z1089=200,サマリー!$B$10,IF(Z1089=100,サマリー!$B$11,0)))+IF(AA1089="",0,AA1089*サマリー!$B$12)</f>
        <v>0</v>
      </c>
      <c r="E1089" s="27">
        <f t="shared" si="32"/>
        <v>0</v>
      </c>
      <c r="I1089" s="30"/>
      <c r="J1089" s="30"/>
      <c r="K1089" s="30"/>
      <c r="L1089" s="30"/>
      <c r="M1089" s="30"/>
      <c r="N1089" s="30"/>
      <c r="O1089" s="30"/>
      <c r="P1089" s="30"/>
      <c r="Q1089" s="31"/>
      <c r="R1089" s="31"/>
      <c r="S1089" s="31"/>
      <c r="T1089" s="32"/>
      <c r="U1089" s="32"/>
      <c r="V1089" s="32"/>
      <c r="W1089" s="32"/>
      <c r="X1089" s="32"/>
      <c r="Y1089" s="33"/>
      <c r="Z1089" s="33"/>
      <c r="AA1089" s="33"/>
    </row>
    <row r="1090" spans="1:27">
      <c r="A1090" s="29"/>
      <c r="B1090" s="19">
        <f t="shared" si="33"/>
        <v>46327</v>
      </c>
      <c r="C1090" s="27">
        <f>I1090+J1090+K1090+L1090+M1090+N1090+O1090+P1090+IF(Q1090="",0,Q1090*サマリー!$B$9)+IF(R1090="",0,IF(R1090=200,サマリー!$B$10,IF(R1090=100,サマリー!$B$11,0)))+IF(S1090="",0,S1090*サマリー!$B$12)</f>
        <v>0</v>
      </c>
      <c r="D1090" s="27">
        <f>T1090+U1090+V1090+W1090+X1090+IF(Y1090="",0,Y1090*サマリー!$B$9)+IF(Z1090="",0,IF(Z1090=200,サマリー!$B$10,IF(Z1090=100,サマリー!$B$11,0)))+IF(AA1090="",0,AA1090*サマリー!$B$12)</f>
        <v>0</v>
      </c>
      <c r="E1090" s="27">
        <f t="shared" si="32"/>
        <v>0</v>
      </c>
      <c r="I1090" s="30"/>
      <c r="J1090" s="30"/>
      <c r="K1090" s="30"/>
      <c r="L1090" s="30"/>
      <c r="M1090" s="30"/>
      <c r="N1090" s="30"/>
      <c r="O1090" s="30"/>
      <c r="P1090" s="30"/>
      <c r="Q1090" s="31"/>
      <c r="R1090" s="31"/>
      <c r="S1090" s="31"/>
      <c r="T1090" s="32"/>
      <c r="U1090" s="32"/>
      <c r="V1090" s="32"/>
      <c r="W1090" s="32"/>
      <c r="X1090" s="32"/>
      <c r="Y1090" s="33"/>
      <c r="Z1090" s="33"/>
      <c r="AA1090" s="33"/>
    </row>
    <row r="1091" spans="1:27">
      <c r="A1091" s="29"/>
      <c r="B1091" s="19">
        <f t="shared" si="33"/>
        <v>46327</v>
      </c>
      <c r="C1091" s="27">
        <f>I1091+J1091+K1091+L1091+M1091+N1091+O1091+P1091+IF(Q1091="",0,Q1091*サマリー!$B$9)+IF(R1091="",0,IF(R1091=200,サマリー!$B$10,IF(R1091=100,サマリー!$B$11,0)))+IF(S1091="",0,S1091*サマリー!$B$12)</f>
        <v>0</v>
      </c>
      <c r="D1091" s="27">
        <f>T1091+U1091+V1091+W1091+X1091+IF(Y1091="",0,Y1091*サマリー!$B$9)+IF(Z1091="",0,IF(Z1091=200,サマリー!$B$10,IF(Z1091=100,サマリー!$B$11,0)))+IF(AA1091="",0,AA1091*サマリー!$B$12)</f>
        <v>0</v>
      </c>
      <c r="E1091" s="27">
        <f t="shared" si="32"/>
        <v>0</v>
      </c>
      <c r="I1091" s="30"/>
      <c r="J1091" s="30"/>
      <c r="K1091" s="30"/>
      <c r="L1091" s="30"/>
      <c r="M1091" s="30"/>
      <c r="N1091" s="30"/>
      <c r="O1091" s="30"/>
      <c r="P1091" s="30"/>
      <c r="Q1091" s="31"/>
      <c r="R1091" s="31"/>
      <c r="S1091" s="31"/>
      <c r="T1091" s="32"/>
      <c r="U1091" s="32"/>
      <c r="V1091" s="32"/>
      <c r="W1091" s="32"/>
      <c r="X1091" s="32"/>
      <c r="Y1091" s="33"/>
      <c r="Z1091" s="33"/>
      <c r="AA1091" s="33"/>
    </row>
    <row r="1092" spans="1:27">
      <c r="A1092" s="29"/>
      <c r="B1092" s="19">
        <f t="shared" si="33"/>
        <v>46327</v>
      </c>
      <c r="C1092" s="27">
        <f>I1092+J1092+K1092+L1092+M1092+N1092+O1092+P1092+IF(Q1092="",0,Q1092*サマリー!$B$9)+IF(R1092="",0,IF(R1092=200,サマリー!$B$10,IF(R1092=100,サマリー!$B$11,0)))+IF(S1092="",0,S1092*サマリー!$B$12)</f>
        <v>0</v>
      </c>
      <c r="D1092" s="27">
        <f>T1092+U1092+V1092+W1092+X1092+IF(Y1092="",0,Y1092*サマリー!$B$9)+IF(Z1092="",0,IF(Z1092=200,サマリー!$B$10,IF(Z1092=100,サマリー!$B$11,0)))+IF(AA1092="",0,AA1092*サマリー!$B$12)</f>
        <v>0</v>
      </c>
      <c r="E1092" s="27">
        <f t="shared" si="32"/>
        <v>0</v>
      </c>
      <c r="I1092" s="30"/>
      <c r="J1092" s="30"/>
      <c r="K1092" s="30"/>
      <c r="L1092" s="30"/>
      <c r="M1092" s="30"/>
      <c r="N1092" s="30"/>
      <c r="O1092" s="30"/>
      <c r="P1092" s="30"/>
      <c r="Q1092" s="31"/>
      <c r="R1092" s="31"/>
      <c r="S1092" s="31"/>
      <c r="T1092" s="32"/>
      <c r="U1092" s="32"/>
      <c r="V1092" s="32"/>
      <c r="W1092" s="32"/>
      <c r="X1092" s="32"/>
      <c r="Y1092" s="33"/>
      <c r="Z1092" s="33"/>
      <c r="AA1092" s="33"/>
    </row>
    <row r="1093" spans="1:27">
      <c r="A1093" s="29"/>
      <c r="B1093" s="19">
        <f t="shared" si="33"/>
        <v>46327</v>
      </c>
      <c r="C1093" s="27">
        <f>I1093+J1093+K1093+L1093+M1093+N1093+O1093+P1093+IF(Q1093="",0,Q1093*サマリー!$B$9)+IF(R1093="",0,IF(R1093=200,サマリー!$B$10,IF(R1093=100,サマリー!$B$11,0)))+IF(S1093="",0,S1093*サマリー!$B$12)</f>
        <v>0</v>
      </c>
      <c r="D1093" s="27">
        <f>T1093+U1093+V1093+W1093+X1093+IF(Y1093="",0,Y1093*サマリー!$B$9)+IF(Z1093="",0,IF(Z1093=200,サマリー!$B$10,IF(Z1093=100,サマリー!$B$11,0)))+IF(AA1093="",0,AA1093*サマリー!$B$12)</f>
        <v>0</v>
      </c>
      <c r="E1093" s="27">
        <f t="shared" si="32"/>
        <v>0</v>
      </c>
      <c r="I1093" s="30"/>
      <c r="J1093" s="30"/>
      <c r="K1093" s="30"/>
      <c r="L1093" s="30"/>
      <c r="M1093" s="30"/>
      <c r="N1093" s="30"/>
      <c r="O1093" s="30"/>
      <c r="P1093" s="30"/>
      <c r="Q1093" s="31"/>
      <c r="R1093" s="31"/>
      <c r="S1093" s="31"/>
      <c r="T1093" s="32"/>
      <c r="U1093" s="32"/>
      <c r="V1093" s="32"/>
      <c r="W1093" s="32"/>
      <c r="X1093" s="32"/>
      <c r="Y1093" s="33"/>
      <c r="Z1093" s="33"/>
      <c r="AA1093" s="33"/>
    </row>
    <row r="1094" spans="1:27">
      <c r="A1094" s="29"/>
      <c r="B1094" s="19">
        <f t="shared" si="33"/>
        <v>46327</v>
      </c>
      <c r="C1094" s="27">
        <f>I1094+J1094+K1094+L1094+M1094+N1094+O1094+P1094+IF(Q1094="",0,Q1094*サマリー!$B$9)+IF(R1094="",0,IF(R1094=200,サマリー!$B$10,IF(R1094=100,サマリー!$B$11,0)))+IF(S1094="",0,S1094*サマリー!$B$12)</f>
        <v>0</v>
      </c>
      <c r="D1094" s="27">
        <f>T1094+U1094+V1094+W1094+X1094+IF(Y1094="",0,Y1094*サマリー!$B$9)+IF(Z1094="",0,IF(Z1094=200,サマリー!$B$10,IF(Z1094=100,サマリー!$B$11,0)))+IF(AA1094="",0,AA1094*サマリー!$B$12)</f>
        <v>0</v>
      </c>
      <c r="E1094" s="27">
        <f t="shared" ref="E1094:E1157" si="34">C1094+D1094</f>
        <v>0</v>
      </c>
      <c r="I1094" s="30"/>
      <c r="J1094" s="30"/>
      <c r="K1094" s="30"/>
      <c r="L1094" s="30"/>
      <c r="M1094" s="30"/>
      <c r="N1094" s="30"/>
      <c r="O1094" s="30"/>
      <c r="P1094" s="30"/>
      <c r="Q1094" s="31"/>
      <c r="R1094" s="31"/>
      <c r="S1094" s="31"/>
      <c r="T1094" s="32"/>
      <c r="U1094" s="32"/>
      <c r="V1094" s="32"/>
      <c r="W1094" s="32"/>
      <c r="X1094" s="32"/>
      <c r="Y1094" s="33"/>
      <c r="Z1094" s="33"/>
      <c r="AA1094" s="33"/>
    </row>
    <row r="1095" spans="1:27">
      <c r="A1095" s="29"/>
      <c r="B1095" s="19">
        <f t="shared" ref="B1095:B1158" si="35">IF(A1095="",B1094,IF(A1095&lt;DAY(B1094),DATE(YEAR(B1094),MONTH(B1094)+1,A1095),DATE(YEAR(B1094),MONTH(B1094),A1095)))</f>
        <v>46327</v>
      </c>
      <c r="C1095" s="27">
        <f>I1095+J1095+K1095+L1095+M1095+N1095+O1095+P1095+IF(Q1095="",0,Q1095*サマリー!$B$9)+IF(R1095="",0,IF(R1095=200,サマリー!$B$10,IF(R1095=100,サマリー!$B$11,0)))+IF(S1095="",0,S1095*サマリー!$B$12)</f>
        <v>0</v>
      </c>
      <c r="D1095" s="27">
        <f>T1095+U1095+V1095+W1095+X1095+IF(Y1095="",0,Y1095*サマリー!$B$9)+IF(Z1095="",0,IF(Z1095=200,サマリー!$B$10,IF(Z1095=100,サマリー!$B$11,0)))+IF(AA1095="",0,AA1095*サマリー!$B$12)</f>
        <v>0</v>
      </c>
      <c r="E1095" s="27">
        <f t="shared" si="34"/>
        <v>0</v>
      </c>
      <c r="I1095" s="30"/>
      <c r="J1095" s="30"/>
      <c r="K1095" s="30"/>
      <c r="L1095" s="30"/>
      <c r="M1095" s="30"/>
      <c r="N1095" s="30"/>
      <c r="O1095" s="30"/>
      <c r="P1095" s="30"/>
      <c r="Q1095" s="31"/>
      <c r="R1095" s="31"/>
      <c r="S1095" s="31"/>
      <c r="T1095" s="32"/>
      <c r="U1095" s="32"/>
      <c r="V1095" s="32"/>
      <c r="W1095" s="32"/>
      <c r="X1095" s="32"/>
      <c r="Y1095" s="33"/>
      <c r="Z1095" s="33"/>
      <c r="AA1095" s="33"/>
    </row>
    <row r="1096" spans="1:27">
      <c r="A1096" s="29"/>
      <c r="B1096" s="19">
        <f t="shared" si="35"/>
        <v>46327</v>
      </c>
      <c r="C1096" s="27">
        <f>I1096+J1096+K1096+L1096+M1096+N1096+O1096+P1096+IF(Q1096="",0,Q1096*サマリー!$B$9)+IF(R1096="",0,IF(R1096=200,サマリー!$B$10,IF(R1096=100,サマリー!$B$11,0)))+IF(S1096="",0,S1096*サマリー!$B$12)</f>
        <v>0</v>
      </c>
      <c r="D1096" s="27">
        <f>T1096+U1096+V1096+W1096+X1096+IF(Y1096="",0,Y1096*サマリー!$B$9)+IF(Z1096="",0,IF(Z1096=200,サマリー!$B$10,IF(Z1096=100,サマリー!$B$11,0)))+IF(AA1096="",0,AA1096*サマリー!$B$12)</f>
        <v>0</v>
      </c>
      <c r="E1096" s="27">
        <f t="shared" si="34"/>
        <v>0</v>
      </c>
      <c r="I1096" s="30"/>
      <c r="J1096" s="30"/>
      <c r="K1096" s="30"/>
      <c r="L1096" s="30"/>
      <c r="M1096" s="30"/>
      <c r="N1096" s="30"/>
      <c r="O1096" s="30"/>
      <c r="P1096" s="30"/>
      <c r="Q1096" s="31"/>
      <c r="R1096" s="31"/>
      <c r="S1096" s="31"/>
      <c r="T1096" s="32"/>
      <c r="U1096" s="32"/>
      <c r="V1096" s="32"/>
      <c r="W1096" s="32"/>
      <c r="X1096" s="32"/>
      <c r="Y1096" s="33"/>
      <c r="Z1096" s="33"/>
      <c r="AA1096" s="33"/>
    </row>
    <row r="1097" spans="1:27">
      <c r="A1097" s="29"/>
      <c r="B1097" s="19">
        <f t="shared" si="35"/>
        <v>46327</v>
      </c>
      <c r="C1097" s="27">
        <f>I1097+J1097+K1097+L1097+M1097+N1097+O1097+P1097+IF(Q1097="",0,Q1097*サマリー!$B$9)+IF(R1097="",0,IF(R1097=200,サマリー!$B$10,IF(R1097=100,サマリー!$B$11,0)))+IF(S1097="",0,S1097*サマリー!$B$12)</f>
        <v>0</v>
      </c>
      <c r="D1097" s="27">
        <f>T1097+U1097+V1097+W1097+X1097+IF(Y1097="",0,Y1097*サマリー!$B$9)+IF(Z1097="",0,IF(Z1097=200,サマリー!$B$10,IF(Z1097=100,サマリー!$B$11,0)))+IF(AA1097="",0,AA1097*サマリー!$B$12)</f>
        <v>0</v>
      </c>
      <c r="E1097" s="27">
        <f t="shared" si="34"/>
        <v>0</v>
      </c>
      <c r="I1097" s="30"/>
      <c r="J1097" s="30"/>
      <c r="K1097" s="30"/>
      <c r="L1097" s="30"/>
      <c r="M1097" s="30"/>
      <c r="N1097" s="30"/>
      <c r="O1097" s="30"/>
      <c r="P1097" s="30"/>
      <c r="Q1097" s="31"/>
      <c r="R1097" s="31"/>
      <c r="S1097" s="31"/>
      <c r="T1097" s="32"/>
      <c r="U1097" s="32"/>
      <c r="V1097" s="32"/>
      <c r="W1097" s="32"/>
      <c r="X1097" s="32"/>
      <c r="Y1097" s="33"/>
      <c r="Z1097" s="33"/>
      <c r="AA1097" s="33"/>
    </row>
    <row r="1098" spans="1:27">
      <c r="A1098" s="29"/>
      <c r="B1098" s="19">
        <f t="shared" si="35"/>
        <v>46327</v>
      </c>
      <c r="C1098" s="27">
        <f>I1098+J1098+K1098+L1098+M1098+N1098+O1098+P1098+IF(Q1098="",0,Q1098*サマリー!$B$9)+IF(R1098="",0,IF(R1098=200,サマリー!$B$10,IF(R1098=100,サマリー!$B$11,0)))+IF(S1098="",0,S1098*サマリー!$B$12)</f>
        <v>0</v>
      </c>
      <c r="D1098" s="27">
        <f>T1098+U1098+V1098+W1098+X1098+IF(Y1098="",0,Y1098*サマリー!$B$9)+IF(Z1098="",0,IF(Z1098=200,サマリー!$B$10,IF(Z1098=100,サマリー!$B$11,0)))+IF(AA1098="",0,AA1098*サマリー!$B$12)</f>
        <v>0</v>
      </c>
      <c r="E1098" s="27">
        <f t="shared" si="34"/>
        <v>0</v>
      </c>
      <c r="I1098" s="30"/>
      <c r="J1098" s="30"/>
      <c r="K1098" s="30"/>
      <c r="L1098" s="30"/>
      <c r="M1098" s="30"/>
      <c r="N1098" s="30"/>
      <c r="O1098" s="30"/>
      <c r="P1098" s="30"/>
      <c r="Q1098" s="31"/>
      <c r="R1098" s="31"/>
      <c r="S1098" s="31"/>
      <c r="T1098" s="32"/>
      <c r="U1098" s="32"/>
      <c r="V1098" s="32"/>
      <c r="W1098" s="32"/>
      <c r="X1098" s="32"/>
      <c r="Y1098" s="33"/>
      <c r="Z1098" s="33"/>
      <c r="AA1098" s="33"/>
    </row>
    <row r="1099" spans="1:27">
      <c r="A1099" s="29"/>
      <c r="B1099" s="19">
        <f t="shared" si="35"/>
        <v>46327</v>
      </c>
      <c r="C1099" s="27">
        <f>I1099+J1099+K1099+L1099+M1099+N1099+O1099+P1099+IF(Q1099="",0,Q1099*サマリー!$B$9)+IF(R1099="",0,IF(R1099=200,サマリー!$B$10,IF(R1099=100,サマリー!$B$11,0)))+IF(S1099="",0,S1099*サマリー!$B$12)</f>
        <v>0</v>
      </c>
      <c r="D1099" s="27">
        <f>T1099+U1099+V1099+W1099+X1099+IF(Y1099="",0,Y1099*サマリー!$B$9)+IF(Z1099="",0,IF(Z1099=200,サマリー!$B$10,IF(Z1099=100,サマリー!$B$11,0)))+IF(AA1099="",0,AA1099*サマリー!$B$12)</f>
        <v>0</v>
      </c>
      <c r="E1099" s="27">
        <f t="shared" si="34"/>
        <v>0</v>
      </c>
      <c r="I1099" s="30"/>
      <c r="J1099" s="30"/>
      <c r="K1099" s="30"/>
      <c r="L1099" s="30"/>
      <c r="M1099" s="30"/>
      <c r="N1099" s="30"/>
      <c r="O1099" s="30"/>
      <c r="P1099" s="30"/>
      <c r="Q1099" s="31"/>
      <c r="R1099" s="31"/>
      <c r="S1099" s="31"/>
      <c r="T1099" s="32"/>
      <c r="U1099" s="32"/>
      <c r="V1099" s="32"/>
      <c r="W1099" s="32"/>
      <c r="X1099" s="32"/>
      <c r="Y1099" s="33"/>
      <c r="Z1099" s="33"/>
      <c r="AA1099" s="33"/>
    </row>
    <row r="1100" spans="1:27">
      <c r="A1100" s="29"/>
      <c r="B1100" s="19">
        <f t="shared" si="35"/>
        <v>46327</v>
      </c>
      <c r="C1100" s="27">
        <f>I1100+J1100+K1100+L1100+M1100+N1100+O1100+P1100+IF(Q1100="",0,Q1100*サマリー!$B$9)+IF(R1100="",0,IF(R1100=200,サマリー!$B$10,IF(R1100=100,サマリー!$B$11,0)))+IF(S1100="",0,S1100*サマリー!$B$12)</f>
        <v>0</v>
      </c>
      <c r="D1100" s="27">
        <f>T1100+U1100+V1100+W1100+X1100+IF(Y1100="",0,Y1100*サマリー!$B$9)+IF(Z1100="",0,IF(Z1100=200,サマリー!$B$10,IF(Z1100=100,サマリー!$B$11,0)))+IF(AA1100="",0,AA1100*サマリー!$B$12)</f>
        <v>0</v>
      </c>
      <c r="E1100" s="27">
        <f t="shared" si="34"/>
        <v>0</v>
      </c>
      <c r="I1100" s="30"/>
      <c r="J1100" s="30"/>
      <c r="K1100" s="30"/>
      <c r="L1100" s="30"/>
      <c r="M1100" s="30"/>
      <c r="N1100" s="30"/>
      <c r="O1100" s="30"/>
      <c r="P1100" s="30"/>
      <c r="Q1100" s="31"/>
      <c r="R1100" s="31"/>
      <c r="S1100" s="31"/>
      <c r="T1100" s="32"/>
      <c r="U1100" s="32"/>
      <c r="V1100" s="32"/>
      <c r="W1100" s="32"/>
      <c r="X1100" s="32"/>
      <c r="Y1100" s="33"/>
      <c r="Z1100" s="33"/>
      <c r="AA1100" s="33"/>
    </row>
    <row r="1101" spans="1:27">
      <c r="A1101" s="29"/>
      <c r="B1101" s="19">
        <f t="shared" si="35"/>
        <v>46327</v>
      </c>
      <c r="C1101" s="27">
        <f>I1101+J1101+K1101+L1101+M1101+N1101+O1101+P1101+IF(Q1101="",0,Q1101*サマリー!$B$9)+IF(R1101="",0,IF(R1101=200,サマリー!$B$10,IF(R1101=100,サマリー!$B$11,0)))+IF(S1101="",0,S1101*サマリー!$B$12)</f>
        <v>0</v>
      </c>
      <c r="D1101" s="27">
        <f>T1101+U1101+V1101+W1101+X1101+IF(Y1101="",0,Y1101*サマリー!$B$9)+IF(Z1101="",0,IF(Z1101=200,サマリー!$B$10,IF(Z1101=100,サマリー!$B$11,0)))+IF(AA1101="",0,AA1101*サマリー!$B$12)</f>
        <v>0</v>
      </c>
      <c r="E1101" s="27">
        <f t="shared" si="34"/>
        <v>0</v>
      </c>
      <c r="I1101" s="30"/>
      <c r="J1101" s="30"/>
      <c r="K1101" s="30"/>
      <c r="L1101" s="30"/>
      <c r="M1101" s="30"/>
      <c r="N1101" s="30"/>
      <c r="O1101" s="30"/>
      <c r="P1101" s="30"/>
      <c r="Q1101" s="31"/>
      <c r="R1101" s="31"/>
      <c r="S1101" s="31"/>
      <c r="T1101" s="32"/>
      <c r="U1101" s="32"/>
      <c r="V1101" s="32"/>
      <c r="W1101" s="32"/>
      <c r="X1101" s="32"/>
      <c r="Y1101" s="33"/>
      <c r="Z1101" s="33"/>
      <c r="AA1101" s="33"/>
    </row>
    <row r="1102" spans="1:27">
      <c r="A1102" s="29"/>
      <c r="B1102" s="19">
        <f t="shared" si="35"/>
        <v>46327</v>
      </c>
      <c r="C1102" s="27">
        <f>I1102+J1102+K1102+L1102+M1102+N1102+O1102+P1102+IF(Q1102="",0,Q1102*サマリー!$B$9)+IF(R1102="",0,IF(R1102=200,サマリー!$B$10,IF(R1102=100,サマリー!$B$11,0)))+IF(S1102="",0,S1102*サマリー!$B$12)</f>
        <v>0</v>
      </c>
      <c r="D1102" s="27">
        <f>T1102+U1102+V1102+W1102+X1102+IF(Y1102="",0,Y1102*サマリー!$B$9)+IF(Z1102="",0,IF(Z1102=200,サマリー!$B$10,IF(Z1102=100,サマリー!$B$11,0)))+IF(AA1102="",0,AA1102*サマリー!$B$12)</f>
        <v>0</v>
      </c>
      <c r="E1102" s="27">
        <f t="shared" si="34"/>
        <v>0</v>
      </c>
      <c r="I1102" s="30"/>
      <c r="J1102" s="30"/>
      <c r="K1102" s="30"/>
      <c r="L1102" s="30"/>
      <c r="M1102" s="30"/>
      <c r="N1102" s="30"/>
      <c r="O1102" s="30"/>
      <c r="P1102" s="30"/>
      <c r="Q1102" s="31"/>
      <c r="R1102" s="31"/>
      <c r="S1102" s="31"/>
      <c r="T1102" s="32"/>
      <c r="U1102" s="32"/>
      <c r="V1102" s="32"/>
      <c r="W1102" s="32"/>
      <c r="X1102" s="32"/>
      <c r="Y1102" s="33"/>
      <c r="Z1102" s="33"/>
      <c r="AA1102" s="33"/>
    </row>
    <row r="1103" spans="1:27">
      <c r="A1103" s="29"/>
      <c r="B1103" s="19">
        <f t="shared" si="35"/>
        <v>46327</v>
      </c>
      <c r="C1103" s="27">
        <f>I1103+J1103+K1103+L1103+M1103+N1103+O1103+P1103+IF(Q1103="",0,Q1103*サマリー!$B$9)+IF(R1103="",0,IF(R1103=200,サマリー!$B$10,IF(R1103=100,サマリー!$B$11,0)))+IF(S1103="",0,S1103*サマリー!$B$12)</f>
        <v>0</v>
      </c>
      <c r="D1103" s="27">
        <f>T1103+U1103+V1103+W1103+X1103+IF(Y1103="",0,Y1103*サマリー!$B$9)+IF(Z1103="",0,IF(Z1103=200,サマリー!$B$10,IF(Z1103=100,サマリー!$B$11,0)))+IF(AA1103="",0,AA1103*サマリー!$B$12)</f>
        <v>0</v>
      </c>
      <c r="E1103" s="27">
        <f t="shared" si="34"/>
        <v>0</v>
      </c>
      <c r="I1103" s="30"/>
      <c r="J1103" s="30"/>
      <c r="K1103" s="30"/>
      <c r="L1103" s="30"/>
      <c r="M1103" s="30"/>
      <c r="N1103" s="30"/>
      <c r="O1103" s="30"/>
      <c r="P1103" s="30"/>
      <c r="Q1103" s="31"/>
      <c r="R1103" s="31"/>
      <c r="S1103" s="31"/>
      <c r="T1103" s="32"/>
      <c r="U1103" s="32"/>
      <c r="V1103" s="32"/>
      <c r="W1103" s="32"/>
      <c r="X1103" s="32"/>
      <c r="Y1103" s="33"/>
      <c r="Z1103" s="33"/>
      <c r="AA1103" s="33"/>
    </row>
    <row r="1104" spans="1:27">
      <c r="A1104" s="29"/>
      <c r="B1104" s="19">
        <f t="shared" si="35"/>
        <v>46327</v>
      </c>
      <c r="C1104" s="27">
        <f>I1104+J1104+K1104+L1104+M1104+N1104+O1104+P1104+IF(Q1104="",0,Q1104*サマリー!$B$9)+IF(R1104="",0,IF(R1104=200,サマリー!$B$10,IF(R1104=100,サマリー!$B$11,0)))+IF(S1104="",0,S1104*サマリー!$B$12)</f>
        <v>0</v>
      </c>
      <c r="D1104" s="27">
        <f>T1104+U1104+V1104+W1104+X1104+IF(Y1104="",0,Y1104*サマリー!$B$9)+IF(Z1104="",0,IF(Z1104=200,サマリー!$B$10,IF(Z1104=100,サマリー!$B$11,0)))+IF(AA1104="",0,AA1104*サマリー!$B$12)</f>
        <v>0</v>
      </c>
      <c r="E1104" s="27">
        <f t="shared" si="34"/>
        <v>0</v>
      </c>
      <c r="I1104" s="30"/>
      <c r="J1104" s="30"/>
      <c r="K1104" s="30"/>
      <c r="L1104" s="30"/>
      <c r="M1104" s="30"/>
      <c r="N1104" s="30"/>
      <c r="O1104" s="30"/>
      <c r="P1104" s="30"/>
      <c r="Q1104" s="31"/>
      <c r="R1104" s="31"/>
      <c r="S1104" s="31"/>
      <c r="T1104" s="32"/>
      <c r="U1104" s="32"/>
      <c r="V1104" s="32"/>
      <c r="W1104" s="32"/>
      <c r="X1104" s="32"/>
      <c r="Y1104" s="33"/>
      <c r="Z1104" s="33"/>
      <c r="AA1104" s="33"/>
    </row>
    <row r="1105" spans="1:27">
      <c r="A1105" s="29"/>
      <c r="B1105" s="19">
        <f t="shared" si="35"/>
        <v>46327</v>
      </c>
      <c r="C1105" s="27">
        <f>I1105+J1105+K1105+L1105+M1105+N1105+O1105+P1105+IF(Q1105="",0,Q1105*サマリー!$B$9)+IF(R1105="",0,IF(R1105=200,サマリー!$B$10,IF(R1105=100,サマリー!$B$11,0)))+IF(S1105="",0,S1105*サマリー!$B$12)</f>
        <v>0</v>
      </c>
      <c r="D1105" s="27">
        <f>T1105+U1105+V1105+W1105+X1105+IF(Y1105="",0,Y1105*サマリー!$B$9)+IF(Z1105="",0,IF(Z1105=200,サマリー!$B$10,IF(Z1105=100,サマリー!$B$11,0)))+IF(AA1105="",0,AA1105*サマリー!$B$12)</f>
        <v>0</v>
      </c>
      <c r="E1105" s="27">
        <f t="shared" si="34"/>
        <v>0</v>
      </c>
      <c r="I1105" s="30"/>
      <c r="J1105" s="30"/>
      <c r="K1105" s="30"/>
      <c r="L1105" s="30"/>
      <c r="M1105" s="30"/>
      <c r="N1105" s="30"/>
      <c r="O1105" s="30"/>
      <c r="P1105" s="30"/>
      <c r="Q1105" s="31"/>
      <c r="R1105" s="31"/>
      <c r="S1105" s="31"/>
      <c r="T1105" s="32"/>
      <c r="U1105" s="32"/>
      <c r="V1105" s="32"/>
      <c r="W1105" s="32"/>
      <c r="X1105" s="32"/>
      <c r="Y1105" s="33"/>
      <c r="Z1105" s="33"/>
      <c r="AA1105" s="33"/>
    </row>
    <row r="1106" spans="1:27">
      <c r="A1106" s="29"/>
      <c r="B1106" s="19">
        <f t="shared" si="35"/>
        <v>46327</v>
      </c>
      <c r="C1106" s="27">
        <f>I1106+J1106+K1106+L1106+M1106+N1106+O1106+P1106+IF(Q1106="",0,Q1106*サマリー!$B$9)+IF(R1106="",0,IF(R1106=200,サマリー!$B$10,IF(R1106=100,サマリー!$B$11,0)))+IF(S1106="",0,S1106*サマリー!$B$12)</f>
        <v>0</v>
      </c>
      <c r="D1106" s="27">
        <f>T1106+U1106+V1106+W1106+X1106+IF(Y1106="",0,Y1106*サマリー!$B$9)+IF(Z1106="",0,IF(Z1106=200,サマリー!$B$10,IF(Z1106=100,サマリー!$B$11,0)))+IF(AA1106="",0,AA1106*サマリー!$B$12)</f>
        <v>0</v>
      </c>
      <c r="E1106" s="27">
        <f t="shared" si="34"/>
        <v>0</v>
      </c>
      <c r="I1106" s="30"/>
      <c r="J1106" s="30"/>
      <c r="K1106" s="30"/>
      <c r="L1106" s="30"/>
      <c r="M1106" s="30"/>
      <c r="N1106" s="30"/>
      <c r="O1106" s="30"/>
      <c r="P1106" s="30"/>
      <c r="Q1106" s="31"/>
      <c r="R1106" s="31"/>
      <c r="S1106" s="31"/>
      <c r="T1106" s="32"/>
      <c r="U1106" s="32"/>
      <c r="V1106" s="32"/>
      <c r="W1106" s="32"/>
      <c r="X1106" s="32"/>
      <c r="Y1106" s="33"/>
      <c r="Z1106" s="33"/>
      <c r="AA1106" s="33"/>
    </row>
    <row r="1107" spans="1:27">
      <c r="A1107" s="29"/>
      <c r="B1107" s="19">
        <f t="shared" si="35"/>
        <v>46327</v>
      </c>
      <c r="C1107" s="27">
        <f>I1107+J1107+K1107+L1107+M1107+N1107+O1107+P1107+IF(Q1107="",0,Q1107*サマリー!$B$9)+IF(R1107="",0,IF(R1107=200,サマリー!$B$10,IF(R1107=100,サマリー!$B$11,0)))+IF(S1107="",0,S1107*サマリー!$B$12)</f>
        <v>0</v>
      </c>
      <c r="D1107" s="27">
        <f>T1107+U1107+V1107+W1107+X1107+IF(Y1107="",0,Y1107*サマリー!$B$9)+IF(Z1107="",0,IF(Z1107=200,サマリー!$B$10,IF(Z1107=100,サマリー!$B$11,0)))+IF(AA1107="",0,AA1107*サマリー!$B$12)</f>
        <v>0</v>
      </c>
      <c r="E1107" s="27">
        <f t="shared" si="34"/>
        <v>0</v>
      </c>
      <c r="I1107" s="30"/>
      <c r="J1107" s="30"/>
      <c r="K1107" s="30"/>
      <c r="L1107" s="30"/>
      <c r="M1107" s="30"/>
      <c r="N1107" s="30"/>
      <c r="O1107" s="30"/>
      <c r="P1107" s="30"/>
      <c r="Q1107" s="31"/>
      <c r="R1107" s="31"/>
      <c r="S1107" s="31"/>
      <c r="T1107" s="32"/>
      <c r="U1107" s="32"/>
      <c r="V1107" s="32"/>
      <c r="W1107" s="32"/>
      <c r="X1107" s="32"/>
      <c r="Y1107" s="33"/>
      <c r="Z1107" s="33"/>
      <c r="AA1107" s="33"/>
    </row>
    <row r="1108" spans="1:27">
      <c r="A1108" s="29"/>
      <c r="B1108" s="19">
        <f t="shared" si="35"/>
        <v>46327</v>
      </c>
      <c r="C1108" s="27">
        <f>I1108+J1108+K1108+L1108+M1108+N1108+O1108+P1108+IF(Q1108="",0,Q1108*サマリー!$B$9)+IF(R1108="",0,IF(R1108=200,サマリー!$B$10,IF(R1108=100,サマリー!$B$11,0)))+IF(S1108="",0,S1108*サマリー!$B$12)</f>
        <v>0</v>
      </c>
      <c r="D1108" s="27">
        <f>T1108+U1108+V1108+W1108+X1108+IF(Y1108="",0,Y1108*サマリー!$B$9)+IF(Z1108="",0,IF(Z1108=200,サマリー!$B$10,IF(Z1108=100,サマリー!$B$11,0)))+IF(AA1108="",0,AA1108*サマリー!$B$12)</f>
        <v>0</v>
      </c>
      <c r="E1108" s="27">
        <f t="shared" si="34"/>
        <v>0</v>
      </c>
      <c r="I1108" s="30"/>
      <c r="J1108" s="30"/>
      <c r="K1108" s="30"/>
      <c r="L1108" s="30"/>
      <c r="M1108" s="30"/>
      <c r="N1108" s="30"/>
      <c r="O1108" s="30"/>
      <c r="P1108" s="30"/>
      <c r="Q1108" s="31"/>
      <c r="R1108" s="31"/>
      <c r="S1108" s="31"/>
      <c r="T1108" s="32"/>
      <c r="U1108" s="32"/>
      <c r="V1108" s="32"/>
      <c r="W1108" s="32"/>
      <c r="X1108" s="32"/>
      <c r="Y1108" s="33"/>
      <c r="Z1108" s="33"/>
      <c r="AA1108" s="33"/>
    </row>
    <row r="1109" spans="1:27">
      <c r="A1109" s="29"/>
      <c r="B1109" s="19">
        <f t="shared" si="35"/>
        <v>46327</v>
      </c>
      <c r="C1109" s="27">
        <f>I1109+J1109+K1109+L1109+M1109+N1109+O1109+P1109+IF(Q1109="",0,Q1109*サマリー!$B$9)+IF(R1109="",0,IF(R1109=200,サマリー!$B$10,IF(R1109=100,サマリー!$B$11,0)))+IF(S1109="",0,S1109*サマリー!$B$12)</f>
        <v>0</v>
      </c>
      <c r="D1109" s="27">
        <f>T1109+U1109+V1109+W1109+X1109+IF(Y1109="",0,Y1109*サマリー!$B$9)+IF(Z1109="",0,IF(Z1109=200,サマリー!$B$10,IF(Z1109=100,サマリー!$B$11,0)))+IF(AA1109="",0,AA1109*サマリー!$B$12)</f>
        <v>0</v>
      </c>
      <c r="E1109" s="27">
        <f t="shared" si="34"/>
        <v>0</v>
      </c>
      <c r="I1109" s="30"/>
      <c r="J1109" s="30"/>
      <c r="K1109" s="30"/>
      <c r="L1109" s="30"/>
      <c r="M1109" s="30"/>
      <c r="N1109" s="30"/>
      <c r="O1109" s="30"/>
      <c r="P1109" s="30"/>
      <c r="Q1109" s="31"/>
      <c r="R1109" s="31"/>
      <c r="S1109" s="31"/>
      <c r="T1109" s="32"/>
      <c r="U1109" s="32"/>
      <c r="V1109" s="32"/>
      <c r="W1109" s="32"/>
      <c r="X1109" s="32"/>
      <c r="Y1109" s="33"/>
      <c r="Z1109" s="33"/>
      <c r="AA1109" s="33"/>
    </row>
    <row r="1110" spans="1:27">
      <c r="A1110" s="29"/>
      <c r="B1110" s="19">
        <f t="shared" si="35"/>
        <v>46327</v>
      </c>
      <c r="C1110" s="27">
        <f>I1110+J1110+K1110+L1110+M1110+N1110+O1110+P1110+IF(Q1110="",0,Q1110*サマリー!$B$9)+IF(R1110="",0,IF(R1110=200,サマリー!$B$10,IF(R1110=100,サマリー!$B$11,0)))+IF(S1110="",0,S1110*サマリー!$B$12)</f>
        <v>0</v>
      </c>
      <c r="D1110" s="27">
        <f>T1110+U1110+V1110+W1110+X1110+IF(Y1110="",0,Y1110*サマリー!$B$9)+IF(Z1110="",0,IF(Z1110=200,サマリー!$B$10,IF(Z1110=100,サマリー!$B$11,0)))+IF(AA1110="",0,AA1110*サマリー!$B$12)</f>
        <v>0</v>
      </c>
      <c r="E1110" s="27">
        <f t="shared" si="34"/>
        <v>0</v>
      </c>
      <c r="I1110" s="30"/>
      <c r="J1110" s="30"/>
      <c r="K1110" s="30"/>
      <c r="L1110" s="30"/>
      <c r="M1110" s="30"/>
      <c r="N1110" s="30"/>
      <c r="O1110" s="30"/>
      <c r="P1110" s="30"/>
      <c r="Q1110" s="31"/>
      <c r="R1110" s="31"/>
      <c r="S1110" s="31"/>
      <c r="T1110" s="32"/>
      <c r="U1110" s="32"/>
      <c r="V1110" s="32"/>
      <c r="W1110" s="32"/>
      <c r="X1110" s="32"/>
      <c r="Y1110" s="33"/>
      <c r="Z1110" s="33"/>
      <c r="AA1110" s="33"/>
    </row>
    <row r="1111" spans="1:27">
      <c r="A1111" s="29"/>
      <c r="B1111" s="19">
        <f t="shared" si="35"/>
        <v>46327</v>
      </c>
      <c r="C1111" s="27">
        <f>I1111+J1111+K1111+L1111+M1111+N1111+O1111+P1111+IF(Q1111="",0,Q1111*サマリー!$B$9)+IF(R1111="",0,IF(R1111=200,サマリー!$B$10,IF(R1111=100,サマリー!$B$11,0)))+IF(S1111="",0,S1111*サマリー!$B$12)</f>
        <v>0</v>
      </c>
      <c r="D1111" s="27">
        <f>T1111+U1111+V1111+W1111+X1111+IF(Y1111="",0,Y1111*サマリー!$B$9)+IF(Z1111="",0,IF(Z1111=200,サマリー!$B$10,IF(Z1111=100,サマリー!$B$11,0)))+IF(AA1111="",0,AA1111*サマリー!$B$12)</f>
        <v>0</v>
      </c>
      <c r="E1111" s="27">
        <f t="shared" si="34"/>
        <v>0</v>
      </c>
      <c r="I1111" s="30"/>
      <c r="J1111" s="30"/>
      <c r="K1111" s="30"/>
      <c r="L1111" s="30"/>
      <c r="M1111" s="30"/>
      <c r="N1111" s="30"/>
      <c r="O1111" s="30"/>
      <c r="P1111" s="30"/>
      <c r="Q1111" s="31"/>
      <c r="R1111" s="31"/>
      <c r="S1111" s="31"/>
      <c r="T1111" s="32"/>
      <c r="U1111" s="32"/>
      <c r="V1111" s="32"/>
      <c r="W1111" s="32"/>
      <c r="X1111" s="32"/>
      <c r="Y1111" s="33"/>
      <c r="Z1111" s="33"/>
      <c r="AA1111" s="33"/>
    </row>
    <row r="1112" spans="1:27">
      <c r="A1112" s="29"/>
      <c r="B1112" s="19">
        <f t="shared" si="35"/>
        <v>46327</v>
      </c>
      <c r="C1112" s="27">
        <f>I1112+J1112+K1112+L1112+M1112+N1112+O1112+P1112+IF(Q1112="",0,Q1112*サマリー!$B$9)+IF(R1112="",0,IF(R1112=200,サマリー!$B$10,IF(R1112=100,サマリー!$B$11,0)))+IF(S1112="",0,S1112*サマリー!$B$12)</f>
        <v>0</v>
      </c>
      <c r="D1112" s="27">
        <f>T1112+U1112+V1112+W1112+X1112+IF(Y1112="",0,Y1112*サマリー!$B$9)+IF(Z1112="",0,IF(Z1112=200,サマリー!$B$10,IF(Z1112=100,サマリー!$B$11,0)))+IF(AA1112="",0,AA1112*サマリー!$B$12)</f>
        <v>0</v>
      </c>
      <c r="E1112" s="27">
        <f t="shared" si="34"/>
        <v>0</v>
      </c>
      <c r="I1112" s="30"/>
      <c r="J1112" s="30"/>
      <c r="K1112" s="30"/>
      <c r="L1112" s="30"/>
      <c r="M1112" s="30"/>
      <c r="N1112" s="30"/>
      <c r="O1112" s="30"/>
      <c r="P1112" s="30"/>
      <c r="Q1112" s="31"/>
      <c r="R1112" s="31"/>
      <c r="S1112" s="31"/>
      <c r="T1112" s="32"/>
      <c r="U1112" s="32"/>
      <c r="V1112" s="32"/>
      <c r="W1112" s="32"/>
      <c r="X1112" s="32"/>
      <c r="Y1112" s="33"/>
      <c r="Z1112" s="33"/>
      <c r="AA1112" s="33"/>
    </row>
    <row r="1113" spans="1:27">
      <c r="A1113" s="29"/>
      <c r="B1113" s="19">
        <f t="shared" si="35"/>
        <v>46327</v>
      </c>
      <c r="C1113" s="27">
        <f>I1113+J1113+K1113+L1113+M1113+N1113+O1113+P1113+IF(Q1113="",0,Q1113*サマリー!$B$9)+IF(R1113="",0,IF(R1113=200,サマリー!$B$10,IF(R1113=100,サマリー!$B$11,0)))+IF(S1113="",0,S1113*サマリー!$B$12)</f>
        <v>0</v>
      </c>
      <c r="D1113" s="27">
        <f>T1113+U1113+V1113+W1113+X1113+IF(Y1113="",0,Y1113*サマリー!$B$9)+IF(Z1113="",0,IF(Z1113=200,サマリー!$B$10,IF(Z1113=100,サマリー!$B$11,0)))+IF(AA1113="",0,AA1113*サマリー!$B$12)</f>
        <v>0</v>
      </c>
      <c r="E1113" s="27">
        <f t="shared" si="34"/>
        <v>0</v>
      </c>
      <c r="I1113" s="30"/>
      <c r="J1113" s="30"/>
      <c r="K1113" s="30"/>
      <c r="L1113" s="30"/>
      <c r="M1113" s="30"/>
      <c r="N1113" s="30"/>
      <c r="O1113" s="30"/>
      <c r="P1113" s="30"/>
      <c r="Q1113" s="31"/>
      <c r="R1113" s="31"/>
      <c r="S1113" s="31"/>
      <c r="T1113" s="32"/>
      <c r="U1113" s="32"/>
      <c r="V1113" s="32"/>
      <c r="W1113" s="32"/>
      <c r="X1113" s="32"/>
      <c r="Y1113" s="33"/>
      <c r="Z1113" s="33"/>
      <c r="AA1113" s="33"/>
    </row>
    <row r="1114" spans="1:27">
      <c r="A1114" s="29"/>
      <c r="B1114" s="19">
        <f t="shared" si="35"/>
        <v>46327</v>
      </c>
      <c r="C1114" s="27">
        <f>I1114+J1114+K1114+L1114+M1114+N1114+O1114+P1114+IF(Q1114="",0,Q1114*サマリー!$B$9)+IF(R1114="",0,IF(R1114=200,サマリー!$B$10,IF(R1114=100,サマリー!$B$11,0)))+IF(S1114="",0,S1114*サマリー!$B$12)</f>
        <v>0</v>
      </c>
      <c r="D1114" s="27">
        <f>T1114+U1114+V1114+W1114+X1114+IF(Y1114="",0,Y1114*サマリー!$B$9)+IF(Z1114="",0,IF(Z1114=200,サマリー!$B$10,IF(Z1114=100,サマリー!$B$11,0)))+IF(AA1114="",0,AA1114*サマリー!$B$12)</f>
        <v>0</v>
      </c>
      <c r="E1114" s="27">
        <f t="shared" si="34"/>
        <v>0</v>
      </c>
      <c r="I1114" s="30"/>
      <c r="J1114" s="30"/>
      <c r="K1114" s="30"/>
      <c r="L1114" s="30"/>
      <c r="M1114" s="30"/>
      <c r="N1114" s="30"/>
      <c r="O1114" s="30"/>
      <c r="P1114" s="30"/>
      <c r="Q1114" s="31"/>
      <c r="R1114" s="31"/>
      <c r="S1114" s="31"/>
      <c r="T1114" s="32"/>
      <c r="U1114" s="32"/>
      <c r="V1114" s="32"/>
      <c r="W1114" s="32"/>
      <c r="X1114" s="32"/>
      <c r="Y1114" s="33"/>
      <c r="Z1114" s="33"/>
      <c r="AA1114" s="33"/>
    </row>
    <row r="1115" spans="1:27">
      <c r="A1115" s="29"/>
      <c r="B1115" s="19">
        <f t="shared" si="35"/>
        <v>46327</v>
      </c>
      <c r="C1115" s="27">
        <f>I1115+J1115+K1115+L1115+M1115+N1115+O1115+P1115+IF(Q1115="",0,Q1115*サマリー!$B$9)+IF(R1115="",0,IF(R1115=200,サマリー!$B$10,IF(R1115=100,サマリー!$B$11,0)))+IF(S1115="",0,S1115*サマリー!$B$12)</f>
        <v>0</v>
      </c>
      <c r="D1115" s="27">
        <f>T1115+U1115+V1115+W1115+X1115+IF(Y1115="",0,Y1115*サマリー!$B$9)+IF(Z1115="",0,IF(Z1115=200,サマリー!$B$10,IF(Z1115=100,サマリー!$B$11,0)))+IF(AA1115="",0,AA1115*サマリー!$B$12)</f>
        <v>0</v>
      </c>
      <c r="E1115" s="27">
        <f t="shared" si="34"/>
        <v>0</v>
      </c>
      <c r="I1115" s="30"/>
      <c r="J1115" s="30"/>
      <c r="K1115" s="30"/>
      <c r="L1115" s="30"/>
      <c r="M1115" s="30"/>
      <c r="N1115" s="30"/>
      <c r="O1115" s="30"/>
      <c r="P1115" s="30"/>
      <c r="Q1115" s="31"/>
      <c r="R1115" s="31"/>
      <c r="S1115" s="31"/>
      <c r="T1115" s="32"/>
      <c r="U1115" s="32"/>
      <c r="V1115" s="32"/>
      <c r="W1115" s="32"/>
      <c r="X1115" s="32"/>
      <c r="Y1115" s="33"/>
      <c r="Z1115" s="33"/>
      <c r="AA1115" s="33"/>
    </row>
    <row r="1116" spans="1:27">
      <c r="A1116" s="29"/>
      <c r="B1116" s="19">
        <f t="shared" si="35"/>
        <v>46327</v>
      </c>
      <c r="C1116" s="27">
        <f>I1116+J1116+K1116+L1116+M1116+N1116+O1116+P1116+IF(Q1116="",0,Q1116*サマリー!$B$9)+IF(R1116="",0,IF(R1116=200,サマリー!$B$10,IF(R1116=100,サマリー!$B$11,0)))+IF(S1116="",0,S1116*サマリー!$B$12)</f>
        <v>0</v>
      </c>
      <c r="D1116" s="27">
        <f>T1116+U1116+V1116+W1116+X1116+IF(Y1116="",0,Y1116*サマリー!$B$9)+IF(Z1116="",0,IF(Z1116=200,サマリー!$B$10,IF(Z1116=100,サマリー!$B$11,0)))+IF(AA1116="",0,AA1116*サマリー!$B$12)</f>
        <v>0</v>
      </c>
      <c r="E1116" s="27">
        <f t="shared" si="34"/>
        <v>0</v>
      </c>
      <c r="I1116" s="30"/>
      <c r="J1116" s="30"/>
      <c r="K1116" s="30"/>
      <c r="L1116" s="30"/>
      <c r="M1116" s="30"/>
      <c r="N1116" s="30"/>
      <c r="O1116" s="30"/>
      <c r="P1116" s="30"/>
      <c r="Q1116" s="31"/>
      <c r="R1116" s="31"/>
      <c r="S1116" s="31"/>
      <c r="T1116" s="32"/>
      <c r="U1116" s="32"/>
      <c r="V1116" s="32"/>
      <c r="W1116" s="32"/>
      <c r="X1116" s="32"/>
      <c r="Y1116" s="33"/>
      <c r="Z1116" s="33"/>
      <c r="AA1116" s="33"/>
    </row>
    <row r="1117" spans="1:27">
      <c r="A1117" s="29"/>
      <c r="B1117" s="19">
        <f t="shared" si="35"/>
        <v>46327</v>
      </c>
      <c r="C1117" s="27">
        <f>I1117+J1117+K1117+L1117+M1117+N1117+O1117+P1117+IF(Q1117="",0,Q1117*サマリー!$B$9)+IF(R1117="",0,IF(R1117=200,サマリー!$B$10,IF(R1117=100,サマリー!$B$11,0)))+IF(S1117="",0,S1117*サマリー!$B$12)</f>
        <v>0</v>
      </c>
      <c r="D1117" s="27">
        <f>T1117+U1117+V1117+W1117+X1117+IF(Y1117="",0,Y1117*サマリー!$B$9)+IF(Z1117="",0,IF(Z1117=200,サマリー!$B$10,IF(Z1117=100,サマリー!$B$11,0)))+IF(AA1117="",0,AA1117*サマリー!$B$12)</f>
        <v>0</v>
      </c>
      <c r="E1117" s="27">
        <f t="shared" si="34"/>
        <v>0</v>
      </c>
      <c r="I1117" s="30"/>
      <c r="J1117" s="30"/>
      <c r="K1117" s="30"/>
      <c r="L1117" s="30"/>
      <c r="M1117" s="30"/>
      <c r="N1117" s="30"/>
      <c r="O1117" s="30"/>
      <c r="P1117" s="30"/>
      <c r="Q1117" s="31"/>
      <c r="R1117" s="31"/>
      <c r="S1117" s="31"/>
      <c r="T1117" s="32"/>
      <c r="U1117" s="32"/>
      <c r="V1117" s="32"/>
      <c r="W1117" s="32"/>
      <c r="X1117" s="32"/>
      <c r="Y1117" s="33"/>
      <c r="Z1117" s="33"/>
      <c r="AA1117" s="33"/>
    </row>
    <row r="1118" spans="1:27">
      <c r="A1118" s="29"/>
      <c r="B1118" s="19">
        <f t="shared" si="35"/>
        <v>46327</v>
      </c>
      <c r="C1118" s="27">
        <f>I1118+J1118+K1118+L1118+M1118+N1118+O1118+P1118+IF(Q1118="",0,Q1118*サマリー!$B$9)+IF(R1118="",0,IF(R1118=200,サマリー!$B$10,IF(R1118=100,サマリー!$B$11,0)))+IF(S1118="",0,S1118*サマリー!$B$12)</f>
        <v>0</v>
      </c>
      <c r="D1118" s="27">
        <f>T1118+U1118+V1118+W1118+X1118+IF(Y1118="",0,Y1118*サマリー!$B$9)+IF(Z1118="",0,IF(Z1118=200,サマリー!$B$10,IF(Z1118=100,サマリー!$B$11,0)))+IF(AA1118="",0,AA1118*サマリー!$B$12)</f>
        <v>0</v>
      </c>
      <c r="E1118" s="27">
        <f t="shared" si="34"/>
        <v>0</v>
      </c>
      <c r="I1118" s="30"/>
      <c r="J1118" s="30"/>
      <c r="K1118" s="30"/>
      <c r="L1118" s="30"/>
      <c r="M1118" s="30"/>
      <c r="N1118" s="30"/>
      <c r="O1118" s="30"/>
      <c r="P1118" s="30"/>
      <c r="Q1118" s="31"/>
      <c r="R1118" s="31"/>
      <c r="S1118" s="31"/>
      <c r="T1118" s="32"/>
      <c r="U1118" s="32"/>
      <c r="V1118" s="32"/>
      <c r="W1118" s="32"/>
      <c r="X1118" s="32"/>
      <c r="Y1118" s="33"/>
      <c r="Z1118" s="33"/>
      <c r="AA1118" s="33"/>
    </row>
    <row r="1119" spans="1:27">
      <c r="A1119" s="29"/>
      <c r="B1119" s="19">
        <f t="shared" si="35"/>
        <v>46327</v>
      </c>
      <c r="C1119" s="27">
        <f>I1119+J1119+K1119+L1119+M1119+N1119+O1119+P1119+IF(Q1119="",0,Q1119*サマリー!$B$9)+IF(R1119="",0,IF(R1119=200,サマリー!$B$10,IF(R1119=100,サマリー!$B$11,0)))+IF(S1119="",0,S1119*サマリー!$B$12)</f>
        <v>0</v>
      </c>
      <c r="D1119" s="27">
        <f>T1119+U1119+V1119+W1119+X1119+IF(Y1119="",0,Y1119*サマリー!$B$9)+IF(Z1119="",0,IF(Z1119=200,サマリー!$B$10,IF(Z1119=100,サマリー!$B$11,0)))+IF(AA1119="",0,AA1119*サマリー!$B$12)</f>
        <v>0</v>
      </c>
      <c r="E1119" s="27">
        <f t="shared" si="34"/>
        <v>0</v>
      </c>
      <c r="I1119" s="30"/>
      <c r="J1119" s="30"/>
      <c r="K1119" s="30"/>
      <c r="L1119" s="30"/>
      <c r="M1119" s="30"/>
      <c r="N1119" s="30"/>
      <c r="O1119" s="30"/>
      <c r="P1119" s="30"/>
      <c r="Q1119" s="31"/>
      <c r="R1119" s="31"/>
      <c r="S1119" s="31"/>
      <c r="T1119" s="32"/>
      <c r="U1119" s="32"/>
      <c r="V1119" s="32"/>
      <c r="W1119" s="32"/>
      <c r="X1119" s="32"/>
      <c r="Y1119" s="33"/>
      <c r="Z1119" s="33"/>
      <c r="AA1119" s="33"/>
    </row>
    <row r="1120" spans="1:27">
      <c r="A1120" s="29"/>
      <c r="B1120" s="19">
        <f t="shared" si="35"/>
        <v>46327</v>
      </c>
      <c r="C1120" s="27">
        <f>I1120+J1120+K1120+L1120+M1120+N1120+O1120+P1120+IF(Q1120="",0,Q1120*サマリー!$B$9)+IF(R1120="",0,IF(R1120=200,サマリー!$B$10,IF(R1120=100,サマリー!$B$11,0)))+IF(S1120="",0,S1120*サマリー!$B$12)</f>
        <v>0</v>
      </c>
      <c r="D1120" s="27">
        <f>T1120+U1120+V1120+W1120+X1120+IF(Y1120="",0,Y1120*サマリー!$B$9)+IF(Z1120="",0,IF(Z1120=200,サマリー!$B$10,IF(Z1120=100,サマリー!$B$11,0)))+IF(AA1120="",0,AA1120*サマリー!$B$12)</f>
        <v>0</v>
      </c>
      <c r="E1120" s="27">
        <f t="shared" si="34"/>
        <v>0</v>
      </c>
      <c r="I1120" s="30"/>
      <c r="J1120" s="30"/>
      <c r="K1120" s="30"/>
      <c r="L1120" s="30"/>
      <c r="M1120" s="30"/>
      <c r="N1120" s="30"/>
      <c r="O1120" s="30"/>
      <c r="P1120" s="30"/>
      <c r="Q1120" s="31"/>
      <c r="R1120" s="31"/>
      <c r="S1120" s="31"/>
      <c r="T1120" s="32"/>
      <c r="U1120" s="32"/>
      <c r="V1120" s="32"/>
      <c r="W1120" s="32"/>
      <c r="X1120" s="32"/>
      <c r="Y1120" s="33"/>
      <c r="Z1120" s="33"/>
      <c r="AA1120" s="33"/>
    </row>
    <row r="1121" spans="1:27">
      <c r="A1121" s="29"/>
      <c r="B1121" s="19">
        <f t="shared" si="35"/>
        <v>46327</v>
      </c>
      <c r="C1121" s="27">
        <f>I1121+J1121+K1121+L1121+M1121+N1121+O1121+P1121+IF(Q1121="",0,Q1121*サマリー!$B$9)+IF(R1121="",0,IF(R1121=200,サマリー!$B$10,IF(R1121=100,サマリー!$B$11,0)))+IF(S1121="",0,S1121*サマリー!$B$12)</f>
        <v>0</v>
      </c>
      <c r="D1121" s="27">
        <f>T1121+U1121+V1121+W1121+X1121+IF(Y1121="",0,Y1121*サマリー!$B$9)+IF(Z1121="",0,IF(Z1121=200,サマリー!$B$10,IF(Z1121=100,サマリー!$B$11,0)))+IF(AA1121="",0,AA1121*サマリー!$B$12)</f>
        <v>0</v>
      </c>
      <c r="E1121" s="27">
        <f t="shared" si="34"/>
        <v>0</v>
      </c>
      <c r="I1121" s="30"/>
      <c r="J1121" s="30"/>
      <c r="K1121" s="30"/>
      <c r="L1121" s="30"/>
      <c r="M1121" s="30"/>
      <c r="N1121" s="30"/>
      <c r="O1121" s="30"/>
      <c r="P1121" s="30"/>
      <c r="Q1121" s="31"/>
      <c r="R1121" s="31"/>
      <c r="S1121" s="31"/>
      <c r="T1121" s="32"/>
      <c r="U1121" s="32"/>
      <c r="V1121" s="32"/>
      <c r="W1121" s="32"/>
      <c r="X1121" s="32"/>
      <c r="Y1121" s="33"/>
      <c r="Z1121" s="33"/>
      <c r="AA1121" s="33"/>
    </row>
    <row r="1122" spans="1:27">
      <c r="A1122" s="29"/>
      <c r="B1122" s="19">
        <f t="shared" si="35"/>
        <v>46327</v>
      </c>
      <c r="C1122" s="27">
        <f>I1122+J1122+K1122+L1122+M1122+N1122+O1122+P1122+IF(Q1122="",0,Q1122*サマリー!$B$9)+IF(R1122="",0,IF(R1122=200,サマリー!$B$10,IF(R1122=100,サマリー!$B$11,0)))+IF(S1122="",0,S1122*サマリー!$B$12)</f>
        <v>0</v>
      </c>
      <c r="D1122" s="27">
        <f>T1122+U1122+V1122+W1122+X1122+IF(Y1122="",0,Y1122*サマリー!$B$9)+IF(Z1122="",0,IF(Z1122=200,サマリー!$B$10,IF(Z1122=100,サマリー!$B$11,0)))+IF(AA1122="",0,AA1122*サマリー!$B$12)</f>
        <v>0</v>
      </c>
      <c r="E1122" s="27">
        <f t="shared" si="34"/>
        <v>0</v>
      </c>
      <c r="I1122" s="30"/>
      <c r="J1122" s="30"/>
      <c r="K1122" s="30"/>
      <c r="L1122" s="30"/>
      <c r="M1122" s="30"/>
      <c r="N1122" s="30"/>
      <c r="O1122" s="30"/>
      <c r="P1122" s="30"/>
      <c r="Q1122" s="31"/>
      <c r="R1122" s="31"/>
      <c r="S1122" s="31"/>
      <c r="T1122" s="32"/>
      <c r="U1122" s="32"/>
      <c r="V1122" s="32"/>
      <c r="W1122" s="32"/>
      <c r="X1122" s="32"/>
      <c r="Y1122" s="33"/>
      <c r="Z1122" s="33"/>
      <c r="AA1122" s="33"/>
    </row>
    <row r="1123" spans="1:27">
      <c r="A1123" s="29"/>
      <c r="B1123" s="19">
        <f t="shared" si="35"/>
        <v>46327</v>
      </c>
      <c r="C1123" s="27">
        <f>I1123+J1123+K1123+L1123+M1123+N1123+O1123+P1123+IF(Q1123="",0,Q1123*サマリー!$B$9)+IF(R1123="",0,IF(R1123=200,サマリー!$B$10,IF(R1123=100,サマリー!$B$11,0)))+IF(S1123="",0,S1123*サマリー!$B$12)</f>
        <v>0</v>
      </c>
      <c r="D1123" s="27">
        <f>T1123+U1123+V1123+W1123+X1123+IF(Y1123="",0,Y1123*サマリー!$B$9)+IF(Z1123="",0,IF(Z1123=200,サマリー!$B$10,IF(Z1123=100,サマリー!$B$11,0)))+IF(AA1123="",0,AA1123*サマリー!$B$12)</f>
        <v>0</v>
      </c>
      <c r="E1123" s="27">
        <f t="shared" si="34"/>
        <v>0</v>
      </c>
      <c r="I1123" s="30"/>
      <c r="J1123" s="30"/>
      <c r="K1123" s="30"/>
      <c r="L1123" s="30"/>
      <c r="M1123" s="30"/>
      <c r="N1123" s="30"/>
      <c r="O1123" s="30"/>
      <c r="P1123" s="30"/>
      <c r="Q1123" s="31"/>
      <c r="R1123" s="31"/>
      <c r="S1123" s="31"/>
      <c r="T1123" s="32"/>
      <c r="U1123" s="32"/>
      <c r="V1123" s="32"/>
      <c r="W1123" s="32"/>
      <c r="X1123" s="32"/>
      <c r="Y1123" s="33"/>
      <c r="Z1123" s="33"/>
      <c r="AA1123" s="33"/>
    </row>
    <row r="1124" spans="1:27">
      <c r="A1124" s="29"/>
      <c r="B1124" s="19">
        <f t="shared" si="35"/>
        <v>46327</v>
      </c>
      <c r="C1124" s="27">
        <f>I1124+J1124+K1124+L1124+M1124+N1124+O1124+P1124+IF(Q1124="",0,Q1124*サマリー!$B$9)+IF(R1124="",0,IF(R1124=200,サマリー!$B$10,IF(R1124=100,サマリー!$B$11,0)))+IF(S1124="",0,S1124*サマリー!$B$12)</f>
        <v>0</v>
      </c>
      <c r="D1124" s="27">
        <f>T1124+U1124+V1124+W1124+X1124+IF(Y1124="",0,Y1124*サマリー!$B$9)+IF(Z1124="",0,IF(Z1124=200,サマリー!$B$10,IF(Z1124=100,サマリー!$B$11,0)))+IF(AA1124="",0,AA1124*サマリー!$B$12)</f>
        <v>0</v>
      </c>
      <c r="E1124" s="27">
        <f t="shared" si="34"/>
        <v>0</v>
      </c>
      <c r="I1124" s="30"/>
      <c r="J1124" s="30"/>
      <c r="K1124" s="30"/>
      <c r="L1124" s="30"/>
      <c r="M1124" s="30"/>
      <c r="N1124" s="30"/>
      <c r="O1124" s="30"/>
      <c r="P1124" s="30"/>
      <c r="Q1124" s="31"/>
      <c r="R1124" s="31"/>
      <c r="S1124" s="31"/>
      <c r="T1124" s="32"/>
      <c r="U1124" s="32"/>
      <c r="V1124" s="32"/>
      <c r="W1124" s="32"/>
      <c r="X1124" s="32"/>
      <c r="Y1124" s="33"/>
      <c r="Z1124" s="33"/>
      <c r="AA1124" s="33"/>
    </row>
    <row r="1125" spans="1:27">
      <c r="A1125" s="29"/>
      <c r="B1125" s="19">
        <f t="shared" si="35"/>
        <v>46327</v>
      </c>
      <c r="C1125" s="27">
        <f>I1125+J1125+K1125+L1125+M1125+N1125+O1125+P1125+IF(Q1125="",0,Q1125*サマリー!$B$9)+IF(R1125="",0,IF(R1125=200,サマリー!$B$10,IF(R1125=100,サマリー!$B$11,0)))+IF(S1125="",0,S1125*サマリー!$B$12)</f>
        <v>0</v>
      </c>
      <c r="D1125" s="27">
        <f>T1125+U1125+V1125+W1125+X1125+IF(Y1125="",0,Y1125*サマリー!$B$9)+IF(Z1125="",0,IF(Z1125=200,サマリー!$B$10,IF(Z1125=100,サマリー!$B$11,0)))+IF(AA1125="",0,AA1125*サマリー!$B$12)</f>
        <v>0</v>
      </c>
      <c r="E1125" s="27">
        <f t="shared" si="34"/>
        <v>0</v>
      </c>
      <c r="I1125" s="30"/>
      <c r="J1125" s="30"/>
      <c r="K1125" s="30"/>
      <c r="L1125" s="30"/>
      <c r="M1125" s="30"/>
      <c r="N1125" s="30"/>
      <c r="O1125" s="30"/>
      <c r="P1125" s="30"/>
      <c r="Q1125" s="31"/>
      <c r="R1125" s="31"/>
      <c r="S1125" s="31"/>
      <c r="T1125" s="32"/>
      <c r="U1125" s="32"/>
      <c r="V1125" s="32"/>
      <c r="W1125" s="32"/>
      <c r="X1125" s="32"/>
      <c r="Y1125" s="33"/>
      <c r="Z1125" s="33"/>
      <c r="AA1125" s="33"/>
    </row>
    <row r="1126" spans="1:27">
      <c r="A1126" s="29"/>
      <c r="B1126" s="19">
        <f t="shared" si="35"/>
        <v>46327</v>
      </c>
      <c r="C1126" s="27">
        <f>I1126+J1126+K1126+L1126+M1126+N1126+O1126+P1126+IF(Q1126="",0,Q1126*サマリー!$B$9)+IF(R1126="",0,IF(R1126=200,サマリー!$B$10,IF(R1126=100,サマリー!$B$11,0)))+IF(S1126="",0,S1126*サマリー!$B$12)</f>
        <v>0</v>
      </c>
      <c r="D1126" s="27">
        <f>T1126+U1126+V1126+W1126+X1126+IF(Y1126="",0,Y1126*サマリー!$B$9)+IF(Z1126="",0,IF(Z1126=200,サマリー!$B$10,IF(Z1126=100,サマリー!$B$11,0)))+IF(AA1126="",0,AA1126*サマリー!$B$12)</f>
        <v>0</v>
      </c>
      <c r="E1126" s="27">
        <f t="shared" si="34"/>
        <v>0</v>
      </c>
      <c r="I1126" s="30"/>
      <c r="J1126" s="30"/>
      <c r="K1126" s="30"/>
      <c r="L1126" s="30"/>
      <c r="M1126" s="30"/>
      <c r="N1126" s="30"/>
      <c r="O1126" s="30"/>
      <c r="P1126" s="30"/>
      <c r="Q1126" s="31"/>
      <c r="R1126" s="31"/>
      <c r="S1126" s="31"/>
      <c r="T1126" s="32"/>
      <c r="U1126" s="32"/>
      <c r="V1126" s="32"/>
      <c r="W1126" s="32"/>
      <c r="X1126" s="32"/>
      <c r="Y1126" s="33"/>
      <c r="Z1126" s="33"/>
      <c r="AA1126" s="33"/>
    </row>
    <row r="1127" spans="1:27">
      <c r="A1127" s="29"/>
      <c r="B1127" s="19">
        <f t="shared" si="35"/>
        <v>46327</v>
      </c>
      <c r="C1127" s="27">
        <f>I1127+J1127+K1127+L1127+M1127+N1127+O1127+P1127+IF(Q1127="",0,Q1127*サマリー!$B$9)+IF(R1127="",0,IF(R1127=200,サマリー!$B$10,IF(R1127=100,サマリー!$B$11,0)))+IF(S1127="",0,S1127*サマリー!$B$12)</f>
        <v>0</v>
      </c>
      <c r="D1127" s="27">
        <f>T1127+U1127+V1127+W1127+X1127+IF(Y1127="",0,Y1127*サマリー!$B$9)+IF(Z1127="",0,IF(Z1127=200,サマリー!$B$10,IF(Z1127=100,サマリー!$B$11,0)))+IF(AA1127="",0,AA1127*サマリー!$B$12)</f>
        <v>0</v>
      </c>
      <c r="E1127" s="27">
        <f t="shared" si="34"/>
        <v>0</v>
      </c>
      <c r="I1127" s="30"/>
      <c r="J1127" s="30"/>
      <c r="K1127" s="30"/>
      <c r="L1127" s="30"/>
      <c r="M1127" s="30"/>
      <c r="N1127" s="30"/>
      <c r="O1127" s="30"/>
      <c r="P1127" s="30"/>
      <c r="Q1127" s="31"/>
      <c r="R1127" s="31"/>
      <c r="S1127" s="31"/>
      <c r="T1127" s="32"/>
      <c r="U1127" s="32"/>
      <c r="V1127" s="32"/>
      <c r="W1127" s="32"/>
      <c r="X1127" s="32"/>
      <c r="Y1127" s="33"/>
      <c r="Z1127" s="33"/>
      <c r="AA1127" s="33"/>
    </row>
    <row r="1128" spans="1:27">
      <c r="A1128" s="29"/>
      <c r="B1128" s="19">
        <f t="shared" si="35"/>
        <v>46327</v>
      </c>
      <c r="C1128" s="27">
        <f>I1128+J1128+K1128+L1128+M1128+N1128+O1128+P1128+IF(Q1128="",0,Q1128*サマリー!$B$9)+IF(R1128="",0,IF(R1128=200,サマリー!$B$10,IF(R1128=100,サマリー!$B$11,0)))+IF(S1128="",0,S1128*サマリー!$B$12)</f>
        <v>0</v>
      </c>
      <c r="D1128" s="27">
        <f>T1128+U1128+V1128+W1128+X1128+IF(Y1128="",0,Y1128*サマリー!$B$9)+IF(Z1128="",0,IF(Z1128=200,サマリー!$B$10,IF(Z1128=100,サマリー!$B$11,0)))+IF(AA1128="",0,AA1128*サマリー!$B$12)</f>
        <v>0</v>
      </c>
      <c r="E1128" s="27">
        <f t="shared" si="34"/>
        <v>0</v>
      </c>
      <c r="I1128" s="30"/>
      <c r="J1128" s="30"/>
      <c r="K1128" s="30"/>
      <c r="L1128" s="30"/>
      <c r="M1128" s="30"/>
      <c r="N1128" s="30"/>
      <c r="O1128" s="30"/>
      <c r="P1128" s="30"/>
      <c r="Q1128" s="31"/>
      <c r="R1128" s="31"/>
      <c r="S1128" s="31"/>
      <c r="T1128" s="32"/>
      <c r="U1128" s="32"/>
      <c r="V1128" s="32"/>
      <c r="W1128" s="32"/>
      <c r="X1128" s="32"/>
      <c r="Y1128" s="33"/>
      <c r="Z1128" s="33"/>
      <c r="AA1128" s="33"/>
    </row>
    <row r="1129" spans="1:27">
      <c r="A1129" s="29"/>
      <c r="B1129" s="19">
        <f t="shared" si="35"/>
        <v>46327</v>
      </c>
      <c r="C1129" s="27">
        <f>I1129+J1129+K1129+L1129+M1129+N1129+O1129+P1129+IF(Q1129="",0,Q1129*サマリー!$B$9)+IF(R1129="",0,IF(R1129=200,サマリー!$B$10,IF(R1129=100,サマリー!$B$11,0)))+IF(S1129="",0,S1129*サマリー!$B$12)</f>
        <v>0</v>
      </c>
      <c r="D1129" s="27">
        <f>T1129+U1129+V1129+W1129+X1129+IF(Y1129="",0,Y1129*サマリー!$B$9)+IF(Z1129="",0,IF(Z1129=200,サマリー!$B$10,IF(Z1129=100,サマリー!$B$11,0)))+IF(AA1129="",0,AA1129*サマリー!$B$12)</f>
        <v>0</v>
      </c>
      <c r="E1129" s="27">
        <f t="shared" si="34"/>
        <v>0</v>
      </c>
      <c r="I1129" s="30"/>
      <c r="J1129" s="30"/>
      <c r="K1129" s="30"/>
      <c r="L1129" s="30"/>
      <c r="M1129" s="30"/>
      <c r="N1129" s="30"/>
      <c r="O1129" s="30"/>
      <c r="P1129" s="30"/>
      <c r="Q1129" s="31"/>
      <c r="R1129" s="31"/>
      <c r="S1129" s="31"/>
      <c r="T1129" s="32"/>
      <c r="U1129" s="32"/>
      <c r="V1129" s="32"/>
      <c r="W1129" s="32"/>
      <c r="X1129" s="32"/>
      <c r="Y1129" s="33"/>
      <c r="Z1129" s="33"/>
      <c r="AA1129" s="33"/>
    </row>
    <row r="1130" spans="1:27">
      <c r="A1130" s="29"/>
      <c r="B1130" s="19">
        <f t="shared" si="35"/>
        <v>46327</v>
      </c>
      <c r="C1130" s="27">
        <f>I1130+J1130+K1130+L1130+M1130+N1130+O1130+P1130+IF(Q1130="",0,Q1130*サマリー!$B$9)+IF(R1130="",0,IF(R1130=200,サマリー!$B$10,IF(R1130=100,サマリー!$B$11,0)))+IF(S1130="",0,S1130*サマリー!$B$12)</f>
        <v>0</v>
      </c>
      <c r="D1130" s="27">
        <f>T1130+U1130+V1130+W1130+X1130+IF(Y1130="",0,Y1130*サマリー!$B$9)+IF(Z1130="",0,IF(Z1130=200,サマリー!$B$10,IF(Z1130=100,サマリー!$B$11,0)))+IF(AA1130="",0,AA1130*サマリー!$B$12)</f>
        <v>0</v>
      </c>
      <c r="E1130" s="27">
        <f t="shared" si="34"/>
        <v>0</v>
      </c>
      <c r="I1130" s="30"/>
      <c r="J1130" s="30"/>
      <c r="K1130" s="30"/>
      <c r="L1130" s="30"/>
      <c r="M1130" s="30"/>
      <c r="N1130" s="30"/>
      <c r="O1130" s="30"/>
      <c r="P1130" s="30"/>
      <c r="Q1130" s="31"/>
      <c r="R1130" s="31"/>
      <c r="S1130" s="31"/>
      <c r="T1130" s="32"/>
      <c r="U1130" s="32"/>
      <c r="V1130" s="32"/>
      <c r="W1130" s="32"/>
      <c r="X1130" s="32"/>
      <c r="Y1130" s="33"/>
      <c r="Z1130" s="33"/>
      <c r="AA1130" s="33"/>
    </row>
    <row r="1131" spans="1:27">
      <c r="A1131" s="29"/>
      <c r="B1131" s="19">
        <f t="shared" si="35"/>
        <v>46327</v>
      </c>
      <c r="C1131" s="27">
        <f>I1131+J1131+K1131+L1131+M1131+N1131+O1131+P1131+IF(Q1131="",0,Q1131*サマリー!$B$9)+IF(R1131="",0,IF(R1131=200,サマリー!$B$10,IF(R1131=100,サマリー!$B$11,0)))+IF(S1131="",0,S1131*サマリー!$B$12)</f>
        <v>0</v>
      </c>
      <c r="D1131" s="27">
        <f>T1131+U1131+V1131+W1131+X1131+IF(Y1131="",0,Y1131*サマリー!$B$9)+IF(Z1131="",0,IF(Z1131=200,サマリー!$B$10,IF(Z1131=100,サマリー!$B$11,0)))+IF(AA1131="",0,AA1131*サマリー!$B$12)</f>
        <v>0</v>
      </c>
      <c r="E1131" s="27">
        <f t="shared" si="34"/>
        <v>0</v>
      </c>
      <c r="I1131" s="30"/>
      <c r="J1131" s="30"/>
      <c r="K1131" s="30"/>
      <c r="L1131" s="30"/>
      <c r="M1131" s="30"/>
      <c r="N1131" s="30"/>
      <c r="O1131" s="30"/>
      <c r="P1131" s="30"/>
      <c r="Q1131" s="31"/>
      <c r="R1131" s="31"/>
      <c r="S1131" s="31"/>
      <c r="T1131" s="32"/>
      <c r="U1131" s="32"/>
      <c r="V1131" s="32"/>
      <c r="W1131" s="32"/>
      <c r="X1131" s="32"/>
      <c r="Y1131" s="33"/>
      <c r="Z1131" s="33"/>
      <c r="AA1131" s="33"/>
    </row>
    <row r="1132" spans="1:27">
      <c r="A1132" s="29"/>
      <c r="B1132" s="19">
        <f t="shared" si="35"/>
        <v>46327</v>
      </c>
      <c r="C1132" s="27">
        <f>I1132+J1132+K1132+L1132+M1132+N1132+O1132+P1132+IF(Q1132="",0,Q1132*サマリー!$B$9)+IF(R1132="",0,IF(R1132=200,サマリー!$B$10,IF(R1132=100,サマリー!$B$11,0)))+IF(S1132="",0,S1132*サマリー!$B$12)</f>
        <v>0</v>
      </c>
      <c r="D1132" s="27">
        <f>T1132+U1132+V1132+W1132+X1132+IF(Y1132="",0,Y1132*サマリー!$B$9)+IF(Z1132="",0,IF(Z1132=200,サマリー!$B$10,IF(Z1132=100,サマリー!$B$11,0)))+IF(AA1132="",0,AA1132*サマリー!$B$12)</f>
        <v>0</v>
      </c>
      <c r="E1132" s="27">
        <f t="shared" si="34"/>
        <v>0</v>
      </c>
      <c r="I1132" s="30"/>
      <c r="J1132" s="30"/>
      <c r="K1132" s="30"/>
      <c r="L1132" s="30"/>
      <c r="M1132" s="30"/>
      <c r="N1132" s="30"/>
      <c r="O1132" s="30"/>
      <c r="P1132" s="30"/>
      <c r="Q1132" s="31"/>
      <c r="R1132" s="31"/>
      <c r="S1132" s="31"/>
      <c r="T1132" s="32"/>
      <c r="U1132" s="32"/>
      <c r="V1132" s="32"/>
      <c r="W1132" s="32"/>
      <c r="X1132" s="32"/>
      <c r="Y1132" s="33"/>
      <c r="Z1132" s="33"/>
      <c r="AA1132" s="33"/>
    </row>
    <row r="1133" spans="1:27">
      <c r="A1133" s="29"/>
      <c r="B1133" s="19">
        <f t="shared" si="35"/>
        <v>46327</v>
      </c>
      <c r="C1133" s="27">
        <f>I1133+J1133+K1133+L1133+M1133+N1133+O1133+P1133+IF(Q1133="",0,Q1133*サマリー!$B$9)+IF(R1133="",0,IF(R1133=200,サマリー!$B$10,IF(R1133=100,サマリー!$B$11,0)))+IF(S1133="",0,S1133*サマリー!$B$12)</f>
        <v>0</v>
      </c>
      <c r="D1133" s="27">
        <f>T1133+U1133+V1133+W1133+X1133+IF(Y1133="",0,Y1133*サマリー!$B$9)+IF(Z1133="",0,IF(Z1133=200,サマリー!$B$10,IF(Z1133=100,サマリー!$B$11,0)))+IF(AA1133="",0,AA1133*サマリー!$B$12)</f>
        <v>0</v>
      </c>
      <c r="E1133" s="27">
        <f t="shared" si="34"/>
        <v>0</v>
      </c>
      <c r="I1133" s="30"/>
      <c r="J1133" s="30"/>
      <c r="K1133" s="30"/>
      <c r="L1133" s="30"/>
      <c r="M1133" s="30"/>
      <c r="N1133" s="30"/>
      <c r="O1133" s="30"/>
      <c r="P1133" s="30"/>
      <c r="Q1133" s="31"/>
      <c r="R1133" s="31"/>
      <c r="S1133" s="31"/>
      <c r="T1133" s="32"/>
      <c r="U1133" s="32"/>
      <c r="V1133" s="32"/>
      <c r="W1133" s="32"/>
      <c r="X1133" s="32"/>
      <c r="Y1133" s="33"/>
      <c r="Z1133" s="33"/>
      <c r="AA1133" s="33"/>
    </row>
    <row r="1134" spans="1:27">
      <c r="A1134" s="29"/>
      <c r="B1134" s="19">
        <f t="shared" si="35"/>
        <v>46327</v>
      </c>
      <c r="C1134" s="27">
        <f>I1134+J1134+K1134+L1134+M1134+N1134+O1134+P1134+IF(Q1134="",0,Q1134*サマリー!$B$9)+IF(R1134="",0,IF(R1134=200,サマリー!$B$10,IF(R1134=100,サマリー!$B$11,0)))+IF(S1134="",0,S1134*サマリー!$B$12)</f>
        <v>0</v>
      </c>
      <c r="D1134" s="27">
        <f>T1134+U1134+V1134+W1134+X1134+IF(Y1134="",0,Y1134*サマリー!$B$9)+IF(Z1134="",0,IF(Z1134=200,サマリー!$B$10,IF(Z1134=100,サマリー!$B$11,0)))+IF(AA1134="",0,AA1134*サマリー!$B$12)</f>
        <v>0</v>
      </c>
      <c r="E1134" s="27">
        <f t="shared" si="34"/>
        <v>0</v>
      </c>
      <c r="I1134" s="30"/>
      <c r="J1134" s="30"/>
      <c r="K1134" s="30"/>
      <c r="L1134" s="30"/>
      <c r="M1134" s="30"/>
      <c r="N1134" s="30"/>
      <c r="O1134" s="30"/>
      <c r="P1134" s="30"/>
      <c r="Q1134" s="31"/>
      <c r="R1134" s="31"/>
      <c r="S1134" s="31"/>
      <c r="T1134" s="32"/>
      <c r="U1134" s="32"/>
      <c r="V1134" s="32"/>
      <c r="W1134" s="32"/>
      <c r="X1134" s="32"/>
      <c r="Y1134" s="33"/>
      <c r="Z1134" s="33"/>
      <c r="AA1134" s="33"/>
    </row>
    <row r="1135" spans="1:27">
      <c r="A1135" s="29"/>
      <c r="B1135" s="19">
        <f t="shared" si="35"/>
        <v>46327</v>
      </c>
      <c r="C1135" s="27">
        <f>I1135+J1135+K1135+L1135+M1135+N1135+O1135+P1135+IF(Q1135="",0,Q1135*サマリー!$B$9)+IF(R1135="",0,IF(R1135=200,サマリー!$B$10,IF(R1135=100,サマリー!$B$11,0)))+IF(S1135="",0,S1135*サマリー!$B$12)</f>
        <v>0</v>
      </c>
      <c r="D1135" s="27">
        <f>T1135+U1135+V1135+W1135+X1135+IF(Y1135="",0,Y1135*サマリー!$B$9)+IF(Z1135="",0,IF(Z1135=200,サマリー!$B$10,IF(Z1135=100,サマリー!$B$11,0)))+IF(AA1135="",0,AA1135*サマリー!$B$12)</f>
        <v>0</v>
      </c>
      <c r="E1135" s="27">
        <f t="shared" si="34"/>
        <v>0</v>
      </c>
      <c r="I1135" s="30"/>
      <c r="J1135" s="30"/>
      <c r="K1135" s="30"/>
      <c r="L1135" s="30"/>
      <c r="M1135" s="30"/>
      <c r="N1135" s="30"/>
      <c r="O1135" s="30"/>
      <c r="P1135" s="30"/>
      <c r="Q1135" s="31"/>
      <c r="R1135" s="31"/>
      <c r="S1135" s="31"/>
      <c r="T1135" s="32"/>
      <c r="U1135" s="32"/>
      <c r="V1135" s="32"/>
      <c r="W1135" s="32"/>
      <c r="X1135" s="32"/>
      <c r="Y1135" s="33"/>
      <c r="Z1135" s="33"/>
      <c r="AA1135" s="33"/>
    </row>
    <row r="1136" spans="1:27">
      <c r="A1136" s="29"/>
      <c r="B1136" s="19">
        <f t="shared" si="35"/>
        <v>46327</v>
      </c>
      <c r="C1136" s="27">
        <f>I1136+J1136+K1136+L1136+M1136+N1136+O1136+P1136+IF(Q1136="",0,Q1136*サマリー!$B$9)+IF(R1136="",0,IF(R1136=200,サマリー!$B$10,IF(R1136=100,サマリー!$B$11,0)))+IF(S1136="",0,S1136*サマリー!$B$12)</f>
        <v>0</v>
      </c>
      <c r="D1136" s="27">
        <f>T1136+U1136+V1136+W1136+X1136+IF(Y1136="",0,Y1136*サマリー!$B$9)+IF(Z1136="",0,IF(Z1136=200,サマリー!$B$10,IF(Z1136=100,サマリー!$B$11,0)))+IF(AA1136="",0,AA1136*サマリー!$B$12)</f>
        <v>0</v>
      </c>
      <c r="E1136" s="27">
        <f t="shared" si="34"/>
        <v>0</v>
      </c>
      <c r="I1136" s="30"/>
      <c r="J1136" s="30"/>
      <c r="K1136" s="30"/>
      <c r="L1136" s="30"/>
      <c r="M1136" s="30"/>
      <c r="N1136" s="30"/>
      <c r="O1136" s="30"/>
      <c r="P1136" s="30"/>
      <c r="Q1136" s="31"/>
      <c r="R1136" s="31"/>
      <c r="S1136" s="31"/>
      <c r="T1136" s="32"/>
      <c r="U1136" s="32"/>
      <c r="V1136" s="32"/>
      <c r="W1136" s="32"/>
      <c r="X1136" s="32"/>
      <c r="Y1136" s="33"/>
      <c r="Z1136" s="33"/>
      <c r="AA1136" s="33"/>
    </row>
    <row r="1137" spans="1:27">
      <c r="A1137" s="29"/>
      <c r="B1137" s="19">
        <f t="shared" si="35"/>
        <v>46327</v>
      </c>
      <c r="C1137" s="27">
        <f>I1137+J1137+K1137+L1137+M1137+N1137+O1137+P1137+IF(Q1137="",0,Q1137*サマリー!$B$9)+IF(R1137="",0,IF(R1137=200,サマリー!$B$10,IF(R1137=100,サマリー!$B$11,0)))+IF(S1137="",0,S1137*サマリー!$B$12)</f>
        <v>0</v>
      </c>
      <c r="D1137" s="27">
        <f>T1137+U1137+V1137+W1137+X1137+IF(Y1137="",0,Y1137*サマリー!$B$9)+IF(Z1137="",0,IF(Z1137=200,サマリー!$B$10,IF(Z1137=100,サマリー!$B$11,0)))+IF(AA1137="",0,AA1137*サマリー!$B$12)</f>
        <v>0</v>
      </c>
      <c r="E1137" s="27">
        <f t="shared" si="34"/>
        <v>0</v>
      </c>
      <c r="I1137" s="30"/>
      <c r="J1137" s="30"/>
      <c r="K1137" s="30"/>
      <c r="L1137" s="30"/>
      <c r="M1137" s="30"/>
      <c r="N1137" s="30"/>
      <c r="O1137" s="30"/>
      <c r="P1137" s="30"/>
      <c r="Q1137" s="31"/>
      <c r="R1137" s="31"/>
      <c r="S1137" s="31"/>
      <c r="T1137" s="32"/>
      <c r="U1137" s="32"/>
      <c r="V1137" s="32"/>
      <c r="W1137" s="32"/>
      <c r="X1137" s="32"/>
      <c r="Y1137" s="33"/>
      <c r="Z1137" s="33"/>
      <c r="AA1137" s="33"/>
    </row>
    <row r="1138" spans="1:27">
      <c r="A1138" s="29"/>
      <c r="B1138" s="19">
        <f t="shared" si="35"/>
        <v>46327</v>
      </c>
      <c r="C1138" s="27">
        <f>I1138+J1138+K1138+L1138+M1138+N1138+O1138+P1138+IF(Q1138="",0,Q1138*サマリー!$B$9)+IF(R1138="",0,IF(R1138=200,サマリー!$B$10,IF(R1138=100,サマリー!$B$11,0)))+IF(S1138="",0,S1138*サマリー!$B$12)</f>
        <v>0</v>
      </c>
      <c r="D1138" s="27">
        <f>T1138+U1138+V1138+W1138+X1138+IF(Y1138="",0,Y1138*サマリー!$B$9)+IF(Z1138="",0,IF(Z1138=200,サマリー!$B$10,IF(Z1138=100,サマリー!$B$11,0)))+IF(AA1138="",0,AA1138*サマリー!$B$12)</f>
        <v>0</v>
      </c>
      <c r="E1138" s="27">
        <f t="shared" si="34"/>
        <v>0</v>
      </c>
      <c r="I1138" s="30"/>
      <c r="J1138" s="30"/>
      <c r="K1138" s="30"/>
      <c r="L1138" s="30"/>
      <c r="M1138" s="30"/>
      <c r="N1138" s="30"/>
      <c r="O1138" s="30"/>
      <c r="P1138" s="30"/>
      <c r="Q1138" s="31"/>
      <c r="R1138" s="31"/>
      <c r="S1138" s="31"/>
      <c r="T1138" s="32"/>
      <c r="U1138" s="32"/>
      <c r="V1138" s="32"/>
      <c r="W1138" s="32"/>
      <c r="X1138" s="32"/>
      <c r="Y1138" s="33"/>
      <c r="Z1138" s="33"/>
      <c r="AA1138" s="33"/>
    </row>
    <row r="1139" spans="1:27">
      <c r="A1139" s="29"/>
      <c r="B1139" s="19">
        <f t="shared" si="35"/>
        <v>46327</v>
      </c>
      <c r="C1139" s="27">
        <f>I1139+J1139+K1139+L1139+M1139+N1139+O1139+P1139+IF(Q1139="",0,Q1139*サマリー!$B$9)+IF(R1139="",0,IF(R1139=200,サマリー!$B$10,IF(R1139=100,サマリー!$B$11,0)))+IF(S1139="",0,S1139*サマリー!$B$12)</f>
        <v>0</v>
      </c>
      <c r="D1139" s="27">
        <f>T1139+U1139+V1139+W1139+X1139+IF(Y1139="",0,Y1139*サマリー!$B$9)+IF(Z1139="",0,IF(Z1139=200,サマリー!$B$10,IF(Z1139=100,サマリー!$B$11,0)))+IF(AA1139="",0,AA1139*サマリー!$B$12)</f>
        <v>0</v>
      </c>
      <c r="E1139" s="27">
        <f t="shared" si="34"/>
        <v>0</v>
      </c>
      <c r="I1139" s="30"/>
      <c r="J1139" s="30"/>
      <c r="K1139" s="30"/>
      <c r="L1139" s="30"/>
      <c r="M1139" s="30"/>
      <c r="N1139" s="30"/>
      <c r="O1139" s="30"/>
      <c r="P1139" s="30"/>
      <c r="Q1139" s="31"/>
      <c r="R1139" s="31"/>
      <c r="S1139" s="31"/>
      <c r="T1139" s="32"/>
      <c r="U1139" s="32"/>
      <c r="V1139" s="32"/>
      <c r="W1139" s="32"/>
      <c r="X1139" s="32"/>
      <c r="Y1139" s="33"/>
      <c r="Z1139" s="33"/>
      <c r="AA1139" s="33"/>
    </row>
    <row r="1140" spans="1:27">
      <c r="A1140" s="29"/>
      <c r="B1140" s="19">
        <f t="shared" si="35"/>
        <v>46327</v>
      </c>
      <c r="C1140" s="27">
        <f>I1140+J1140+K1140+L1140+M1140+N1140+O1140+P1140+IF(Q1140="",0,Q1140*サマリー!$B$9)+IF(R1140="",0,IF(R1140=200,サマリー!$B$10,IF(R1140=100,サマリー!$B$11,0)))+IF(S1140="",0,S1140*サマリー!$B$12)</f>
        <v>0</v>
      </c>
      <c r="D1140" s="27">
        <f>T1140+U1140+V1140+W1140+X1140+IF(Y1140="",0,Y1140*サマリー!$B$9)+IF(Z1140="",0,IF(Z1140=200,サマリー!$B$10,IF(Z1140=100,サマリー!$B$11,0)))+IF(AA1140="",0,AA1140*サマリー!$B$12)</f>
        <v>0</v>
      </c>
      <c r="E1140" s="27">
        <f t="shared" si="34"/>
        <v>0</v>
      </c>
      <c r="I1140" s="30"/>
      <c r="J1140" s="30"/>
      <c r="K1140" s="30"/>
      <c r="L1140" s="30"/>
      <c r="M1140" s="30"/>
      <c r="N1140" s="30"/>
      <c r="O1140" s="30"/>
      <c r="P1140" s="30"/>
      <c r="Q1140" s="31"/>
      <c r="R1140" s="31"/>
      <c r="S1140" s="31"/>
      <c r="T1140" s="32"/>
      <c r="U1140" s="32"/>
      <c r="V1140" s="32"/>
      <c r="W1140" s="32"/>
      <c r="X1140" s="32"/>
      <c r="Y1140" s="33"/>
      <c r="Z1140" s="33"/>
      <c r="AA1140" s="33"/>
    </row>
    <row r="1141" spans="1:27">
      <c r="A1141" s="29"/>
      <c r="B1141" s="19">
        <f t="shared" si="35"/>
        <v>46327</v>
      </c>
      <c r="C1141" s="27">
        <f>I1141+J1141+K1141+L1141+M1141+N1141+O1141+P1141+IF(Q1141="",0,Q1141*サマリー!$B$9)+IF(R1141="",0,IF(R1141=200,サマリー!$B$10,IF(R1141=100,サマリー!$B$11,0)))+IF(S1141="",0,S1141*サマリー!$B$12)</f>
        <v>0</v>
      </c>
      <c r="D1141" s="27">
        <f>T1141+U1141+V1141+W1141+X1141+IF(Y1141="",0,Y1141*サマリー!$B$9)+IF(Z1141="",0,IF(Z1141=200,サマリー!$B$10,IF(Z1141=100,サマリー!$B$11,0)))+IF(AA1141="",0,AA1141*サマリー!$B$12)</f>
        <v>0</v>
      </c>
      <c r="E1141" s="27">
        <f t="shared" si="34"/>
        <v>0</v>
      </c>
      <c r="I1141" s="30"/>
      <c r="J1141" s="30"/>
      <c r="K1141" s="30"/>
      <c r="L1141" s="30"/>
      <c r="M1141" s="30"/>
      <c r="N1141" s="30"/>
      <c r="O1141" s="30"/>
      <c r="P1141" s="30"/>
      <c r="Q1141" s="31"/>
      <c r="R1141" s="31"/>
      <c r="S1141" s="31"/>
      <c r="T1141" s="32"/>
      <c r="U1141" s="32"/>
      <c r="V1141" s="32"/>
      <c r="W1141" s="32"/>
      <c r="X1141" s="32"/>
      <c r="Y1141" s="33"/>
      <c r="Z1141" s="33"/>
      <c r="AA1141" s="33"/>
    </row>
    <row r="1142" spans="1:27">
      <c r="A1142" s="29"/>
      <c r="B1142" s="19">
        <f t="shared" si="35"/>
        <v>46327</v>
      </c>
      <c r="C1142" s="27">
        <f>I1142+J1142+K1142+L1142+M1142+N1142+O1142+P1142+IF(Q1142="",0,Q1142*サマリー!$B$9)+IF(R1142="",0,IF(R1142=200,サマリー!$B$10,IF(R1142=100,サマリー!$B$11,0)))+IF(S1142="",0,S1142*サマリー!$B$12)</f>
        <v>0</v>
      </c>
      <c r="D1142" s="27">
        <f>T1142+U1142+V1142+W1142+X1142+IF(Y1142="",0,Y1142*サマリー!$B$9)+IF(Z1142="",0,IF(Z1142=200,サマリー!$B$10,IF(Z1142=100,サマリー!$B$11,0)))+IF(AA1142="",0,AA1142*サマリー!$B$12)</f>
        <v>0</v>
      </c>
      <c r="E1142" s="27">
        <f t="shared" si="34"/>
        <v>0</v>
      </c>
      <c r="I1142" s="30"/>
      <c r="J1142" s="30"/>
      <c r="K1142" s="30"/>
      <c r="L1142" s="30"/>
      <c r="M1142" s="30"/>
      <c r="N1142" s="30"/>
      <c r="O1142" s="30"/>
      <c r="P1142" s="30"/>
      <c r="Q1142" s="31"/>
      <c r="R1142" s="31"/>
      <c r="S1142" s="31"/>
      <c r="T1142" s="32"/>
      <c r="U1142" s="32"/>
      <c r="V1142" s="32"/>
      <c r="W1142" s="32"/>
      <c r="X1142" s="32"/>
      <c r="Y1142" s="33"/>
      <c r="Z1142" s="33"/>
      <c r="AA1142" s="33"/>
    </row>
    <row r="1143" spans="1:27">
      <c r="A1143" s="29"/>
      <c r="B1143" s="19">
        <f t="shared" si="35"/>
        <v>46327</v>
      </c>
      <c r="C1143" s="27">
        <f>I1143+J1143+K1143+L1143+M1143+N1143+O1143+P1143+IF(Q1143="",0,Q1143*サマリー!$B$9)+IF(R1143="",0,IF(R1143=200,サマリー!$B$10,IF(R1143=100,サマリー!$B$11,0)))+IF(S1143="",0,S1143*サマリー!$B$12)</f>
        <v>0</v>
      </c>
      <c r="D1143" s="27">
        <f>T1143+U1143+V1143+W1143+X1143+IF(Y1143="",0,Y1143*サマリー!$B$9)+IF(Z1143="",0,IF(Z1143=200,サマリー!$B$10,IF(Z1143=100,サマリー!$B$11,0)))+IF(AA1143="",0,AA1143*サマリー!$B$12)</f>
        <v>0</v>
      </c>
      <c r="E1143" s="27">
        <f t="shared" si="34"/>
        <v>0</v>
      </c>
      <c r="I1143" s="30"/>
      <c r="J1143" s="30"/>
      <c r="K1143" s="30"/>
      <c r="L1143" s="30"/>
      <c r="M1143" s="30"/>
      <c r="N1143" s="30"/>
      <c r="O1143" s="30"/>
      <c r="P1143" s="30"/>
      <c r="Q1143" s="31"/>
      <c r="R1143" s="31"/>
      <c r="S1143" s="31"/>
      <c r="T1143" s="32"/>
      <c r="U1143" s="32"/>
      <c r="V1143" s="32"/>
      <c r="W1143" s="32"/>
      <c r="X1143" s="32"/>
      <c r="Y1143" s="33"/>
      <c r="Z1143" s="33"/>
      <c r="AA1143" s="33"/>
    </row>
    <row r="1144" spans="1:27">
      <c r="A1144" s="29"/>
      <c r="B1144" s="19">
        <f t="shared" si="35"/>
        <v>46327</v>
      </c>
      <c r="C1144" s="27">
        <f>I1144+J1144+K1144+L1144+M1144+N1144+O1144+P1144+IF(Q1144="",0,Q1144*サマリー!$B$9)+IF(R1144="",0,IF(R1144=200,サマリー!$B$10,IF(R1144=100,サマリー!$B$11,0)))+IF(S1144="",0,S1144*サマリー!$B$12)</f>
        <v>0</v>
      </c>
      <c r="D1144" s="27">
        <f>T1144+U1144+V1144+W1144+X1144+IF(Y1144="",0,Y1144*サマリー!$B$9)+IF(Z1144="",0,IF(Z1144=200,サマリー!$B$10,IF(Z1144=100,サマリー!$B$11,0)))+IF(AA1144="",0,AA1144*サマリー!$B$12)</f>
        <v>0</v>
      </c>
      <c r="E1144" s="27">
        <f t="shared" si="34"/>
        <v>0</v>
      </c>
      <c r="I1144" s="30"/>
      <c r="J1144" s="30"/>
      <c r="K1144" s="30"/>
      <c r="L1144" s="30"/>
      <c r="M1144" s="30"/>
      <c r="N1144" s="30"/>
      <c r="O1144" s="30"/>
      <c r="P1144" s="30"/>
      <c r="Q1144" s="31"/>
      <c r="R1144" s="31"/>
      <c r="S1144" s="31"/>
      <c r="T1144" s="32"/>
      <c r="U1144" s="32"/>
      <c r="V1144" s="32"/>
      <c r="W1144" s="32"/>
      <c r="X1144" s="32"/>
      <c r="Y1144" s="33"/>
      <c r="Z1144" s="33"/>
      <c r="AA1144" s="33"/>
    </row>
    <row r="1145" spans="1:27">
      <c r="A1145" s="29"/>
      <c r="B1145" s="19">
        <f t="shared" si="35"/>
        <v>46327</v>
      </c>
      <c r="C1145" s="27">
        <f>I1145+J1145+K1145+L1145+M1145+N1145+O1145+P1145+IF(Q1145="",0,Q1145*サマリー!$B$9)+IF(R1145="",0,IF(R1145=200,サマリー!$B$10,IF(R1145=100,サマリー!$B$11,0)))+IF(S1145="",0,S1145*サマリー!$B$12)</f>
        <v>0</v>
      </c>
      <c r="D1145" s="27">
        <f>T1145+U1145+V1145+W1145+X1145+IF(Y1145="",0,Y1145*サマリー!$B$9)+IF(Z1145="",0,IF(Z1145=200,サマリー!$B$10,IF(Z1145=100,サマリー!$B$11,0)))+IF(AA1145="",0,AA1145*サマリー!$B$12)</f>
        <v>0</v>
      </c>
      <c r="E1145" s="27">
        <f t="shared" si="34"/>
        <v>0</v>
      </c>
      <c r="I1145" s="30"/>
      <c r="J1145" s="30"/>
      <c r="K1145" s="30"/>
      <c r="L1145" s="30"/>
      <c r="M1145" s="30"/>
      <c r="N1145" s="30"/>
      <c r="O1145" s="30"/>
      <c r="P1145" s="30"/>
      <c r="Q1145" s="31"/>
      <c r="R1145" s="31"/>
      <c r="S1145" s="31"/>
      <c r="T1145" s="32"/>
      <c r="U1145" s="32"/>
      <c r="V1145" s="32"/>
      <c r="W1145" s="32"/>
      <c r="X1145" s="32"/>
      <c r="Y1145" s="33"/>
      <c r="Z1145" s="33"/>
      <c r="AA1145" s="33"/>
    </row>
    <row r="1146" spans="1:27">
      <c r="A1146" s="29"/>
      <c r="B1146" s="19">
        <f t="shared" si="35"/>
        <v>46327</v>
      </c>
      <c r="C1146" s="27">
        <f>I1146+J1146+K1146+L1146+M1146+N1146+O1146+P1146+IF(Q1146="",0,Q1146*サマリー!$B$9)+IF(R1146="",0,IF(R1146=200,サマリー!$B$10,IF(R1146=100,サマリー!$B$11,0)))+IF(S1146="",0,S1146*サマリー!$B$12)</f>
        <v>0</v>
      </c>
      <c r="D1146" s="27">
        <f>T1146+U1146+V1146+W1146+X1146+IF(Y1146="",0,Y1146*サマリー!$B$9)+IF(Z1146="",0,IF(Z1146=200,サマリー!$B$10,IF(Z1146=100,サマリー!$B$11,0)))+IF(AA1146="",0,AA1146*サマリー!$B$12)</f>
        <v>0</v>
      </c>
      <c r="E1146" s="27">
        <f t="shared" si="34"/>
        <v>0</v>
      </c>
      <c r="I1146" s="30"/>
      <c r="J1146" s="30"/>
      <c r="K1146" s="30"/>
      <c r="L1146" s="30"/>
      <c r="M1146" s="30"/>
      <c r="N1146" s="30"/>
      <c r="O1146" s="30"/>
      <c r="P1146" s="30"/>
      <c r="Q1146" s="31"/>
      <c r="R1146" s="31"/>
      <c r="S1146" s="31"/>
      <c r="T1146" s="32"/>
      <c r="U1146" s="32"/>
      <c r="V1146" s="32"/>
      <c r="W1146" s="32"/>
      <c r="X1146" s="32"/>
      <c r="Y1146" s="33"/>
      <c r="Z1146" s="33"/>
      <c r="AA1146" s="33"/>
    </row>
    <row r="1147" spans="1:27">
      <c r="A1147" s="29"/>
      <c r="B1147" s="19">
        <f t="shared" si="35"/>
        <v>46327</v>
      </c>
      <c r="C1147" s="27">
        <f>I1147+J1147+K1147+L1147+M1147+N1147+O1147+P1147+IF(Q1147="",0,Q1147*サマリー!$B$9)+IF(R1147="",0,IF(R1147=200,サマリー!$B$10,IF(R1147=100,サマリー!$B$11,0)))+IF(S1147="",0,S1147*サマリー!$B$12)</f>
        <v>0</v>
      </c>
      <c r="D1147" s="27">
        <f>T1147+U1147+V1147+W1147+X1147+IF(Y1147="",0,Y1147*サマリー!$B$9)+IF(Z1147="",0,IF(Z1147=200,サマリー!$B$10,IF(Z1147=100,サマリー!$B$11,0)))+IF(AA1147="",0,AA1147*サマリー!$B$12)</f>
        <v>0</v>
      </c>
      <c r="E1147" s="27">
        <f t="shared" si="34"/>
        <v>0</v>
      </c>
      <c r="I1147" s="30"/>
      <c r="J1147" s="30"/>
      <c r="K1147" s="30"/>
      <c r="L1147" s="30"/>
      <c r="M1147" s="30"/>
      <c r="N1147" s="30"/>
      <c r="O1147" s="30"/>
      <c r="P1147" s="30"/>
      <c r="Q1147" s="31"/>
      <c r="R1147" s="31"/>
      <c r="S1147" s="31"/>
      <c r="T1147" s="32"/>
      <c r="U1147" s="32"/>
      <c r="V1147" s="32"/>
      <c r="W1147" s="32"/>
      <c r="X1147" s="32"/>
      <c r="Y1147" s="33"/>
      <c r="Z1147" s="33"/>
      <c r="AA1147" s="33"/>
    </row>
    <row r="1148" spans="1:27">
      <c r="A1148" s="29"/>
      <c r="B1148" s="19">
        <f t="shared" si="35"/>
        <v>46327</v>
      </c>
      <c r="C1148" s="27">
        <f>I1148+J1148+K1148+L1148+M1148+N1148+O1148+P1148+IF(Q1148="",0,Q1148*サマリー!$B$9)+IF(R1148="",0,IF(R1148=200,サマリー!$B$10,IF(R1148=100,サマリー!$B$11,0)))+IF(S1148="",0,S1148*サマリー!$B$12)</f>
        <v>0</v>
      </c>
      <c r="D1148" s="27">
        <f>T1148+U1148+V1148+W1148+X1148+IF(Y1148="",0,Y1148*サマリー!$B$9)+IF(Z1148="",0,IF(Z1148=200,サマリー!$B$10,IF(Z1148=100,サマリー!$B$11,0)))+IF(AA1148="",0,AA1148*サマリー!$B$12)</f>
        <v>0</v>
      </c>
      <c r="E1148" s="27">
        <f t="shared" si="34"/>
        <v>0</v>
      </c>
      <c r="I1148" s="30"/>
      <c r="J1148" s="30"/>
      <c r="K1148" s="30"/>
      <c r="L1148" s="30"/>
      <c r="M1148" s="30"/>
      <c r="N1148" s="30"/>
      <c r="O1148" s="30"/>
      <c r="P1148" s="30"/>
      <c r="Q1148" s="31"/>
      <c r="R1148" s="31"/>
      <c r="S1148" s="31"/>
      <c r="T1148" s="32"/>
      <c r="U1148" s="32"/>
      <c r="V1148" s="32"/>
      <c r="W1148" s="32"/>
      <c r="X1148" s="32"/>
      <c r="Y1148" s="33"/>
      <c r="Z1148" s="33"/>
      <c r="AA1148" s="33"/>
    </row>
    <row r="1149" spans="1:27">
      <c r="A1149" s="29"/>
      <c r="B1149" s="19">
        <f t="shared" si="35"/>
        <v>46327</v>
      </c>
      <c r="C1149" s="27">
        <f>I1149+J1149+K1149+L1149+M1149+N1149+O1149+P1149+IF(Q1149="",0,Q1149*サマリー!$B$9)+IF(R1149="",0,IF(R1149=200,サマリー!$B$10,IF(R1149=100,サマリー!$B$11,0)))+IF(S1149="",0,S1149*サマリー!$B$12)</f>
        <v>0</v>
      </c>
      <c r="D1149" s="27">
        <f>T1149+U1149+V1149+W1149+X1149+IF(Y1149="",0,Y1149*サマリー!$B$9)+IF(Z1149="",0,IF(Z1149=200,サマリー!$B$10,IF(Z1149=100,サマリー!$B$11,0)))+IF(AA1149="",0,AA1149*サマリー!$B$12)</f>
        <v>0</v>
      </c>
      <c r="E1149" s="27">
        <f t="shared" si="34"/>
        <v>0</v>
      </c>
      <c r="I1149" s="30"/>
      <c r="J1149" s="30"/>
      <c r="K1149" s="30"/>
      <c r="L1149" s="30"/>
      <c r="M1149" s="30"/>
      <c r="N1149" s="30"/>
      <c r="O1149" s="30"/>
      <c r="P1149" s="30"/>
      <c r="Q1149" s="31"/>
      <c r="R1149" s="31"/>
      <c r="S1149" s="31"/>
      <c r="T1149" s="32"/>
      <c r="U1149" s="32"/>
      <c r="V1149" s="32"/>
      <c r="W1149" s="32"/>
      <c r="X1149" s="32"/>
      <c r="Y1149" s="33"/>
      <c r="Z1149" s="33"/>
      <c r="AA1149" s="33"/>
    </row>
    <row r="1150" spans="1:27">
      <c r="A1150" s="29"/>
      <c r="B1150" s="19">
        <f t="shared" si="35"/>
        <v>46327</v>
      </c>
      <c r="C1150" s="27">
        <f>I1150+J1150+K1150+L1150+M1150+N1150+O1150+P1150+IF(Q1150="",0,Q1150*サマリー!$B$9)+IF(R1150="",0,IF(R1150=200,サマリー!$B$10,IF(R1150=100,サマリー!$B$11,0)))+IF(S1150="",0,S1150*サマリー!$B$12)</f>
        <v>0</v>
      </c>
      <c r="D1150" s="27">
        <f>T1150+U1150+V1150+W1150+X1150+IF(Y1150="",0,Y1150*サマリー!$B$9)+IF(Z1150="",0,IF(Z1150=200,サマリー!$B$10,IF(Z1150=100,サマリー!$B$11,0)))+IF(AA1150="",0,AA1150*サマリー!$B$12)</f>
        <v>0</v>
      </c>
      <c r="E1150" s="27">
        <f t="shared" si="34"/>
        <v>0</v>
      </c>
      <c r="I1150" s="30"/>
      <c r="J1150" s="30"/>
      <c r="K1150" s="30"/>
      <c r="L1150" s="30"/>
      <c r="M1150" s="30"/>
      <c r="N1150" s="30"/>
      <c r="O1150" s="30"/>
      <c r="P1150" s="30"/>
      <c r="Q1150" s="31"/>
      <c r="R1150" s="31"/>
      <c r="S1150" s="31"/>
      <c r="T1150" s="32"/>
      <c r="U1150" s="32"/>
      <c r="V1150" s="32"/>
      <c r="W1150" s="32"/>
      <c r="X1150" s="32"/>
      <c r="Y1150" s="33"/>
      <c r="Z1150" s="33"/>
      <c r="AA1150" s="33"/>
    </row>
    <row r="1151" spans="1:27">
      <c r="A1151" s="29"/>
      <c r="B1151" s="19">
        <f t="shared" si="35"/>
        <v>46327</v>
      </c>
      <c r="C1151" s="27">
        <f>I1151+J1151+K1151+L1151+M1151+N1151+O1151+P1151+IF(Q1151="",0,Q1151*サマリー!$B$9)+IF(R1151="",0,IF(R1151=200,サマリー!$B$10,IF(R1151=100,サマリー!$B$11,0)))+IF(S1151="",0,S1151*サマリー!$B$12)</f>
        <v>0</v>
      </c>
      <c r="D1151" s="27">
        <f>T1151+U1151+V1151+W1151+X1151+IF(Y1151="",0,Y1151*サマリー!$B$9)+IF(Z1151="",0,IF(Z1151=200,サマリー!$B$10,IF(Z1151=100,サマリー!$B$11,0)))+IF(AA1151="",0,AA1151*サマリー!$B$12)</f>
        <v>0</v>
      </c>
      <c r="E1151" s="27">
        <f t="shared" si="34"/>
        <v>0</v>
      </c>
      <c r="I1151" s="30"/>
      <c r="J1151" s="30"/>
      <c r="K1151" s="30"/>
      <c r="L1151" s="30"/>
      <c r="M1151" s="30"/>
      <c r="N1151" s="30"/>
      <c r="O1151" s="30"/>
      <c r="P1151" s="30"/>
      <c r="Q1151" s="31"/>
      <c r="R1151" s="31"/>
      <c r="S1151" s="31"/>
      <c r="T1151" s="32"/>
      <c r="U1151" s="32"/>
      <c r="V1151" s="32"/>
      <c r="W1151" s="32"/>
      <c r="X1151" s="32"/>
      <c r="Y1151" s="33"/>
      <c r="Z1151" s="33"/>
      <c r="AA1151" s="33"/>
    </row>
    <row r="1152" spans="1:27">
      <c r="A1152" s="29"/>
      <c r="B1152" s="19">
        <f t="shared" si="35"/>
        <v>46327</v>
      </c>
      <c r="C1152" s="27">
        <f>I1152+J1152+K1152+L1152+M1152+N1152+O1152+P1152+IF(Q1152="",0,Q1152*サマリー!$B$9)+IF(R1152="",0,IF(R1152=200,サマリー!$B$10,IF(R1152=100,サマリー!$B$11,0)))+IF(S1152="",0,S1152*サマリー!$B$12)</f>
        <v>0</v>
      </c>
      <c r="D1152" s="27">
        <f>T1152+U1152+V1152+W1152+X1152+IF(Y1152="",0,Y1152*サマリー!$B$9)+IF(Z1152="",0,IF(Z1152=200,サマリー!$B$10,IF(Z1152=100,サマリー!$B$11,0)))+IF(AA1152="",0,AA1152*サマリー!$B$12)</f>
        <v>0</v>
      </c>
      <c r="E1152" s="27">
        <f t="shared" si="34"/>
        <v>0</v>
      </c>
      <c r="I1152" s="30"/>
      <c r="J1152" s="30"/>
      <c r="K1152" s="30"/>
      <c r="L1152" s="30"/>
      <c r="M1152" s="30"/>
      <c r="N1152" s="30"/>
      <c r="O1152" s="30"/>
      <c r="P1152" s="30"/>
      <c r="Q1152" s="31"/>
      <c r="R1152" s="31"/>
      <c r="S1152" s="31"/>
      <c r="T1152" s="32"/>
      <c r="U1152" s="32"/>
      <c r="V1152" s="32"/>
      <c r="W1152" s="32"/>
      <c r="X1152" s="32"/>
      <c r="Y1152" s="33"/>
      <c r="Z1152" s="33"/>
      <c r="AA1152" s="33"/>
    </row>
    <row r="1153" spans="1:27">
      <c r="A1153" s="29"/>
      <c r="B1153" s="19">
        <f t="shared" si="35"/>
        <v>46327</v>
      </c>
      <c r="C1153" s="27">
        <f>I1153+J1153+K1153+L1153+M1153+N1153+O1153+P1153+IF(Q1153="",0,Q1153*サマリー!$B$9)+IF(R1153="",0,IF(R1153=200,サマリー!$B$10,IF(R1153=100,サマリー!$B$11,0)))+IF(S1153="",0,S1153*サマリー!$B$12)</f>
        <v>0</v>
      </c>
      <c r="D1153" s="27">
        <f>T1153+U1153+V1153+W1153+X1153+IF(Y1153="",0,Y1153*サマリー!$B$9)+IF(Z1153="",0,IF(Z1153=200,サマリー!$B$10,IF(Z1153=100,サマリー!$B$11,0)))+IF(AA1153="",0,AA1153*サマリー!$B$12)</f>
        <v>0</v>
      </c>
      <c r="E1153" s="27">
        <f t="shared" si="34"/>
        <v>0</v>
      </c>
      <c r="I1153" s="30"/>
      <c r="J1153" s="30"/>
      <c r="K1153" s="30"/>
      <c r="L1153" s="30"/>
      <c r="M1153" s="30"/>
      <c r="N1153" s="30"/>
      <c r="O1153" s="30"/>
      <c r="P1153" s="30"/>
      <c r="Q1153" s="31"/>
      <c r="R1153" s="31"/>
      <c r="S1153" s="31"/>
      <c r="T1153" s="32"/>
      <c r="U1153" s="32"/>
      <c r="V1153" s="32"/>
      <c r="W1153" s="32"/>
      <c r="X1153" s="32"/>
      <c r="Y1153" s="33"/>
      <c r="Z1153" s="33"/>
      <c r="AA1153" s="33"/>
    </row>
    <row r="1154" spans="1:27">
      <c r="A1154" s="29"/>
      <c r="B1154" s="19">
        <f t="shared" si="35"/>
        <v>46327</v>
      </c>
      <c r="C1154" s="27">
        <f>I1154+J1154+K1154+L1154+M1154+N1154+O1154+P1154+IF(Q1154="",0,Q1154*サマリー!$B$9)+IF(R1154="",0,IF(R1154=200,サマリー!$B$10,IF(R1154=100,サマリー!$B$11,0)))+IF(S1154="",0,S1154*サマリー!$B$12)</f>
        <v>0</v>
      </c>
      <c r="D1154" s="27">
        <f>T1154+U1154+V1154+W1154+X1154+IF(Y1154="",0,Y1154*サマリー!$B$9)+IF(Z1154="",0,IF(Z1154=200,サマリー!$B$10,IF(Z1154=100,サマリー!$B$11,0)))+IF(AA1154="",0,AA1154*サマリー!$B$12)</f>
        <v>0</v>
      </c>
      <c r="E1154" s="27">
        <f t="shared" si="34"/>
        <v>0</v>
      </c>
      <c r="I1154" s="30"/>
      <c r="J1154" s="30"/>
      <c r="K1154" s="30"/>
      <c r="L1154" s="30"/>
      <c r="M1154" s="30"/>
      <c r="N1154" s="30"/>
      <c r="O1154" s="30"/>
      <c r="P1154" s="30"/>
      <c r="Q1154" s="31"/>
      <c r="R1154" s="31"/>
      <c r="S1154" s="31"/>
      <c r="T1154" s="32"/>
      <c r="U1154" s="32"/>
      <c r="V1154" s="32"/>
      <c r="W1154" s="32"/>
      <c r="X1154" s="32"/>
      <c r="Y1154" s="33"/>
      <c r="Z1154" s="33"/>
      <c r="AA1154" s="33"/>
    </row>
    <row r="1155" spans="1:27">
      <c r="A1155" s="29"/>
      <c r="B1155" s="19">
        <f t="shared" si="35"/>
        <v>46327</v>
      </c>
      <c r="C1155" s="27">
        <f>I1155+J1155+K1155+L1155+M1155+N1155+O1155+P1155+IF(Q1155="",0,Q1155*サマリー!$B$9)+IF(R1155="",0,IF(R1155=200,サマリー!$B$10,IF(R1155=100,サマリー!$B$11,0)))+IF(S1155="",0,S1155*サマリー!$B$12)</f>
        <v>0</v>
      </c>
      <c r="D1155" s="27">
        <f>T1155+U1155+V1155+W1155+X1155+IF(Y1155="",0,Y1155*サマリー!$B$9)+IF(Z1155="",0,IF(Z1155=200,サマリー!$B$10,IF(Z1155=100,サマリー!$B$11,0)))+IF(AA1155="",0,AA1155*サマリー!$B$12)</f>
        <v>0</v>
      </c>
      <c r="E1155" s="27">
        <f t="shared" si="34"/>
        <v>0</v>
      </c>
      <c r="I1155" s="30"/>
      <c r="J1155" s="30"/>
      <c r="K1155" s="30"/>
      <c r="L1155" s="30"/>
      <c r="M1155" s="30"/>
      <c r="N1155" s="30"/>
      <c r="O1155" s="30"/>
      <c r="P1155" s="30"/>
      <c r="Q1155" s="31"/>
      <c r="R1155" s="31"/>
      <c r="S1155" s="31"/>
      <c r="T1155" s="32"/>
      <c r="U1155" s="32"/>
      <c r="V1155" s="32"/>
      <c r="W1155" s="32"/>
      <c r="X1155" s="32"/>
      <c r="Y1155" s="33"/>
      <c r="Z1155" s="33"/>
      <c r="AA1155" s="33"/>
    </row>
    <row r="1156" spans="1:27">
      <c r="A1156" s="29"/>
      <c r="B1156" s="19">
        <f t="shared" si="35"/>
        <v>46327</v>
      </c>
      <c r="C1156" s="27">
        <f>I1156+J1156+K1156+L1156+M1156+N1156+O1156+P1156+IF(Q1156="",0,Q1156*サマリー!$B$9)+IF(R1156="",0,IF(R1156=200,サマリー!$B$10,IF(R1156=100,サマリー!$B$11,0)))+IF(S1156="",0,S1156*サマリー!$B$12)</f>
        <v>0</v>
      </c>
      <c r="D1156" s="27">
        <f>T1156+U1156+V1156+W1156+X1156+IF(Y1156="",0,Y1156*サマリー!$B$9)+IF(Z1156="",0,IF(Z1156=200,サマリー!$B$10,IF(Z1156=100,サマリー!$B$11,0)))+IF(AA1156="",0,AA1156*サマリー!$B$12)</f>
        <v>0</v>
      </c>
      <c r="E1156" s="27">
        <f t="shared" si="34"/>
        <v>0</v>
      </c>
      <c r="I1156" s="30"/>
      <c r="J1156" s="30"/>
      <c r="K1156" s="30"/>
      <c r="L1156" s="30"/>
      <c r="M1156" s="30"/>
      <c r="N1156" s="30"/>
      <c r="O1156" s="30"/>
      <c r="P1156" s="30"/>
      <c r="Q1156" s="31"/>
      <c r="R1156" s="31"/>
      <c r="S1156" s="31"/>
      <c r="T1156" s="32"/>
      <c r="U1156" s="32"/>
      <c r="V1156" s="32"/>
      <c r="W1156" s="32"/>
      <c r="X1156" s="32"/>
      <c r="Y1156" s="33"/>
      <c r="Z1156" s="33"/>
      <c r="AA1156" s="33"/>
    </row>
    <row r="1157" spans="1:27">
      <c r="A1157" s="29"/>
      <c r="B1157" s="19">
        <f t="shared" si="35"/>
        <v>46327</v>
      </c>
      <c r="C1157" s="27">
        <f>I1157+J1157+K1157+L1157+M1157+N1157+O1157+P1157+IF(Q1157="",0,Q1157*サマリー!$B$9)+IF(R1157="",0,IF(R1157=200,サマリー!$B$10,IF(R1157=100,サマリー!$B$11,0)))+IF(S1157="",0,S1157*サマリー!$B$12)</f>
        <v>0</v>
      </c>
      <c r="D1157" s="27">
        <f>T1157+U1157+V1157+W1157+X1157+IF(Y1157="",0,Y1157*サマリー!$B$9)+IF(Z1157="",0,IF(Z1157=200,サマリー!$B$10,IF(Z1157=100,サマリー!$B$11,0)))+IF(AA1157="",0,AA1157*サマリー!$B$12)</f>
        <v>0</v>
      </c>
      <c r="E1157" s="27">
        <f t="shared" si="34"/>
        <v>0</v>
      </c>
      <c r="I1157" s="30"/>
      <c r="J1157" s="30"/>
      <c r="K1157" s="30"/>
      <c r="L1157" s="30"/>
      <c r="M1157" s="30"/>
      <c r="N1157" s="30"/>
      <c r="O1157" s="30"/>
      <c r="P1157" s="30"/>
      <c r="Q1157" s="31"/>
      <c r="R1157" s="31"/>
      <c r="S1157" s="31"/>
      <c r="T1157" s="32"/>
      <c r="U1157" s="32"/>
      <c r="V1157" s="32"/>
      <c r="W1157" s="32"/>
      <c r="X1157" s="32"/>
      <c r="Y1157" s="33"/>
      <c r="Z1157" s="33"/>
      <c r="AA1157" s="33"/>
    </row>
    <row r="1158" spans="1:27">
      <c r="A1158" s="29"/>
      <c r="B1158" s="19">
        <f t="shared" si="35"/>
        <v>46327</v>
      </c>
      <c r="C1158" s="27">
        <f>I1158+J1158+K1158+L1158+M1158+N1158+O1158+P1158+IF(Q1158="",0,Q1158*サマリー!$B$9)+IF(R1158="",0,IF(R1158=200,サマリー!$B$10,IF(R1158=100,サマリー!$B$11,0)))+IF(S1158="",0,S1158*サマリー!$B$12)</f>
        <v>0</v>
      </c>
      <c r="D1158" s="27">
        <f>T1158+U1158+V1158+W1158+X1158+IF(Y1158="",0,Y1158*サマリー!$B$9)+IF(Z1158="",0,IF(Z1158=200,サマリー!$B$10,IF(Z1158=100,サマリー!$B$11,0)))+IF(AA1158="",0,AA1158*サマリー!$B$12)</f>
        <v>0</v>
      </c>
      <c r="E1158" s="27">
        <f t="shared" ref="E1158:E1221" si="36">C1158+D1158</f>
        <v>0</v>
      </c>
      <c r="I1158" s="30"/>
      <c r="J1158" s="30"/>
      <c r="K1158" s="30"/>
      <c r="L1158" s="30"/>
      <c r="M1158" s="30"/>
      <c r="N1158" s="30"/>
      <c r="O1158" s="30"/>
      <c r="P1158" s="30"/>
      <c r="Q1158" s="31"/>
      <c r="R1158" s="31"/>
      <c r="S1158" s="31"/>
      <c r="T1158" s="32"/>
      <c r="U1158" s="32"/>
      <c r="V1158" s="32"/>
      <c r="W1158" s="32"/>
      <c r="X1158" s="32"/>
      <c r="Y1158" s="33"/>
      <c r="Z1158" s="33"/>
      <c r="AA1158" s="33"/>
    </row>
    <row r="1159" spans="1:27">
      <c r="A1159" s="29"/>
      <c r="B1159" s="19">
        <f t="shared" ref="B1159:B1222" si="37">IF(A1159="",B1158,IF(A1159&lt;DAY(B1158),DATE(YEAR(B1158),MONTH(B1158)+1,A1159),DATE(YEAR(B1158),MONTH(B1158),A1159)))</f>
        <v>46327</v>
      </c>
      <c r="C1159" s="27">
        <f>I1159+J1159+K1159+L1159+M1159+N1159+O1159+P1159+IF(Q1159="",0,Q1159*サマリー!$B$9)+IF(R1159="",0,IF(R1159=200,サマリー!$B$10,IF(R1159=100,サマリー!$B$11,0)))+IF(S1159="",0,S1159*サマリー!$B$12)</f>
        <v>0</v>
      </c>
      <c r="D1159" s="27">
        <f>T1159+U1159+V1159+W1159+X1159+IF(Y1159="",0,Y1159*サマリー!$B$9)+IF(Z1159="",0,IF(Z1159=200,サマリー!$B$10,IF(Z1159=100,サマリー!$B$11,0)))+IF(AA1159="",0,AA1159*サマリー!$B$12)</f>
        <v>0</v>
      </c>
      <c r="E1159" s="27">
        <f t="shared" si="36"/>
        <v>0</v>
      </c>
      <c r="I1159" s="30"/>
      <c r="J1159" s="30"/>
      <c r="K1159" s="30"/>
      <c r="L1159" s="30"/>
      <c r="M1159" s="30"/>
      <c r="N1159" s="30"/>
      <c r="O1159" s="30"/>
      <c r="P1159" s="30"/>
      <c r="Q1159" s="31"/>
      <c r="R1159" s="31"/>
      <c r="S1159" s="31"/>
      <c r="T1159" s="32"/>
      <c r="U1159" s="32"/>
      <c r="V1159" s="32"/>
      <c r="W1159" s="32"/>
      <c r="X1159" s="32"/>
      <c r="Y1159" s="33"/>
      <c r="Z1159" s="33"/>
      <c r="AA1159" s="33"/>
    </row>
    <row r="1160" spans="1:27">
      <c r="A1160" s="29"/>
      <c r="B1160" s="19">
        <f t="shared" si="37"/>
        <v>46327</v>
      </c>
      <c r="C1160" s="27">
        <f>I1160+J1160+K1160+L1160+M1160+N1160+O1160+P1160+IF(Q1160="",0,Q1160*サマリー!$B$9)+IF(R1160="",0,IF(R1160=200,サマリー!$B$10,IF(R1160=100,サマリー!$B$11,0)))+IF(S1160="",0,S1160*サマリー!$B$12)</f>
        <v>0</v>
      </c>
      <c r="D1160" s="27">
        <f>T1160+U1160+V1160+W1160+X1160+IF(Y1160="",0,Y1160*サマリー!$B$9)+IF(Z1160="",0,IF(Z1160=200,サマリー!$B$10,IF(Z1160=100,サマリー!$B$11,0)))+IF(AA1160="",0,AA1160*サマリー!$B$12)</f>
        <v>0</v>
      </c>
      <c r="E1160" s="27">
        <f t="shared" si="36"/>
        <v>0</v>
      </c>
      <c r="I1160" s="30"/>
      <c r="J1160" s="30"/>
      <c r="K1160" s="30"/>
      <c r="L1160" s="30"/>
      <c r="M1160" s="30"/>
      <c r="N1160" s="30"/>
      <c r="O1160" s="30"/>
      <c r="P1160" s="30"/>
      <c r="Q1160" s="31"/>
      <c r="R1160" s="31"/>
      <c r="S1160" s="31"/>
      <c r="T1160" s="32"/>
      <c r="U1160" s="32"/>
      <c r="V1160" s="32"/>
      <c r="W1160" s="32"/>
      <c r="X1160" s="32"/>
      <c r="Y1160" s="33"/>
      <c r="Z1160" s="33"/>
      <c r="AA1160" s="33"/>
    </row>
    <row r="1161" spans="1:27">
      <c r="A1161" s="29"/>
      <c r="B1161" s="19">
        <f t="shared" si="37"/>
        <v>46327</v>
      </c>
      <c r="C1161" s="27">
        <f>I1161+J1161+K1161+L1161+M1161+N1161+O1161+P1161+IF(Q1161="",0,Q1161*サマリー!$B$9)+IF(R1161="",0,IF(R1161=200,サマリー!$B$10,IF(R1161=100,サマリー!$B$11,0)))+IF(S1161="",0,S1161*サマリー!$B$12)</f>
        <v>0</v>
      </c>
      <c r="D1161" s="27">
        <f>T1161+U1161+V1161+W1161+X1161+IF(Y1161="",0,Y1161*サマリー!$B$9)+IF(Z1161="",0,IF(Z1161=200,サマリー!$B$10,IF(Z1161=100,サマリー!$B$11,0)))+IF(AA1161="",0,AA1161*サマリー!$B$12)</f>
        <v>0</v>
      </c>
      <c r="E1161" s="27">
        <f t="shared" si="36"/>
        <v>0</v>
      </c>
      <c r="I1161" s="30"/>
      <c r="J1161" s="30"/>
      <c r="K1161" s="30"/>
      <c r="L1161" s="30"/>
      <c r="M1161" s="30"/>
      <c r="N1161" s="30"/>
      <c r="O1161" s="30"/>
      <c r="P1161" s="30"/>
      <c r="Q1161" s="31"/>
      <c r="R1161" s="31"/>
      <c r="S1161" s="31"/>
      <c r="T1161" s="32"/>
      <c r="U1161" s="32"/>
      <c r="V1161" s="32"/>
      <c r="W1161" s="32"/>
      <c r="X1161" s="32"/>
      <c r="Y1161" s="33"/>
      <c r="Z1161" s="33"/>
      <c r="AA1161" s="33"/>
    </row>
    <row r="1162" spans="1:27">
      <c r="A1162" s="29"/>
      <c r="B1162" s="19">
        <f t="shared" si="37"/>
        <v>46327</v>
      </c>
      <c r="C1162" s="27">
        <f>I1162+J1162+K1162+L1162+M1162+N1162+O1162+P1162+IF(Q1162="",0,Q1162*サマリー!$B$9)+IF(R1162="",0,IF(R1162=200,サマリー!$B$10,IF(R1162=100,サマリー!$B$11,0)))+IF(S1162="",0,S1162*サマリー!$B$12)</f>
        <v>0</v>
      </c>
      <c r="D1162" s="27">
        <f>T1162+U1162+V1162+W1162+X1162+IF(Y1162="",0,Y1162*サマリー!$B$9)+IF(Z1162="",0,IF(Z1162=200,サマリー!$B$10,IF(Z1162=100,サマリー!$B$11,0)))+IF(AA1162="",0,AA1162*サマリー!$B$12)</f>
        <v>0</v>
      </c>
      <c r="E1162" s="27">
        <f t="shared" si="36"/>
        <v>0</v>
      </c>
      <c r="I1162" s="30"/>
      <c r="J1162" s="30"/>
      <c r="K1162" s="30"/>
      <c r="L1162" s="30"/>
      <c r="M1162" s="30"/>
      <c r="N1162" s="30"/>
      <c r="O1162" s="30"/>
      <c r="P1162" s="30"/>
      <c r="Q1162" s="31"/>
      <c r="R1162" s="31"/>
      <c r="S1162" s="31"/>
      <c r="T1162" s="32"/>
      <c r="U1162" s="32"/>
      <c r="V1162" s="32"/>
      <c r="W1162" s="32"/>
      <c r="X1162" s="32"/>
      <c r="Y1162" s="33"/>
      <c r="Z1162" s="33"/>
      <c r="AA1162" s="33"/>
    </row>
    <row r="1163" spans="1:27">
      <c r="A1163" s="29"/>
      <c r="B1163" s="19">
        <f t="shared" si="37"/>
        <v>46327</v>
      </c>
      <c r="C1163" s="27">
        <f>I1163+J1163+K1163+L1163+M1163+N1163+O1163+P1163+IF(Q1163="",0,Q1163*サマリー!$B$9)+IF(R1163="",0,IF(R1163=200,サマリー!$B$10,IF(R1163=100,サマリー!$B$11,0)))+IF(S1163="",0,S1163*サマリー!$B$12)</f>
        <v>0</v>
      </c>
      <c r="D1163" s="27">
        <f>T1163+U1163+V1163+W1163+X1163+IF(Y1163="",0,Y1163*サマリー!$B$9)+IF(Z1163="",0,IF(Z1163=200,サマリー!$B$10,IF(Z1163=100,サマリー!$B$11,0)))+IF(AA1163="",0,AA1163*サマリー!$B$12)</f>
        <v>0</v>
      </c>
      <c r="E1163" s="27">
        <f t="shared" si="36"/>
        <v>0</v>
      </c>
      <c r="I1163" s="30"/>
      <c r="J1163" s="30"/>
      <c r="K1163" s="30"/>
      <c r="L1163" s="30"/>
      <c r="M1163" s="30"/>
      <c r="N1163" s="30"/>
      <c r="O1163" s="30"/>
      <c r="P1163" s="30"/>
      <c r="Q1163" s="31"/>
      <c r="R1163" s="31"/>
      <c r="S1163" s="31"/>
      <c r="T1163" s="32"/>
      <c r="U1163" s="32"/>
      <c r="V1163" s="32"/>
      <c r="W1163" s="32"/>
      <c r="X1163" s="32"/>
      <c r="Y1163" s="33"/>
      <c r="Z1163" s="33"/>
      <c r="AA1163" s="33"/>
    </row>
    <row r="1164" spans="1:27">
      <c r="A1164" s="29"/>
      <c r="B1164" s="19">
        <f t="shared" si="37"/>
        <v>46327</v>
      </c>
      <c r="C1164" s="27">
        <f>I1164+J1164+K1164+L1164+M1164+N1164+O1164+P1164+IF(Q1164="",0,Q1164*サマリー!$B$9)+IF(R1164="",0,IF(R1164=200,サマリー!$B$10,IF(R1164=100,サマリー!$B$11,0)))+IF(S1164="",0,S1164*サマリー!$B$12)</f>
        <v>0</v>
      </c>
      <c r="D1164" s="27">
        <f>T1164+U1164+V1164+W1164+X1164+IF(Y1164="",0,Y1164*サマリー!$B$9)+IF(Z1164="",0,IF(Z1164=200,サマリー!$B$10,IF(Z1164=100,サマリー!$B$11,0)))+IF(AA1164="",0,AA1164*サマリー!$B$12)</f>
        <v>0</v>
      </c>
      <c r="E1164" s="27">
        <f t="shared" si="36"/>
        <v>0</v>
      </c>
      <c r="I1164" s="30"/>
      <c r="J1164" s="30"/>
      <c r="K1164" s="30"/>
      <c r="L1164" s="30"/>
      <c r="M1164" s="30"/>
      <c r="N1164" s="30"/>
      <c r="O1164" s="30"/>
      <c r="P1164" s="30"/>
      <c r="Q1164" s="31"/>
      <c r="R1164" s="31"/>
      <c r="S1164" s="31"/>
      <c r="T1164" s="32"/>
      <c r="U1164" s="32"/>
      <c r="V1164" s="32"/>
      <c r="W1164" s="32"/>
      <c r="X1164" s="32"/>
      <c r="Y1164" s="33"/>
      <c r="Z1164" s="33"/>
      <c r="AA1164" s="33"/>
    </row>
    <row r="1165" spans="1:27">
      <c r="A1165" s="29"/>
      <c r="B1165" s="19">
        <f t="shared" si="37"/>
        <v>46327</v>
      </c>
      <c r="C1165" s="27">
        <f>I1165+J1165+K1165+L1165+M1165+N1165+O1165+P1165+IF(Q1165="",0,Q1165*サマリー!$B$9)+IF(R1165="",0,IF(R1165=200,サマリー!$B$10,IF(R1165=100,サマリー!$B$11,0)))+IF(S1165="",0,S1165*サマリー!$B$12)</f>
        <v>0</v>
      </c>
      <c r="D1165" s="27">
        <f>T1165+U1165+V1165+W1165+X1165+IF(Y1165="",0,Y1165*サマリー!$B$9)+IF(Z1165="",0,IF(Z1165=200,サマリー!$B$10,IF(Z1165=100,サマリー!$B$11,0)))+IF(AA1165="",0,AA1165*サマリー!$B$12)</f>
        <v>0</v>
      </c>
      <c r="E1165" s="27">
        <f t="shared" si="36"/>
        <v>0</v>
      </c>
      <c r="I1165" s="30"/>
      <c r="J1165" s="30"/>
      <c r="K1165" s="30"/>
      <c r="L1165" s="30"/>
      <c r="M1165" s="30"/>
      <c r="N1165" s="30"/>
      <c r="O1165" s="30"/>
      <c r="P1165" s="30"/>
      <c r="Q1165" s="31"/>
      <c r="R1165" s="31"/>
      <c r="S1165" s="31"/>
      <c r="T1165" s="32"/>
      <c r="U1165" s="32"/>
      <c r="V1165" s="32"/>
      <c r="W1165" s="32"/>
      <c r="X1165" s="32"/>
      <c r="Y1165" s="33"/>
      <c r="Z1165" s="33"/>
      <c r="AA1165" s="33"/>
    </row>
    <row r="1166" spans="1:27">
      <c r="A1166" s="29"/>
      <c r="B1166" s="19">
        <f t="shared" si="37"/>
        <v>46327</v>
      </c>
      <c r="C1166" s="27">
        <f>I1166+J1166+K1166+L1166+M1166+N1166+O1166+P1166+IF(Q1166="",0,Q1166*サマリー!$B$9)+IF(R1166="",0,IF(R1166=200,サマリー!$B$10,IF(R1166=100,サマリー!$B$11,0)))+IF(S1166="",0,S1166*サマリー!$B$12)</f>
        <v>0</v>
      </c>
      <c r="D1166" s="27">
        <f>T1166+U1166+V1166+W1166+X1166+IF(Y1166="",0,Y1166*サマリー!$B$9)+IF(Z1166="",0,IF(Z1166=200,サマリー!$B$10,IF(Z1166=100,サマリー!$B$11,0)))+IF(AA1166="",0,AA1166*サマリー!$B$12)</f>
        <v>0</v>
      </c>
      <c r="E1166" s="27">
        <f t="shared" si="36"/>
        <v>0</v>
      </c>
      <c r="I1166" s="30"/>
      <c r="J1166" s="30"/>
      <c r="K1166" s="30"/>
      <c r="L1166" s="30"/>
      <c r="M1166" s="30"/>
      <c r="N1166" s="30"/>
      <c r="O1166" s="30"/>
      <c r="P1166" s="30"/>
      <c r="Q1166" s="31"/>
      <c r="R1166" s="31"/>
      <c r="S1166" s="31"/>
      <c r="T1166" s="32"/>
      <c r="U1166" s="32"/>
      <c r="V1166" s="32"/>
      <c r="W1166" s="32"/>
      <c r="X1166" s="32"/>
      <c r="Y1166" s="33"/>
      <c r="Z1166" s="33"/>
      <c r="AA1166" s="33"/>
    </row>
    <row r="1167" spans="1:27">
      <c r="A1167" s="29"/>
      <c r="B1167" s="19">
        <f t="shared" si="37"/>
        <v>46327</v>
      </c>
      <c r="C1167" s="27">
        <f>I1167+J1167+K1167+L1167+M1167+N1167+O1167+P1167+IF(Q1167="",0,Q1167*サマリー!$B$9)+IF(R1167="",0,IF(R1167=200,サマリー!$B$10,IF(R1167=100,サマリー!$B$11,0)))+IF(S1167="",0,S1167*サマリー!$B$12)</f>
        <v>0</v>
      </c>
      <c r="D1167" s="27">
        <f>T1167+U1167+V1167+W1167+X1167+IF(Y1167="",0,Y1167*サマリー!$B$9)+IF(Z1167="",0,IF(Z1167=200,サマリー!$B$10,IF(Z1167=100,サマリー!$B$11,0)))+IF(AA1167="",0,AA1167*サマリー!$B$12)</f>
        <v>0</v>
      </c>
      <c r="E1167" s="27">
        <f t="shared" si="36"/>
        <v>0</v>
      </c>
      <c r="I1167" s="30"/>
      <c r="J1167" s="30"/>
      <c r="K1167" s="30"/>
      <c r="L1167" s="30"/>
      <c r="M1167" s="30"/>
      <c r="N1167" s="30"/>
      <c r="O1167" s="30"/>
      <c r="P1167" s="30"/>
      <c r="Q1167" s="31"/>
      <c r="R1167" s="31"/>
      <c r="S1167" s="31"/>
      <c r="T1167" s="32"/>
      <c r="U1167" s="32"/>
      <c r="V1167" s="32"/>
      <c r="W1167" s="32"/>
      <c r="X1167" s="32"/>
      <c r="Y1167" s="33"/>
      <c r="Z1167" s="33"/>
      <c r="AA1167" s="33"/>
    </row>
    <row r="1168" spans="1:27">
      <c r="A1168" s="29"/>
      <c r="B1168" s="19">
        <f t="shared" si="37"/>
        <v>46327</v>
      </c>
      <c r="C1168" s="27">
        <f>I1168+J1168+K1168+L1168+M1168+N1168+O1168+P1168+IF(Q1168="",0,Q1168*サマリー!$B$9)+IF(R1168="",0,IF(R1168=200,サマリー!$B$10,IF(R1168=100,サマリー!$B$11,0)))+IF(S1168="",0,S1168*サマリー!$B$12)</f>
        <v>0</v>
      </c>
      <c r="D1168" s="27">
        <f>T1168+U1168+V1168+W1168+X1168+IF(Y1168="",0,Y1168*サマリー!$B$9)+IF(Z1168="",0,IF(Z1168=200,サマリー!$B$10,IF(Z1168=100,サマリー!$B$11,0)))+IF(AA1168="",0,AA1168*サマリー!$B$12)</f>
        <v>0</v>
      </c>
      <c r="E1168" s="27">
        <f t="shared" si="36"/>
        <v>0</v>
      </c>
      <c r="I1168" s="30"/>
      <c r="J1168" s="30"/>
      <c r="K1168" s="30"/>
      <c r="L1168" s="30"/>
      <c r="M1168" s="30"/>
      <c r="N1168" s="30"/>
      <c r="O1168" s="30"/>
      <c r="P1168" s="30"/>
      <c r="Q1168" s="31"/>
      <c r="R1168" s="31"/>
      <c r="S1168" s="31"/>
      <c r="T1168" s="32"/>
      <c r="U1168" s="32"/>
      <c r="V1168" s="32"/>
      <c r="W1168" s="32"/>
      <c r="X1168" s="32"/>
      <c r="Y1168" s="33"/>
      <c r="Z1168" s="33"/>
      <c r="AA1168" s="33"/>
    </row>
    <row r="1169" spans="1:27">
      <c r="A1169" s="29"/>
      <c r="B1169" s="19">
        <f t="shared" si="37"/>
        <v>46327</v>
      </c>
      <c r="C1169" s="27">
        <f>I1169+J1169+K1169+L1169+M1169+N1169+O1169+P1169+IF(Q1169="",0,Q1169*サマリー!$B$9)+IF(R1169="",0,IF(R1169=200,サマリー!$B$10,IF(R1169=100,サマリー!$B$11,0)))+IF(S1169="",0,S1169*サマリー!$B$12)</f>
        <v>0</v>
      </c>
      <c r="D1169" s="27">
        <f>T1169+U1169+V1169+W1169+X1169+IF(Y1169="",0,Y1169*サマリー!$B$9)+IF(Z1169="",0,IF(Z1169=200,サマリー!$B$10,IF(Z1169=100,サマリー!$B$11,0)))+IF(AA1169="",0,AA1169*サマリー!$B$12)</f>
        <v>0</v>
      </c>
      <c r="E1169" s="27">
        <f t="shared" si="36"/>
        <v>0</v>
      </c>
      <c r="I1169" s="30"/>
      <c r="J1169" s="30"/>
      <c r="K1169" s="30"/>
      <c r="L1169" s="30"/>
      <c r="M1169" s="30"/>
      <c r="N1169" s="30"/>
      <c r="O1169" s="30"/>
      <c r="P1169" s="30"/>
      <c r="Q1169" s="31"/>
      <c r="R1169" s="31"/>
      <c r="S1169" s="31"/>
      <c r="T1169" s="32"/>
      <c r="U1169" s="32"/>
      <c r="V1169" s="32"/>
      <c r="W1169" s="32"/>
      <c r="X1169" s="32"/>
      <c r="Y1169" s="33"/>
      <c r="Z1169" s="33"/>
      <c r="AA1169" s="33"/>
    </row>
    <row r="1170" spans="1:27">
      <c r="A1170" s="29"/>
      <c r="B1170" s="19">
        <f t="shared" si="37"/>
        <v>46327</v>
      </c>
      <c r="C1170" s="27">
        <f>I1170+J1170+K1170+L1170+M1170+N1170+O1170+P1170+IF(Q1170="",0,Q1170*サマリー!$B$9)+IF(R1170="",0,IF(R1170=200,サマリー!$B$10,IF(R1170=100,サマリー!$B$11,0)))+IF(S1170="",0,S1170*サマリー!$B$12)</f>
        <v>0</v>
      </c>
      <c r="D1170" s="27">
        <f>T1170+U1170+V1170+W1170+X1170+IF(Y1170="",0,Y1170*サマリー!$B$9)+IF(Z1170="",0,IF(Z1170=200,サマリー!$B$10,IF(Z1170=100,サマリー!$B$11,0)))+IF(AA1170="",0,AA1170*サマリー!$B$12)</f>
        <v>0</v>
      </c>
      <c r="E1170" s="27">
        <f t="shared" si="36"/>
        <v>0</v>
      </c>
      <c r="I1170" s="30"/>
      <c r="J1170" s="30"/>
      <c r="K1170" s="30"/>
      <c r="L1170" s="30"/>
      <c r="M1170" s="30"/>
      <c r="N1170" s="30"/>
      <c r="O1170" s="30"/>
      <c r="P1170" s="30"/>
      <c r="Q1170" s="31"/>
      <c r="R1170" s="31"/>
      <c r="S1170" s="31"/>
      <c r="T1170" s="32"/>
      <c r="U1170" s="32"/>
      <c r="V1170" s="32"/>
      <c r="W1170" s="32"/>
      <c r="X1170" s="32"/>
      <c r="Y1170" s="33"/>
      <c r="Z1170" s="33"/>
      <c r="AA1170" s="33"/>
    </row>
    <row r="1171" spans="1:27">
      <c r="A1171" s="29"/>
      <c r="B1171" s="19">
        <f t="shared" si="37"/>
        <v>46327</v>
      </c>
      <c r="C1171" s="27">
        <f>I1171+J1171+K1171+L1171+M1171+N1171+O1171+P1171+IF(Q1171="",0,Q1171*サマリー!$B$9)+IF(R1171="",0,IF(R1171=200,サマリー!$B$10,IF(R1171=100,サマリー!$B$11,0)))+IF(S1171="",0,S1171*サマリー!$B$12)</f>
        <v>0</v>
      </c>
      <c r="D1171" s="27">
        <f>T1171+U1171+V1171+W1171+X1171+IF(Y1171="",0,Y1171*サマリー!$B$9)+IF(Z1171="",0,IF(Z1171=200,サマリー!$B$10,IF(Z1171=100,サマリー!$B$11,0)))+IF(AA1171="",0,AA1171*サマリー!$B$12)</f>
        <v>0</v>
      </c>
      <c r="E1171" s="27">
        <f t="shared" si="36"/>
        <v>0</v>
      </c>
      <c r="I1171" s="30"/>
      <c r="J1171" s="30"/>
      <c r="K1171" s="30"/>
      <c r="L1171" s="30"/>
      <c r="M1171" s="30"/>
      <c r="N1171" s="30"/>
      <c r="O1171" s="30"/>
      <c r="P1171" s="30"/>
      <c r="Q1171" s="31"/>
      <c r="R1171" s="31"/>
      <c r="S1171" s="31"/>
      <c r="T1171" s="32"/>
      <c r="U1171" s="32"/>
      <c r="V1171" s="32"/>
      <c r="W1171" s="32"/>
      <c r="X1171" s="32"/>
      <c r="Y1171" s="33"/>
      <c r="Z1171" s="33"/>
      <c r="AA1171" s="33"/>
    </row>
    <row r="1172" spans="1:27">
      <c r="A1172" s="29"/>
      <c r="B1172" s="19">
        <f t="shared" si="37"/>
        <v>46327</v>
      </c>
      <c r="C1172" s="27">
        <f>I1172+J1172+K1172+L1172+M1172+N1172+O1172+P1172+IF(Q1172="",0,Q1172*サマリー!$B$9)+IF(R1172="",0,IF(R1172=200,サマリー!$B$10,IF(R1172=100,サマリー!$B$11,0)))+IF(S1172="",0,S1172*サマリー!$B$12)</f>
        <v>0</v>
      </c>
      <c r="D1172" s="27">
        <f>T1172+U1172+V1172+W1172+X1172+IF(Y1172="",0,Y1172*サマリー!$B$9)+IF(Z1172="",0,IF(Z1172=200,サマリー!$B$10,IF(Z1172=100,サマリー!$B$11,0)))+IF(AA1172="",0,AA1172*サマリー!$B$12)</f>
        <v>0</v>
      </c>
      <c r="E1172" s="27">
        <f t="shared" si="36"/>
        <v>0</v>
      </c>
      <c r="I1172" s="30"/>
      <c r="J1172" s="30"/>
      <c r="K1172" s="30"/>
      <c r="L1172" s="30"/>
      <c r="M1172" s="30"/>
      <c r="N1172" s="30"/>
      <c r="O1172" s="30"/>
      <c r="P1172" s="30"/>
      <c r="Q1172" s="31"/>
      <c r="R1172" s="31"/>
      <c r="S1172" s="31"/>
      <c r="T1172" s="32"/>
      <c r="U1172" s="32"/>
      <c r="V1172" s="32"/>
      <c r="W1172" s="32"/>
      <c r="X1172" s="32"/>
      <c r="Y1172" s="33"/>
      <c r="Z1172" s="33"/>
      <c r="AA1172" s="33"/>
    </row>
    <row r="1173" spans="1:27">
      <c r="A1173" s="29"/>
      <c r="B1173" s="19">
        <f t="shared" si="37"/>
        <v>46327</v>
      </c>
      <c r="C1173" s="27">
        <f>I1173+J1173+K1173+L1173+M1173+N1173+O1173+P1173+IF(Q1173="",0,Q1173*サマリー!$B$9)+IF(R1173="",0,IF(R1173=200,サマリー!$B$10,IF(R1173=100,サマリー!$B$11,0)))+IF(S1173="",0,S1173*サマリー!$B$12)</f>
        <v>0</v>
      </c>
      <c r="D1173" s="27">
        <f>T1173+U1173+V1173+W1173+X1173+IF(Y1173="",0,Y1173*サマリー!$B$9)+IF(Z1173="",0,IF(Z1173=200,サマリー!$B$10,IF(Z1173=100,サマリー!$B$11,0)))+IF(AA1173="",0,AA1173*サマリー!$B$12)</f>
        <v>0</v>
      </c>
      <c r="E1173" s="27">
        <f t="shared" si="36"/>
        <v>0</v>
      </c>
      <c r="I1173" s="30"/>
      <c r="J1173" s="30"/>
      <c r="K1173" s="30"/>
      <c r="L1173" s="30"/>
      <c r="M1173" s="30"/>
      <c r="N1173" s="30"/>
      <c r="O1173" s="30"/>
      <c r="P1173" s="30"/>
      <c r="Q1173" s="31"/>
      <c r="R1173" s="31"/>
      <c r="S1173" s="31"/>
      <c r="T1173" s="32"/>
      <c r="U1173" s="32"/>
      <c r="V1173" s="32"/>
      <c r="W1173" s="32"/>
      <c r="X1173" s="32"/>
      <c r="Y1173" s="33"/>
      <c r="Z1173" s="33"/>
      <c r="AA1173" s="33"/>
    </row>
    <row r="1174" spans="1:27">
      <c r="A1174" s="29"/>
      <c r="B1174" s="19">
        <f t="shared" si="37"/>
        <v>46327</v>
      </c>
      <c r="C1174" s="27">
        <f>I1174+J1174+K1174+L1174+M1174+N1174+O1174+P1174+IF(Q1174="",0,Q1174*サマリー!$B$9)+IF(R1174="",0,IF(R1174=200,サマリー!$B$10,IF(R1174=100,サマリー!$B$11,0)))+IF(S1174="",0,S1174*サマリー!$B$12)</f>
        <v>0</v>
      </c>
      <c r="D1174" s="27">
        <f>T1174+U1174+V1174+W1174+X1174+IF(Y1174="",0,Y1174*サマリー!$B$9)+IF(Z1174="",0,IF(Z1174=200,サマリー!$B$10,IF(Z1174=100,サマリー!$B$11,0)))+IF(AA1174="",0,AA1174*サマリー!$B$12)</f>
        <v>0</v>
      </c>
      <c r="E1174" s="27">
        <f t="shared" si="36"/>
        <v>0</v>
      </c>
      <c r="I1174" s="30"/>
      <c r="J1174" s="30"/>
      <c r="K1174" s="30"/>
      <c r="L1174" s="30"/>
      <c r="M1174" s="30"/>
      <c r="N1174" s="30"/>
      <c r="O1174" s="30"/>
      <c r="P1174" s="30"/>
      <c r="Q1174" s="31"/>
      <c r="R1174" s="31"/>
      <c r="S1174" s="31"/>
      <c r="T1174" s="32"/>
      <c r="U1174" s="32"/>
      <c r="V1174" s="32"/>
      <c r="W1174" s="32"/>
      <c r="X1174" s="32"/>
      <c r="Y1174" s="33"/>
      <c r="Z1174" s="33"/>
      <c r="AA1174" s="33"/>
    </row>
    <row r="1175" spans="1:27">
      <c r="A1175" s="29"/>
      <c r="B1175" s="19">
        <f t="shared" si="37"/>
        <v>46327</v>
      </c>
      <c r="C1175" s="27">
        <f>I1175+J1175+K1175+L1175+M1175+N1175+O1175+P1175+IF(Q1175="",0,Q1175*サマリー!$B$9)+IF(R1175="",0,IF(R1175=200,サマリー!$B$10,IF(R1175=100,サマリー!$B$11,0)))+IF(S1175="",0,S1175*サマリー!$B$12)</f>
        <v>0</v>
      </c>
      <c r="D1175" s="27">
        <f>T1175+U1175+V1175+W1175+X1175+IF(Y1175="",0,Y1175*サマリー!$B$9)+IF(Z1175="",0,IF(Z1175=200,サマリー!$B$10,IF(Z1175=100,サマリー!$B$11,0)))+IF(AA1175="",0,AA1175*サマリー!$B$12)</f>
        <v>0</v>
      </c>
      <c r="E1175" s="27">
        <f t="shared" si="36"/>
        <v>0</v>
      </c>
      <c r="I1175" s="30"/>
      <c r="J1175" s="30"/>
      <c r="K1175" s="30"/>
      <c r="L1175" s="30"/>
      <c r="M1175" s="30"/>
      <c r="N1175" s="30"/>
      <c r="O1175" s="30"/>
      <c r="P1175" s="30"/>
      <c r="Q1175" s="31"/>
      <c r="R1175" s="31"/>
      <c r="S1175" s="31"/>
      <c r="T1175" s="32"/>
      <c r="U1175" s="32"/>
      <c r="V1175" s="32"/>
      <c r="W1175" s="32"/>
      <c r="X1175" s="32"/>
      <c r="Y1175" s="33"/>
      <c r="Z1175" s="33"/>
      <c r="AA1175" s="33"/>
    </row>
    <row r="1176" spans="1:27">
      <c r="A1176" s="29"/>
      <c r="B1176" s="19">
        <f t="shared" si="37"/>
        <v>46327</v>
      </c>
      <c r="C1176" s="27">
        <f>I1176+J1176+K1176+L1176+M1176+N1176+O1176+P1176+IF(Q1176="",0,Q1176*サマリー!$B$9)+IF(R1176="",0,IF(R1176=200,サマリー!$B$10,IF(R1176=100,サマリー!$B$11,0)))+IF(S1176="",0,S1176*サマリー!$B$12)</f>
        <v>0</v>
      </c>
      <c r="D1176" s="27">
        <f>T1176+U1176+V1176+W1176+X1176+IF(Y1176="",0,Y1176*サマリー!$B$9)+IF(Z1176="",0,IF(Z1176=200,サマリー!$B$10,IF(Z1176=100,サマリー!$B$11,0)))+IF(AA1176="",0,AA1176*サマリー!$B$12)</f>
        <v>0</v>
      </c>
      <c r="E1176" s="27">
        <f t="shared" si="36"/>
        <v>0</v>
      </c>
      <c r="I1176" s="30"/>
      <c r="J1176" s="30"/>
      <c r="K1176" s="30"/>
      <c r="L1176" s="30"/>
      <c r="M1176" s="30"/>
      <c r="N1176" s="30"/>
      <c r="O1176" s="30"/>
      <c r="P1176" s="30"/>
      <c r="Q1176" s="31"/>
      <c r="R1176" s="31"/>
      <c r="S1176" s="31"/>
      <c r="T1176" s="32"/>
      <c r="U1176" s="32"/>
      <c r="V1176" s="32"/>
      <c r="W1176" s="32"/>
      <c r="X1176" s="32"/>
      <c r="Y1176" s="33"/>
      <c r="Z1176" s="33"/>
      <c r="AA1176" s="33"/>
    </row>
    <row r="1177" spans="1:27">
      <c r="A1177" s="29"/>
      <c r="B1177" s="19">
        <f t="shared" si="37"/>
        <v>46327</v>
      </c>
      <c r="C1177" s="27">
        <f>I1177+J1177+K1177+L1177+M1177+N1177+O1177+P1177+IF(Q1177="",0,Q1177*サマリー!$B$9)+IF(R1177="",0,IF(R1177=200,サマリー!$B$10,IF(R1177=100,サマリー!$B$11,0)))+IF(S1177="",0,S1177*サマリー!$B$12)</f>
        <v>0</v>
      </c>
      <c r="D1177" s="27">
        <f>T1177+U1177+V1177+W1177+X1177+IF(Y1177="",0,Y1177*サマリー!$B$9)+IF(Z1177="",0,IF(Z1177=200,サマリー!$B$10,IF(Z1177=100,サマリー!$B$11,0)))+IF(AA1177="",0,AA1177*サマリー!$B$12)</f>
        <v>0</v>
      </c>
      <c r="E1177" s="27">
        <f t="shared" si="36"/>
        <v>0</v>
      </c>
      <c r="I1177" s="30"/>
      <c r="J1177" s="30"/>
      <c r="K1177" s="30"/>
      <c r="L1177" s="30"/>
      <c r="M1177" s="30"/>
      <c r="N1177" s="30"/>
      <c r="O1177" s="30"/>
      <c r="P1177" s="30"/>
      <c r="Q1177" s="31"/>
      <c r="R1177" s="31"/>
      <c r="S1177" s="31"/>
      <c r="T1177" s="32"/>
      <c r="U1177" s="32"/>
      <c r="V1177" s="32"/>
      <c r="W1177" s="32"/>
      <c r="X1177" s="32"/>
      <c r="Y1177" s="33"/>
      <c r="Z1177" s="33"/>
      <c r="AA1177" s="33"/>
    </row>
    <row r="1178" spans="1:27">
      <c r="A1178" s="29"/>
      <c r="B1178" s="19">
        <f t="shared" si="37"/>
        <v>46327</v>
      </c>
      <c r="C1178" s="27">
        <f>I1178+J1178+K1178+L1178+M1178+N1178+O1178+P1178+IF(Q1178="",0,Q1178*サマリー!$B$9)+IF(R1178="",0,IF(R1178=200,サマリー!$B$10,IF(R1178=100,サマリー!$B$11,0)))+IF(S1178="",0,S1178*サマリー!$B$12)</f>
        <v>0</v>
      </c>
      <c r="D1178" s="27">
        <f>T1178+U1178+V1178+W1178+X1178+IF(Y1178="",0,Y1178*サマリー!$B$9)+IF(Z1178="",0,IF(Z1178=200,サマリー!$B$10,IF(Z1178=100,サマリー!$B$11,0)))+IF(AA1178="",0,AA1178*サマリー!$B$12)</f>
        <v>0</v>
      </c>
      <c r="E1178" s="27">
        <f t="shared" si="36"/>
        <v>0</v>
      </c>
      <c r="I1178" s="30"/>
      <c r="J1178" s="30"/>
      <c r="K1178" s="30"/>
      <c r="L1178" s="30"/>
      <c r="M1178" s="30"/>
      <c r="N1178" s="30"/>
      <c r="O1178" s="30"/>
      <c r="P1178" s="30"/>
      <c r="Q1178" s="31"/>
      <c r="R1178" s="31"/>
      <c r="S1178" s="31"/>
      <c r="T1178" s="32"/>
      <c r="U1178" s="32"/>
      <c r="V1178" s="32"/>
      <c r="W1178" s="32"/>
      <c r="X1178" s="32"/>
      <c r="Y1178" s="33"/>
      <c r="Z1178" s="33"/>
      <c r="AA1178" s="33"/>
    </row>
    <row r="1179" spans="1:27">
      <c r="A1179" s="29"/>
      <c r="B1179" s="19">
        <f t="shared" si="37"/>
        <v>46327</v>
      </c>
      <c r="C1179" s="27">
        <f>I1179+J1179+K1179+L1179+M1179+N1179+O1179+P1179+IF(Q1179="",0,Q1179*サマリー!$B$9)+IF(R1179="",0,IF(R1179=200,サマリー!$B$10,IF(R1179=100,サマリー!$B$11,0)))+IF(S1179="",0,S1179*サマリー!$B$12)</f>
        <v>0</v>
      </c>
      <c r="D1179" s="27">
        <f>T1179+U1179+V1179+W1179+X1179+IF(Y1179="",0,Y1179*サマリー!$B$9)+IF(Z1179="",0,IF(Z1179=200,サマリー!$B$10,IF(Z1179=100,サマリー!$B$11,0)))+IF(AA1179="",0,AA1179*サマリー!$B$12)</f>
        <v>0</v>
      </c>
      <c r="E1179" s="27">
        <f t="shared" si="36"/>
        <v>0</v>
      </c>
      <c r="I1179" s="30"/>
      <c r="J1179" s="30"/>
      <c r="K1179" s="30"/>
      <c r="L1179" s="30"/>
      <c r="M1179" s="30"/>
      <c r="N1179" s="30"/>
      <c r="O1179" s="30"/>
      <c r="P1179" s="30"/>
      <c r="Q1179" s="31"/>
      <c r="R1179" s="31"/>
      <c r="S1179" s="31"/>
      <c r="T1179" s="32"/>
      <c r="U1179" s="32"/>
      <c r="V1179" s="32"/>
      <c r="W1179" s="32"/>
      <c r="X1179" s="32"/>
      <c r="Y1179" s="33"/>
      <c r="Z1179" s="33"/>
      <c r="AA1179" s="33"/>
    </row>
    <row r="1180" spans="1:27">
      <c r="A1180" s="29"/>
      <c r="B1180" s="19">
        <f t="shared" si="37"/>
        <v>46327</v>
      </c>
      <c r="C1180" s="27">
        <f>I1180+J1180+K1180+L1180+M1180+N1180+O1180+P1180+IF(Q1180="",0,Q1180*サマリー!$B$9)+IF(R1180="",0,IF(R1180=200,サマリー!$B$10,IF(R1180=100,サマリー!$B$11,0)))+IF(S1180="",0,S1180*サマリー!$B$12)</f>
        <v>0</v>
      </c>
      <c r="D1180" s="27">
        <f>T1180+U1180+V1180+W1180+X1180+IF(Y1180="",0,Y1180*サマリー!$B$9)+IF(Z1180="",0,IF(Z1180=200,サマリー!$B$10,IF(Z1180=100,サマリー!$B$11,0)))+IF(AA1180="",0,AA1180*サマリー!$B$12)</f>
        <v>0</v>
      </c>
      <c r="E1180" s="27">
        <f t="shared" si="36"/>
        <v>0</v>
      </c>
      <c r="I1180" s="30"/>
      <c r="J1180" s="30"/>
      <c r="K1180" s="30"/>
      <c r="L1180" s="30"/>
      <c r="M1180" s="30"/>
      <c r="N1180" s="30"/>
      <c r="O1180" s="30"/>
      <c r="P1180" s="30"/>
      <c r="Q1180" s="31"/>
      <c r="R1180" s="31"/>
      <c r="S1180" s="31"/>
      <c r="T1180" s="32"/>
      <c r="U1180" s="32"/>
      <c r="V1180" s="32"/>
      <c r="W1180" s="32"/>
      <c r="X1180" s="32"/>
      <c r="Y1180" s="33"/>
      <c r="Z1180" s="33"/>
      <c r="AA1180" s="33"/>
    </row>
    <row r="1181" spans="1:27">
      <c r="A1181" s="29"/>
      <c r="B1181" s="19">
        <f t="shared" si="37"/>
        <v>46327</v>
      </c>
      <c r="C1181" s="27">
        <f>I1181+J1181+K1181+L1181+M1181+N1181+O1181+P1181+IF(Q1181="",0,Q1181*サマリー!$B$9)+IF(R1181="",0,IF(R1181=200,サマリー!$B$10,IF(R1181=100,サマリー!$B$11,0)))+IF(S1181="",0,S1181*サマリー!$B$12)</f>
        <v>0</v>
      </c>
      <c r="D1181" s="27">
        <f>T1181+U1181+V1181+W1181+X1181+IF(Y1181="",0,Y1181*サマリー!$B$9)+IF(Z1181="",0,IF(Z1181=200,サマリー!$B$10,IF(Z1181=100,サマリー!$B$11,0)))+IF(AA1181="",0,AA1181*サマリー!$B$12)</f>
        <v>0</v>
      </c>
      <c r="E1181" s="27">
        <f t="shared" si="36"/>
        <v>0</v>
      </c>
      <c r="I1181" s="30"/>
      <c r="J1181" s="30"/>
      <c r="K1181" s="30"/>
      <c r="L1181" s="30"/>
      <c r="M1181" s="30"/>
      <c r="N1181" s="30"/>
      <c r="O1181" s="30"/>
      <c r="P1181" s="30"/>
      <c r="Q1181" s="31"/>
      <c r="R1181" s="31"/>
      <c r="S1181" s="31"/>
      <c r="T1181" s="32"/>
      <c r="U1181" s="32"/>
      <c r="V1181" s="32"/>
      <c r="W1181" s="32"/>
      <c r="X1181" s="32"/>
      <c r="Y1181" s="33"/>
      <c r="Z1181" s="33"/>
      <c r="AA1181" s="33"/>
    </row>
    <row r="1182" spans="1:27">
      <c r="A1182" s="29"/>
      <c r="B1182" s="19">
        <f t="shared" si="37"/>
        <v>46327</v>
      </c>
      <c r="C1182" s="27">
        <f>I1182+J1182+K1182+L1182+M1182+N1182+O1182+P1182+IF(Q1182="",0,Q1182*サマリー!$B$9)+IF(R1182="",0,IF(R1182=200,サマリー!$B$10,IF(R1182=100,サマリー!$B$11,0)))+IF(S1182="",0,S1182*サマリー!$B$12)</f>
        <v>0</v>
      </c>
      <c r="D1182" s="27">
        <f>T1182+U1182+V1182+W1182+X1182+IF(Y1182="",0,Y1182*サマリー!$B$9)+IF(Z1182="",0,IF(Z1182=200,サマリー!$B$10,IF(Z1182=100,サマリー!$B$11,0)))+IF(AA1182="",0,AA1182*サマリー!$B$12)</f>
        <v>0</v>
      </c>
      <c r="E1182" s="27">
        <f t="shared" si="36"/>
        <v>0</v>
      </c>
      <c r="I1182" s="30"/>
      <c r="J1182" s="30"/>
      <c r="K1182" s="30"/>
      <c r="L1182" s="30"/>
      <c r="M1182" s="30"/>
      <c r="N1182" s="30"/>
      <c r="O1182" s="30"/>
      <c r="P1182" s="30"/>
      <c r="Q1182" s="31"/>
      <c r="R1182" s="31"/>
      <c r="S1182" s="31"/>
      <c r="T1182" s="32"/>
      <c r="U1182" s="32"/>
      <c r="V1182" s="32"/>
      <c r="W1182" s="32"/>
      <c r="X1182" s="32"/>
      <c r="Y1182" s="33"/>
      <c r="Z1182" s="33"/>
      <c r="AA1182" s="33"/>
    </row>
    <row r="1183" spans="1:27">
      <c r="A1183" s="29"/>
      <c r="B1183" s="19">
        <f t="shared" si="37"/>
        <v>46327</v>
      </c>
      <c r="C1183" s="27">
        <f>I1183+J1183+K1183+L1183+M1183+N1183+O1183+P1183+IF(Q1183="",0,Q1183*サマリー!$B$9)+IF(R1183="",0,IF(R1183=200,サマリー!$B$10,IF(R1183=100,サマリー!$B$11,0)))+IF(S1183="",0,S1183*サマリー!$B$12)</f>
        <v>0</v>
      </c>
      <c r="D1183" s="27">
        <f>T1183+U1183+V1183+W1183+X1183+IF(Y1183="",0,Y1183*サマリー!$B$9)+IF(Z1183="",0,IF(Z1183=200,サマリー!$B$10,IF(Z1183=100,サマリー!$B$11,0)))+IF(AA1183="",0,AA1183*サマリー!$B$12)</f>
        <v>0</v>
      </c>
      <c r="E1183" s="27">
        <f t="shared" si="36"/>
        <v>0</v>
      </c>
      <c r="I1183" s="30"/>
      <c r="J1183" s="30"/>
      <c r="K1183" s="30"/>
      <c r="L1183" s="30"/>
      <c r="M1183" s="30"/>
      <c r="N1183" s="30"/>
      <c r="O1183" s="30"/>
      <c r="P1183" s="30"/>
      <c r="Q1183" s="31"/>
      <c r="R1183" s="31"/>
      <c r="S1183" s="31"/>
      <c r="T1183" s="32"/>
      <c r="U1183" s="32"/>
      <c r="V1183" s="32"/>
      <c r="W1183" s="32"/>
      <c r="X1183" s="32"/>
      <c r="Y1183" s="33"/>
      <c r="Z1183" s="33"/>
      <c r="AA1183" s="33"/>
    </row>
    <row r="1184" spans="1:27">
      <c r="A1184" s="29"/>
      <c r="B1184" s="19">
        <f t="shared" si="37"/>
        <v>46327</v>
      </c>
      <c r="C1184" s="27">
        <f>I1184+J1184+K1184+L1184+M1184+N1184+O1184+P1184+IF(Q1184="",0,Q1184*サマリー!$B$9)+IF(R1184="",0,IF(R1184=200,サマリー!$B$10,IF(R1184=100,サマリー!$B$11,0)))+IF(S1184="",0,S1184*サマリー!$B$12)</f>
        <v>0</v>
      </c>
      <c r="D1184" s="27">
        <f>T1184+U1184+V1184+W1184+X1184+IF(Y1184="",0,Y1184*サマリー!$B$9)+IF(Z1184="",0,IF(Z1184=200,サマリー!$B$10,IF(Z1184=100,サマリー!$B$11,0)))+IF(AA1184="",0,AA1184*サマリー!$B$12)</f>
        <v>0</v>
      </c>
      <c r="E1184" s="27">
        <f t="shared" si="36"/>
        <v>0</v>
      </c>
      <c r="I1184" s="30"/>
      <c r="J1184" s="30"/>
      <c r="K1184" s="30"/>
      <c r="L1184" s="30"/>
      <c r="M1184" s="30"/>
      <c r="N1184" s="30"/>
      <c r="O1184" s="30"/>
      <c r="P1184" s="30"/>
      <c r="Q1184" s="31"/>
      <c r="R1184" s="31"/>
      <c r="S1184" s="31"/>
      <c r="T1184" s="32"/>
      <c r="U1184" s="32"/>
      <c r="V1184" s="32"/>
      <c r="W1184" s="32"/>
      <c r="X1184" s="32"/>
      <c r="Y1184" s="33"/>
      <c r="Z1184" s="33"/>
      <c r="AA1184" s="33"/>
    </row>
    <row r="1185" spans="1:27">
      <c r="A1185" s="29"/>
      <c r="B1185" s="19">
        <f t="shared" si="37"/>
        <v>46327</v>
      </c>
      <c r="C1185" s="27">
        <f>I1185+J1185+K1185+L1185+M1185+N1185+O1185+P1185+IF(Q1185="",0,Q1185*サマリー!$B$9)+IF(R1185="",0,IF(R1185=200,サマリー!$B$10,IF(R1185=100,サマリー!$B$11,0)))+IF(S1185="",0,S1185*サマリー!$B$12)</f>
        <v>0</v>
      </c>
      <c r="D1185" s="27">
        <f>T1185+U1185+V1185+W1185+X1185+IF(Y1185="",0,Y1185*サマリー!$B$9)+IF(Z1185="",0,IF(Z1185=200,サマリー!$B$10,IF(Z1185=100,サマリー!$B$11,0)))+IF(AA1185="",0,AA1185*サマリー!$B$12)</f>
        <v>0</v>
      </c>
      <c r="E1185" s="27">
        <f t="shared" si="36"/>
        <v>0</v>
      </c>
      <c r="I1185" s="30"/>
      <c r="J1185" s="30"/>
      <c r="K1185" s="30"/>
      <c r="L1185" s="30"/>
      <c r="M1185" s="30"/>
      <c r="N1185" s="30"/>
      <c r="O1185" s="30"/>
      <c r="P1185" s="30"/>
      <c r="Q1185" s="31"/>
      <c r="R1185" s="31"/>
      <c r="S1185" s="31"/>
      <c r="T1185" s="32"/>
      <c r="U1185" s="32"/>
      <c r="V1185" s="32"/>
      <c r="W1185" s="32"/>
      <c r="X1185" s="32"/>
      <c r="Y1185" s="33"/>
      <c r="Z1185" s="33"/>
      <c r="AA1185" s="33"/>
    </row>
    <row r="1186" spans="1:27">
      <c r="A1186" s="29"/>
      <c r="B1186" s="19">
        <f t="shared" si="37"/>
        <v>46327</v>
      </c>
      <c r="C1186" s="27">
        <f>I1186+J1186+K1186+L1186+M1186+N1186+O1186+P1186+IF(Q1186="",0,Q1186*サマリー!$B$9)+IF(R1186="",0,IF(R1186=200,サマリー!$B$10,IF(R1186=100,サマリー!$B$11,0)))+IF(S1186="",0,S1186*サマリー!$B$12)</f>
        <v>0</v>
      </c>
      <c r="D1186" s="27">
        <f>T1186+U1186+V1186+W1186+X1186+IF(Y1186="",0,Y1186*サマリー!$B$9)+IF(Z1186="",0,IF(Z1186=200,サマリー!$B$10,IF(Z1186=100,サマリー!$B$11,0)))+IF(AA1186="",0,AA1186*サマリー!$B$12)</f>
        <v>0</v>
      </c>
      <c r="E1186" s="27">
        <f t="shared" si="36"/>
        <v>0</v>
      </c>
      <c r="I1186" s="30"/>
      <c r="J1186" s="30"/>
      <c r="K1186" s="30"/>
      <c r="L1186" s="30"/>
      <c r="M1186" s="30"/>
      <c r="N1186" s="30"/>
      <c r="O1186" s="30"/>
      <c r="P1186" s="30"/>
      <c r="Q1186" s="31"/>
      <c r="R1186" s="31"/>
      <c r="S1186" s="31"/>
      <c r="T1186" s="32"/>
      <c r="U1186" s="32"/>
      <c r="V1186" s="32"/>
      <c r="W1186" s="32"/>
      <c r="X1186" s="32"/>
      <c r="Y1186" s="33"/>
      <c r="Z1186" s="33"/>
      <c r="AA1186" s="33"/>
    </row>
    <row r="1187" spans="1:27">
      <c r="A1187" s="29"/>
      <c r="B1187" s="19">
        <f t="shared" si="37"/>
        <v>46327</v>
      </c>
      <c r="C1187" s="27">
        <f>I1187+J1187+K1187+L1187+M1187+N1187+O1187+P1187+IF(Q1187="",0,Q1187*サマリー!$B$9)+IF(R1187="",0,IF(R1187=200,サマリー!$B$10,IF(R1187=100,サマリー!$B$11,0)))+IF(S1187="",0,S1187*サマリー!$B$12)</f>
        <v>0</v>
      </c>
      <c r="D1187" s="27">
        <f>T1187+U1187+V1187+W1187+X1187+IF(Y1187="",0,Y1187*サマリー!$B$9)+IF(Z1187="",0,IF(Z1187=200,サマリー!$B$10,IF(Z1187=100,サマリー!$B$11,0)))+IF(AA1187="",0,AA1187*サマリー!$B$12)</f>
        <v>0</v>
      </c>
      <c r="E1187" s="27">
        <f t="shared" si="36"/>
        <v>0</v>
      </c>
      <c r="I1187" s="30"/>
      <c r="J1187" s="30"/>
      <c r="K1187" s="30"/>
      <c r="L1187" s="30"/>
      <c r="M1187" s="30"/>
      <c r="N1187" s="30"/>
      <c r="O1187" s="30"/>
      <c r="P1187" s="30"/>
      <c r="Q1187" s="31"/>
      <c r="R1187" s="31"/>
      <c r="S1187" s="31"/>
      <c r="T1187" s="32"/>
      <c r="U1187" s="32"/>
      <c r="V1187" s="32"/>
      <c r="W1187" s="32"/>
      <c r="X1187" s="32"/>
      <c r="Y1187" s="33"/>
      <c r="Z1187" s="33"/>
      <c r="AA1187" s="33"/>
    </row>
    <row r="1188" spans="1:27">
      <c r="A1188" s="29"/>
      <c r="B1188" s="19">
        <f t="shared" si="37"/>
        <v>46327</v>
      </c>
      <c r="C1188" s="27">
        <f>I1188+J1188+K1188+L1188+M1188+N1188+O1188+P1188+IF(Q1188="",0,Q1188*サマリー!$B$9)+IF(R1188="",0,IF(R1188=200,サマリー!$B$10,IF(R1188=100,サマリー!$B$11,0)))+IF(S1188="",0,S1188*サマリー!$B$12)</f>
        <v>0</v>
      </c>
      <c r="D1188" s="27">
        <f>T1188+U1188+V1188+W1188+X1188+IF(Y1188="",0,Y1188*サマリー!$B$9)+IF(Z1188="",0,IF(Z1188=200,サマリー!$B$10,IF(Z1188=100,サマリー!$B$11,0)))+IF(AA1188="",0,AA1188*サマリー!$B$12)</f>
        <v>0</v>
      </c>
      <c r="E1188" s="27">
        <f t="shared" si="36"/>
        <v>0</v>
      </c>
      <c r="I1188" s="30"/>
      <c r="J1188" s="30"/>
      <c r="K1188" s="30"/>
      <c r="L1188" s="30"/>
      <c r="M1188" s="30"/>
      <c r="N1188" s="30"/>
      <c r="O1188" s="30"/>
      <c r="P1188" s="30"/>
      <c r="Q1188" s="31"/>
      <c r="R1188" s="31"/>
      <c r="S1188" s="31"/>
      <c r="T1188" s="32"/>
      <c r="U1188" s="32"/>
      <c r="V1188" s="32"/>
      <c r="W1188" s="32"/>
      <c r="X1188" s="32"/>
      <c r="Y1188" s="33"/>
      <c r="Z1188" s="33"/>
      <c r="AA1188" s="33"/>
    </row>
    <row r="1189" spans="1:27">
      <c r="A1189" s="29"/>
      <c r="B1189" s="19">
        <f t="shared" si="37"/>
        <v>46327</v>
      </c>
      <c r="C1189" s="27">
        <f>I1189+J1189+K1189+L1189+M1189+N1189+O1189+P1189+IF(Q1189="",0,Q1189*サマリー!$B$9)+IF(R1189="",0,IF(R1189=200,サマリー!$B$10,IF(R1189=100,サマリー!$B$11,0)))+IF(S1189="",0,S1189*サマリー!$B$12)</f>
        <v>0</v>
      </c>
      <c r="D1189" s="27">
        <f>T1189+U1189+V1189+W1189+X1189+IF(Y1189="",0,Y1189*サマリー!$B$9)+IF(Z1189="",0,IF(Z1189=200,サマリー!$B$10,IF(Z1189=100,サマリー!$B$11,0)))+IF(AA1189="",0,AA1189*サマリー!$B$12)</f>
        <v>0</v>
      </c>
      <c r="E1189" s="27">
        <f t="shared" si="36"/>
        <v>0</v>
      </c>
      <c r="I1189" s="30"/>
      <c r="J1189" s="30"/>
      <c r="K1189" s="30"/>
      <c r="L1189" s="30"/>
      <c r="M1189" s="30"/>
      <c r="N1189" s="30"/>
      <c r="O1189" s="30"/>
      <c r="P1189" s="30"/>
      <c r="Q1189" s="31"/>
      <c r="R1189" s="31"/>
      <c r="S1189" s="31"/>
      <c r="T1189" s="32"/>
      <c r="U1189" s="32"/>
      <c r="V1189" s="32"/>
      <c r="W1189" s="32"/>
      <c r="X1189" s="32"/>
      <c r="Y1189" s="33"/>
      <c r="Z1189" s="33"/>
      <c r="AA1189" s="33"/>
    </row>
    <row r="1190" spans="1:27">
      <c r="A1190" s="29"/>
      <c r="B1190" s="19">
        <f t="shared" si="37"/>
        <v>46327</v>
      </c>
      <c r="C1190" s="27">
        <f>I1190+J1190+K1190+L1190+M1190+N1190+O1190+P1190+IF(Q1190="",0,Q1190*サマリー!$B$9)+IF(R1190="",0,IF(R1190=200,サマリー!$B$10,IF(R1190=100,サマリー!$B$11,0)))+IF(S1190="",0,S1190*サマリー!$B$12)</f>
        <v>0</v>
      </c>
      <c r="D1190" s="27">
        <f>T1190+U1190+V1190+W1190+X1190+IF(Y1190="",0,Y1190*サマリー!$B$9)+IF(Z1190="",0,IF(Z1190=200,サマリー!$B$10,IF(Z1190=100,サマリー!$B$11,0)))+IF(AA1190="",0,AA1190*サマリー!$B$12)</f>
        <v>0</v>
      </c>
      <c r="E1190" s="27">
        <f t="shared" si="36"/>
        <v>0</v>
      </c>
      <c r="I1190" s="30"/>
      <c r="J1190" s="30"/>
      <c r="K1190" s="30"/>
      <c r="L1190" s="30"/>
      <c r="M1190" s="30"/>
      <c r="N1190" s="30"/>
      <c r="O1190" s="30"/>
      <c r="P1190" s="30"/>
      <c r="Q1190" s="31"/>
      <c r="R1190" s="31"/>
      <c r="S1190" s="31"/>
      <c r="T1190" s="32"/>
      <c r="U1190" s="32"/>
      <c r="V1190" s="32"/>
      <c r="W1190" s="32"/>
      <c r="X1190" s="32"/>
      <c r="Y1190" s="33"/>
      <c r="Z1190" s="33"/>
      <c r="AA1190" s="33"/>
    </row>
    <row r="1191" spans="1:27">
      <c r="A1191" s="29"/>
      <c r="B1191" s="19">
        <f t="shared" si="37"/>
        <v>46327</v>
      </c>
      <c r="C1191" s="27">
        <f>I1191+J1191+K1191+L1191+M1191+N1191+O1191+P1191+IF(Q1191="",0,Q1191*サマリー!$B$9)+IF(R1191="",0,IF(R1191=200,サマリー!$B$10,IF(R1191=100,サマリー!$B$11,0)))+IF(S1191="",0,S1191*サマリー!$B$12)</f>
        <v>0</v>
      </c>
      <c r="D1191" s="27">
        <f>T1191+U1191+V1191+W1191+X1191+IF(Y1191="",0,Y1191*サマリー!$B$9)+IF(Z1191="",0,IF(Z1191=200,サマリー!$B$10,IF(Z1191=100,サマリー!$B$11,0)))+IF(AA1191="",0,AA1191*サマリー!$B$12)</f>
        <v>0</v>
      </c>
      <c r="E1191" s="27">
        <f t="shared" si="36"/>
        <v>0</v>
      </c>
      <c r="I1191" s="30"/>
      <c r="J1191" s="30"/>
      <c r="K1191" s="30"/>
      <c r="L1191" s="30"/>
      <c r="M1191" s="30"/>
      <c r="N1191" s="30"/>
      <c r="O1191" s="30"/>
      <c r="P1191" s="30"/>
      <c r="Q1191" s="31"/>
      <c r="R1191" s="31"/>
      <c r="S1191" s="31"/>
      <c r="T1191" s="32"/>
      <c r="U1191" s="32"/>
      <c r="V1191" s="32"/>
      <c r="W1191" s="32"/>
      <c r="X1191" s="32"/>
      <c r="Y1191" s="33"/>
      <c r="Z1191" s="33"/>
      <c r="AA1191" s="33"/>
    </row>
    <row r="1192" spans="1:27">
      <c r="A1192" s="29"/>
      <c r="B1192" s="19">
        <f t="shared" si="37"/>
        <v>46327</v>
      </c>
      <c r="C1192" s="27">
        <f>I1192+J1192+K1192+L1192+M1192+N1192+O1192+P1192+IF(Q1192="",0,Q1192*サマリー!$B$9)+IF(R1192="",0,IF(R1192=200,サマリー!$B$10,IF(R1192=100,サマリー!$B$11,0)))+IF(S1192="",0,S1192*サマリー!$B$12)</f>
        <v>0</v>
      </c>
      <c r="D1192" s="27">
        <f>T1192+U1192+V1192+W1192+X1192+IF(Y1192="",0,Y1192*サマリー!$B$9)+IF(Z1192="",0,IF(Z1192=200,サマリー!$B$10,IF(Z1192=100,サマリー!$B$11,0)))+IF(AA1192="",0,AA1192*サマリー!$B$12)</f>
        <v>0</v>
      </c>
      <c r="E1192" s="27">
        <f t="shared" si="36"/>
        <v>0</v>
      </c>
      <c r="I1192" s="30"/>
      <c r="J1192" s="30"/>
      <c r="K1192" s="30"/>
      <c r="L1192" s="30"/>
      <c r="M1192" s="30"/>
      <c r="N1192" s="30"/>
      <c r="O1192" s="30"/>
      <c r="P1192" s="30"/>
      <c r="Q1192" s="31"/>
      <c r="R1192" s="31"/>
      <c r="S1192" s="31"/>
      <c r="T1192" s="32"/>
      <c r="U1192" s="32"/>
      <c r="V1192" s="32"/>
      <c r="W1192" s="32"/>
      <c r="X1192" s="32"/>
      <c r="Y1192" s="33"/>
      <c r="Z1192" s="33"/>
      <c r="AA1192" s="33"/>
    </row>
    <row r="1193" spans="1:27">
      <c r="A1193" s="29"/>
      <c r="B1193" s="19">
        <f t="shared" si="37"/>
        <v>46327</v>
      </c>
      <c r="C1193" s="27">
        <f>I1193+J1193+K1193+L1193+M1193+N1193+O1193+P1193+IF(Q1193="",0,Q1193*サマリー!$B$9)+IF(R1193="",0,IF(R1193=200,サマリー!$B$10,IF(R1193=100,サマリー!$B$11,0)))+IF(S1193="",0,S1193*サマリー!$B$12)</f>
        <v>0</v>
      </c>
      <c r="D1193" s="27">
        <f>T1193+U1193+V1193+W1193+X1193+IF(Y1193="",0,Y1193*サマリー!$B$9)+IF(Z1193="",0,IF(Z1193=200,サマリー!$B$10,IF(Z1193=100,サマリー!$B$11,0)))+IF(AA1193="",0,AA1193*サマリー!$B$12)</f>
        <v>0</v>
      </c>
      <c r="E1193" s="27">
        <f t="shared" si="36"/>
        <v>0</v>
      </c>
      <c r="I1193" s="30"/>
      <c r="J1193" s="30"/>
      <c r="K1193" s="30"/>
      <c r="L1193" s="30"/>
      <c r="M1193" s="30"/>
      <c r="N1193" s="30"/>
      <c r="O1193" s="30"/>
      <c r="P1193" s="30"/>
      <c r="Q1193" s="31"/>
      <c r="R1193" s="31"/>
      <c r="S1193" s="31"/>
      <c r="T1193" s="32"/>
      <c r="U1193" s="32"/>
      <c r="V1193" s="32"/>
      <c r="W1193" s="32"/>
      <c r="X1193" s="32"/>
      <c r="Y1193" s="33"/>
      <c r="Z1193" s="33"/>
      <c r="AA1193" s="33"/>
    </row>
    <row r="1194" spans="1:27">
      <c r="A1194" s="29"/>
      <c r="B1194" s="19">
        <f t="shared" si="37"/>
        <v>46327</v>
      </c>
      <c r="C1194" s="27">
        <f>I1194+J1194+K1194+L1194+M1194+N1194+O1194+P1194+IF(Q1194="",0,Q1194*サマリー!$B$9)+IF(R1194="",0,IF(R1194=200,サマリー!$B$10,IF(R1194=100,サマリー!$B$11,0)))+IF(S1194="",0,S1194*サマリー!$B$12)</f>
        <v>0</v>
      </c>
      <c r="D1194" s="27">
        <f>T1194+U1194+V1194+W1194+X1194+IF(Y1194="",0,Y1194*サマリー!$B$9)+IF(Z1194="",0,IF(Z1194=200,サマリー!$B$10,IF(Z1194=100,サマリー!$B$11,0)))+IF(AA1194="",0,AA1194*サマリー!$B$12)</f>
        <v>0</v>
      </c>
      <c r="E1194" s="27">
        <f t="shared" si="36"/>
        <v>0</v>
      </c>
      <c r="I1194" s="30"/>
      <c r="J1194" s="30"/>
      <c r="K1194" s="30"/>
      <c r="L1194" s="30"/>
      <c r="M1194" s="30"/>
      <c r="N1194" s="30"/>
      <c r="O1194" s="30"/>
      <c r="P1194" s="30"/>
      <c r="Q1194" s="31"/>
      <c r="R1194" s="31"/>
      <c r="S1194" s="31"/>
      <c r="T1194" s="32"/>
      <c r="U1194" s="32"/>
      <c r="V1194" s="32"/>
      <c r="W1194" s="32"/>
      <c r="X1194" s="32"/>
      <c r="Y1194" s="33"/>
      <c r="Z1194" s="33"/>
      <c r="AA1194" s="33"/>
    </row>
    <row r="1195" spans="1:27">
      <c r="A1195" s="29"/>
      <c r="B1195" s="19">
        <f t="shared" si="37"/>
        <v>46327</v>
      </c>
      <c r="C1195" s="27">
        <f>I1195+J1195+K1195+L1195+M1195+N1195+O1195+P1195+IF(Q1195="",0,Q1195*サマリー!$B$9)+IF(R1195="",0,IF(R1195=200,サマリー!$B$10,IF(R1195=100,サマリー!$B$11,0)))+IF(S1195="",0,S1195*サマリー!$B$12)</f>
        <v>0</v>
      </c>
      <c r="D1195" s="27">
        <f>T1195+U1195+V1195+W1195+X1195+IF(Y1195="",0,Y1195*サマリー!$B$9)+IF(Z1195="",0,IF(Z1195=200,サマリー!$B$10,IF(Z1195=100,サマリー!$B$11,0)))+IF(AA1195="",0,AA1195*サマリー!$B$12)</f>
        <v>0</v>
      </c>
      <c r="E1195" s="27">
        <f t="shared" si="36"/>
        <v>0</v>
      </c>
      <c r="I1195" s="30"/>
      <c r="J1195" s="30"/>
      <c r="K1195" s="30"/>
      <c r="L1195" s="30"/>
      <c r="M1195" s="30"/>
      <c r="N1195" s="30"/>
      <c r="O1195" s="30"/>
      <c r="P1195" s="30"/>
      <c r="Q1195" s="31"/>
      <c r="R1195" s="31"/>
      <c r="S1195" s="31"/>
      <c r="T1195" s="32"/>
      <c r="U1195" s="32"/>
      <c r="V1195" s="32"/>
      <c r="W1195" s="32"/>
      <c r="X1195" s="32"/>
      <c r="Y1195" s="33"/>
      <c r="Z1195" s="33"/>
      <c r="AA1195" s="33"/>
    </row>
    <row r="1196" spans="1:27">
      <c r="A1196" s="29"/>
      <c r="B1196" s="19">
        <f t="shared" si="37"/>
        <v>46327</v>
      </c>
      <c r="C1196" s="27">
        <f>I1196+J1196+K1196+L1196+M1196+N1196+O1196+P1196+IF(Q1196="",0,Q1196*サマリー!$B$9)+IF(R1196="",0,IF(R1196=200,サマリー!$B$10,IF(R1196=100,サマリー!$B$11,0)))+IF(S1196="",0,S1196*サマリー!$B$12)</f>
        <v>0</v>
      </c>
      <c r="D1196" s="27">
        <f>T1196+U1196+V1196+W1196+X1196+IF(Y1196="",0,Y1196*サマリー!$B$9)+IF(Z1196="",0,IF(Z1196=200,サマリー!$B$10,IF(Z1196=100,サマリー!$B$11,0)))+IF(AA1196="",0,AA1196*サマリー!$B$12)</f>
        <v>0</v>
      </c>
      <c r="E1196" s="27">
        <f t="shared" si="36"/>
        <v>0</v>
      </c>
      <c r="I1196" s="30"/>
      <c r="J1196" s="30"/>
      <c r="K1196" s="30"/>
      <c r="L1196" s="30"/>
      <c r="M1196" s="30"/>
      <c r="N1196" s="30"/>
      <c r="O1196" s="30"/>
      <c r="P1196" s="30"/>
      <c r="Q1196" s="31"/>
      <c r="R1196" s="31"/>
      <c r="S1196" s="31"/>
      <c r="T1196" s="32"/>
      <c r="U1196" s="32"/>
      <c r="V1196" s="32"/>
      <c r="W1196" s="32"/>
      <c r="X1196" s="32"/>
      <c r="Y1196" s="33"/>
      <c r="Z1196" s="33"/>
      <c r="AA1196" s="33"/>
    </row>
    <row r="1197" spans="1:27">
      <c r="A1197" s="29"/>
      <c r="B1197" s="19">
        <f t="shared" si="37"/>
        <v>46327</v>
      </c>
      <c r="C1197" s="27">
        <f>I1197+J1197+K1197+L1197+M1197+N1197+O1197+P1197+IF(Q1197="",0,Q1197*サマリー!$B$9)+IF(R1197="",0,IF(R1197=200,サマリー!$B$10,IF(R1197=100,サマリー!$B$11,0)))+IF(S1197="",0,S1197*サマリー!$B$12)</f>
        <v>0</v>
      </c>
      <c r="D1197" s="27">
        <f>T1197+U1197+V1197+W1197+X1197+IF(Y1197="",0,Y1197*サマリー!$B$9)+IF(Z1197="",0,IF(Z1197=200,サマリー!$B$10,IF(Z1197=100,サマリー!$B$11,0)))+IF(AA1197="",0,AA1197*サマリー!$B$12)</f>
        <v>0</v>
      </c>
      <c r="E1197" s="27">
        <f t="shared" si="36"/>
        <v>0</v>
      </c>
      <c r="I1197" s="30"/>
      <c r="J1197" s="30"/>
      <c r="K1197" s="30"/>
      <c r="L1197" s="30"/>
      <c r="M1197" s="30"/>
      <c r="N1197" s="30"/>
      <c r="O1197" s="30"/>
      <c r="P1197" s="30"/>
      <c r="Q1197" s="31"/>
      <c r="R1197" s="31"/>
      <c r="S1197" s="31"/>
      <c r="T1197" s="32"/>
      <c r="U1197" s="32"/>
      <c r="V1197" s="32"/>
      <c r="W1197" s="32"/>
      <c r="X1197" s="32"/>
      <c r="Y1197" s="33"/>
      <c r="Z1197" s="33"/>
      <c r="AA1197" s="33"/>
    </row>
    <row r="1198" spans="1:27">
      <c r="A1198" s="29"/>
      <c r="B1198" s="19">
        <f t="shared" si="37"/>
        <v>46327</v>
      </c>
      <c r="C1198" s="27">
        <f>I1198+J1198+K1198+L1198+M1198+N1198+O1198+P1198+IF(Q1198="",0,Q1198*サマリー!$B$9)+IF(R1198="",0,IF(R1198=200,サマリー!$B$10,IF(R1198=100,サマリー!$B$11,0)))+IF(S1198="",0,S1198*サマリー!$B$12)</f>
        <v>0</v>
      </c>
      <c r="D1198" s="27">
        <f>T1198+U1198+V1198+W1198+X1198+IF(Y1198="",0,Y1198*サマリー!$B$9)+IF(Z1198="",0,IF(Z1198=200,サマリー!$B$10,IF(Z1198=100,サマリー!$B$11,0)))+IF(AA1198="",0,AA1198*サマリー!$B$12)</f>
        <v>0</v>
      </c>
      <c r="E1198" s="27">
        <f t="shared" si="36"/>
        <v>0</v>
      </c>
      <c r="I1198" s="30"/>
      <c r="J1198" s="30"/>
      <c r="K1198" s="30"/>
      <c r="L1198" s="30"/>
      <c r="M1198" s="30"/>
      <c r="N1198" s="30"/>
      <c r="O1198" s="30"/>
      <c r="P1198" s="30"/>
      <c r="Q1198" s="31"/>
      <c r="R1198" s="31"/>
      <c r="S1198" s="31"/>
      <c r="T1198" s="32"/>
      <c r="U1198" s="32"/>
      <c r="V1198" s="32"/>
      <c r="W1198" s="32"/>
      <c r="X1198" s="32"/>
      <c r="Y1198" s="33"/>
      <c r="Z1198" s="33"/>
      <c r="AA1198" s="33"/>
    </row>
    <row r="1199" spans="1:27">
      <c r="A1199" s="29"/>
      <c r="B1199" s="19">
        <f t="shared" si="37"/>
        <v>46327</v>
      </c>
      <c r="C1199" s="27">
        <f>I1199+J1199+K1199+L1199+M1199+N1199+O1199+P1199+IF(Q1199="",0,Q1199*サマリー!$B$9)+IF(R1199="",0,IF(R1199=200,サマリー!$B$10,IF(R1199=100,サマリー!$B$11,0)))+IF(S1199="",0,S1199*サマリー!$B$12)</f>
        <v>0</v>
      </c>
      <c r="D1199" s="27">
        <f>T1199+U1199+V1199+W1199+X1199+IF(Y1199="",0,Y1199*サマリー!$B$9)+IF(Z1199="",0,IF(Z1199=200,サマリー!$B$10,IF(Z1199=100,サマリー!$B$11,0)))+IF(AA1199="",0,AA1199*サマリー!$B$12)</f>
        <v>0</v>
      </c>
      <c r="E1199" s="27">
        <f t="shared" si="36"/>
        <v>0</v>
      </c>
      <c r="I1199" s="30"/>
      <c r="J1199" s="30"/>
      <c r="K1199" s="30"/>
      <c r="L1199" s="30"/>
      <c r="M1199" s="30"/>
      <c r="N1199" s="30"/>
      <c r="O1199" s="30"/>
      <c r="P1199" s="30"/>
      <c r="Q1199" s="31"/>
      <c r="R1199" s="31"/>
      <c r="S1199" s="31"/>
      <c r="T1199" s="32"/>
      <c r="U1199" s="32"/>
      <c r="V1199" s="32"/>
      <c r="W1199" s="32"/>
      <c r="X1199" s="32"/>
      <c r="Y1199" s="33"/>
      <c r="Z1199" s="33"/>
      <c r="AA1199" s="33"/>
    </row>
    <row r="1200" spans="1:27">
      <c r="A1200" s="29"/>
      <c r="B1200" s="19">
        <f t="shared" si="37"/>
        <v>46327</v>
      </c>
      <c r="C1200" s="27">
        <f>I1200+J1200+K1200+L1200+M1200+N1200+O1200+P1200+IF(Q1200="",0,Q1200*サマリー!$B$9)+IF(R1200="",0,IF(R1200=200,サマリー!$B$10,IF(R1200=100,サマリー!$B$11,0)))+IF(S1200="",0,S1200*サマリー!$B$12)</f>
        <v>0</v>
      </c>
      <c r="D1200" s="27">
        <f>T1200+U1200+V1200+W1200+X1200+IF(Y1200="",0,Y1200*サマリー!$B$9)+IF(Z1200="",0,IF(Z1200=200,サマリー!$B$10,IF(Z1200=100,サマリー!$B$11,0)))+IF(AA1200="",0,AA1200*サマリー!$B$12)</f>
        <v>0</v>
      </c>
      <c r="E1200" s="27">
        <f t="shared" si="36"/>
        <v>0</v>
      </c>
      <c r="I1200" s="30"/>
      <c r="J1200" s="30"/>
      <c r="K1200" s="30"/>
      <c r="L1200" s="30"/>
      <c r="M1200" s="30"/>
      <c r="N1200" s="30"/>
      <c r="O1200" s="30"/>
      <c r="P1200" s="30"/>
      <c r="Q1200" s="31"/>
      <c r="R1200" s="31"/>
      <c r="S1200" s="31"/>
      <c r="T1200" s="32"/>
      <c r="U1200" s="32"/>
      <c r="V1200" s="32"/>
      <c r="W1200" s="32"/>
      <c r="X1200" s="32"/>
      <c r="Y1200" s="33"/>
      <c r="Z1200" s="33"/>
      <c r="AA1200" s="33"/>
    </row>
    <row r="1201" spans="1:27">
      <c r="A1201" s="29"/>
      <c r="B1201" s="19">
        <f t="shared" si="37"/>
        <v>46327</v>
      </c>
      <c r="C1201" s="27">
        <f>I1201+J1201+K1201+L1201+M1201+N1201+O1201+P1201+IF(Q1201="",0,Q1201*サマリー!$B$9)+IF(R1201="",0,IF(R1201=200,サマリー!$B$10,IF(R1201=100,サマリー!$B$11,0)))+IF(S1201="",0,S1201*サマリー!$B$12)</f>
        <v>0</v>
      </c>
      <c r="D1201" s="27">
        <f>T1201+U1201+V1201+W1201+X1201+IF(Y1201="",0,Y1201*サマリー!$B$9)+IF(Z1201="",0,IF(Z1201=200,サマリー!$B$10,IF(Z1201=100,サマリー!$B$11,0)))+IF(AA1201="",0,AA1201*サマリー!$B$12)</f>
        <v>0</v>
      </c>
      <c r="E1201" s="27">
        <f t="shared" si="36"/>
        <v>0</v>
      </c>
      <c r="I1201" s="30"/>
      <c r="J1201" s="30"/>
      <c r="K1201" s="30"/>
      <c r="L1201" s="30"/>
      <c r="M1201" s="30"/>
      <c r="N1201" s="30"/>
      <c r="O1201" s="30"/>
      <c r="P1201" s="30"/>
      <c r="Q1201" s="31"/>
      <c r="R1201" s="31"/>
      <c r="S1201" s="31"/>
      <c r="T1201" s="32"/>
      <c r="U1201" s="32"/>
      <c r="V1201" s="32"/>
      <c r="W1201" s="32"/>
      <c r="X1201" s="32"/>
      <c r="Y1201" s="33"/>
      <c r="Z1201" s="33"/>
      <c r="AA1201" s="33"/>
    </row>
    <row r="1202" spans="1:27">
      <c r="A1202" s="29"/>
      <c r="B1202" s="19">
        <f t="shared" si="37"/>
        <v>46327</v>
      </c>
      <c r="C1202" s="27">
        <f>I1202+J1202+K1202+L1202+M1202+N1202+O1202+P1202+IF(Q1202="",0,Q1202*サマリー!$B$9)+IF(R1202="",0,IF(R1202=200,サマリー!$B$10,IF(R1202=100,サマリー!$B$11,0)))+IF(S1202="",0,S1202*サマリー!$B$12)</f>
        <v>0</v>
      </c>
      <c r="D1202" s="27">
        <f>T1202+U1202+V1202+W1202+X1202+IF(Y1202="",0,Y1202*サマリー!$B$9)+IF(Z1202="",0,IF(Z1202=200,サマリー!$B$10,IF(Z1202=100,サマリー!$B$11,0)))+IF(AA1202="",0,AA1202*サマリー!$B$12)</f>
        <v>0</v>
      </c>
      <c r="E1202" s="27">
        <f t="shared" si="36"/>
        <v>0</v>
      </c>
      <c r="I1202" s="30"/>
      <c r="J1202" s="30"/>
      <c r="K1202" s="30"/>
      <c r="L1202" s="30"/>
      <c r="M1202" s="30"/>
      <c r="N1202" s="30"/>
      <c r="O1202" s="30"/>
      <c r="P1202" s="30"/>
      <c r="Q1202" s="31"/>
      <c r="R1202" s="31"/>
      <c r="S1202" s="31"/>
      <c r="T1202" s="32"/>
      <c r="U1202" s="32"/>
      <c r="V1202" s="32"/>
      <c r="W1202" s="32"/>
      <c r="X1202" s="32"/>
      <c r="Y1202" s="33"/>
      <c r="Z1202" s="33"/>
      <c r="AA1202" s="33"/>
    </row>
    <row r="1203" spans="1:27">
      <c r="A1203" s="29"/>
      <c r="B1203" s="19">
        <f t="shared" si="37"/>
        <v>46327</v>
      </c>
      <c r="C1203" s="27">
        <f>I1203+J1203+K1203+L1203+M1203+N1203+O1203+P1203+IF(Q1203="",0,Q1203*サマリー!$B$9)+IF(R1203="",0,IF(R1203=200,サマリー!$B$10,IF(R1203=100,サマリー!$B$11,0)))+IF(S1203="",0,S1203*サマリー!$B$12)</f>
        <v>0</v>
      </c>
      <c r="D1203" s="27">
        <f>T1203+U1203+V1203+W1203+X1203+IF(Y1203="",0,Y1203*サマリー!$B$9)+IF(Z1203="",0,IF(Z1203=200,サマリー!$B$10,IF(Z1203=100,サマリー!$B$11,0)))+IF(AA1203="",0,AA1203*サマリー!$B$12)</f>
        <v>0</v>
      </c>
      <c r="E1203" s="27">
        <f t="shared" si="36"/>
        <v>0</v>
      </c>
      <c r="I1203" s="30"/>
      <c r="J1203" s="30"/>
      <c r="K1203" s="30"/>
      <c r="L1203" s="30"/>
      <c r="M1203" s="30"/>
      <c r="N1203" s="30"/>
      <c r="O1203" s="30"/>
      <c r="P1203" s="30"/>
      <c r="Q1203" s="31"/>
      <c r="R1203" s="31"/>
      <c r="S1203" s="31"/>
      <c r="T1203" s="32"/>
      <c r="U1203" s="32"/>
      <c r="V1203" s="32"/>
      <c r="W1203" s="32"/>
      <c r="X1203" s="32"/>
      <c r="Y1203" s="33"/>
      <c r="Z1203" s="33"/>
      <c r="AA1203" s="33"/>
    </row>
    <row r="1204" spans="1:27">
      <c r="A1204" s="29"/>
      <c r="B1204" s="19">
        <f t="shared" si="37"/>
        <v>46327</v>
      </c>
      <c r="C1204" s="27">
        <f>I1204+J1204+K1204+L1204+M1204+N1204+O1204+P1204+IF(Q1204="",0,Q1204*サマリー!$B$9)+IF(R1204="",0,IF(R1204=200,サマリー!$B$10,IF(R1204=100,サマリー!$B$11,0)))+IF(S1204="",0,S1204*サマリー!$B$12)</f>
        <v>0</v>
      </c>
      <c r="D1204" s="27">
        <f>T1204+U1204+V1204+W1204+X1204+IF(Y1204="",0,Y1204*サマリー!$B$9)+IF(Z1204="",0,IF(Z1204=200,サマリー!$B$10,IF(Z1204=100,サマリー!$B$11,0)))+IF(AA1204="",0,AA1204*サマリー!$B$12)</f>
        <v>0</v>
      </c>
      <c r="E1204" s="27">
        <f t="shared" si="36"/>
        <v>0</v>
      </c>
      <c r="I1204" s="30"/>
      <c r="J1204" s="30"/>
      <c r="K1204" s="30"/>
      <c r="L1204" s="30"/>
      <c r="M1204" s="30"/>
      <c r="N1204" s="30"/>
      <c r="O1204" s="30"/>
      <c r="P1204" s="30"/>
      <c r="Q1204" s="31"/>
      <c r="R1204" s="31"/>
      <c r="S1204" s="31"/>
      <c r="T1204" s="32"/>
      <c r="U1204" s="32"/>
      <c r="V1204" s="32"/>
      <c r="W1204" s="32"/>
      <c r="X1204" s="32"/>
      <c r="Y1204" s="33"/>
      <c r="Z1204" s="33"/>
      <c r="AA1204" s="33"/>
    </row>
    <row r="1205" spans="1:27">
      <c r="A1205" s="29"/>
      <c r="B1205" s="19">
        <f t="shared" si="37"/>
        <v>46327</v>
      </c>
      <c r="C1205" s="27">
        <f>I1205+J1205+K1205+L1205+M1205+N1205+O1205+P1205+IF(Q1205="",0,Q1205*サマリー!$B$9)+IF(R1205="",0,IF(R1205=200,サマリー!$B$10,IF(R1205=100,サマリー!$B$11,0)))+IF(S1205="",0,S1205*サマリー!$B$12)</f>
        <v>0</v>
      </c>
      <c r="D1205" s="27">
        <f>T1205+U1205+V1205+W1205+X1205+IF(Y1205="",0,Y1205*サマリー!$B$9)+IF(Z1205="",0,IF(Z1205=200,サマリー!$B$10,IF(Z1205=100,サマリー!$B$11,0)))+IF(AA1205="",0,AA1205*サマリー!$B$12)</f>
        <v>0</v>
      </c>
      <c r="E1205" s="27">
        <f t="shared" si="36"/>
        <v>0</v>
      </c>
      <c r="I1205" s="30"/>
      <c r="J1205" s="30"/>
      <c r="K1205" s="30"/>
      <c r="L1205" s="30"/>
      <c r="M1205" s="30"/>
      <c r="N1205" s="30"/>
      <c r="O1205" s="30"/>
      <c r="P1205" s="30"/>
      <c r="Q1205" s="31"/>
      <c r="R1205" s="31"/>
      <c r="S1205" s="31"/>
      <c r="T1205" s="32"/>
      <c r="U1205" s="32"/>
      <c r="V1205" s="32"/>
      <c r="W1205" s="32"/>
      <c r="X1205" s="32"/>
      <c r="Y1205" s="33"/>
      <c r="Z1205" s="33"/>
      <c r="AA1205" s="33"/>
    </row>
    <row r="1206" spans="1:27">
      <c r="A1206" s="29"/>
      <c r="B1206" s="19">
        <f t="shared" si="37"/>
        <v>46327</v>
      </c>
      <c r="C1206" s="27">
        <f>I1206+J1206+K1206+L1206+M1206+N1206+O1206+P1206+IF(Q1206="",0,Q1206*サマリー!$B$9)+IF(R1206="",0,IF(R1206=200,サマリー!$B$10,IF(R1206=100,サマリー!$B$11,0)))+IF(S1206="",0,S1206*サマリー!$B$12)</f>
        <v>0</v>
      </c>
      <c r="D1206" s="27">
        <f>T1206+U1206+V1206+W1206+X1206+IF(Y1206="",0,Y1206*サマリー!$B$9)+IF(Z1206="",0,IF(Z1206=200,サマリー!$B$10,IF(Z1206=100,サマリー!$B$11,0)))+IF(AA1206="",0,AA1206*サマリー!$B$12)</f>
        <v>0</v>
      </c>
      <c r="E1206" s="27">
        <f t="shared" si="36"/>
        <v>0</v>
      </c>
      <c r="I1206" s="30"/>
      <c r="J1206" s="30"/>
      <c r="K1206" s="30"/>
      <c r="L1206" s="30"/>
      <c r="M1206" s="30"/>
      <c r="N1206" s="30"/>
      <c r="O1206" s="30"/>
      <c r="P1206" s="30"/>
      <c r="Q1206" s="31"/>
      <c r="R1206" s="31"/>
      <c r="S1206" s="31"/>
      <c r="T1206" s="32"/>
      <c r="U1206" s="32"/>
      <c r="V1206" s="32"/>
      <c r="W1206" s="32"/>
      <c r="X1206" s="32"/>
      <c r="Y1206" s="33"/>
      <c r="Z1206" s="33"/>
      <c r="AA1206" s="33"/>
    </row>
    <row r="1207" spans="1:27">
      <c r="A1207" s="29"/>
      <c r="B1207" s="19">
        <f t="shared" si="37"/>
        <v>46327</v>
      </c>
      <c r="C1207" s="27">
        <f>I1207+J1207+K1207+L1207+M1207+N1207+O1207+P1207+IF(Q1207="",0,Q1207*サマリー!$B$9)+IF(R1207="",0,IF(R1207=200,サマリー!$B$10,IF(R1207=100,サマリー!$B$11,0)))+IF(S1207="",0,S1207*サマリー!$B$12)</f>
        <v>0</v>
      </c>
      <c r="D1207" s="27">
        <f>T1207+U1207+V1207+W1207+X1207+IF(Y1207="",0,Y1207*サマリー!$B$9)+IF(Z1207="",0,IF(Z1207=200,サマリー!$B$10,IF(Z1207=100,サマリー!$B$11,0)))+IF(AA1207="",0,AA1207*サマリー!$B$12)</f>
        <v>0</v>
      </c>
      <c r="E1207" s="27">
        <f t="shared" si="36"/>
        <v>0</v>
      </c>
      <c r="I1207" s="30"/>
      <c r="J1207" s="30"/>
      <c r="K1207" s="30"/>
      <c r="L1207" s="30"/>
      <c r="M1207" s="30"/>
      <c r="N1207" s="30"/>
      <c r="O1207" s="30"/>
      <c r="P1207" s="30"/>
      <c r="Q1207" s="31"/>
      <c r="R1207" s="31"/>
      <c r="S1207" s="31"/>
      <c r="T1207" s="32"/>
      <c r="U1207" s="32"/>
      <c r="V1207" s="32"/>
      <c r="W1207" s="32"/>
      <c r="X1207" s="32"/>
      <c r="Y1207" s="33"/>
      <c r="Z1207" s="33"/>
      <c r="AA1207" s="33"/>
    </row>
    <row r="1208" spans="1:27">
      <c r="A1208" s="29"/>
      <c r="B1208" s="19">
        <f t="shared" si="37"/>
        <v>46327</v>
      </c>
      <c r="C1208" s="27">
        <f>I1208+J1208+K1208+L1208+M1208+N1208+O1208+P1208+IF(Q1208="",0,Q1208*サマリー!$B$9)+IF(R1208="",0,IF(R1208=200,サマリー!$B$10,IF(R1208=100,サマリー!$B$11,0)))+IF(S1208="",0,S1208*サマリー!$B$12)</f>
        <v>0</v>
      </c>
      <c r="D1208" s="27">
        <f>T1208+U1208+V1208+W1208+X1208+IF(Y1208="",0,Y1208*サマリー!$B$9)+IF(Z1208="",0,IF(Z1208=200,サマリー!$B$10,IF(Z1208=100,サマリー!$B$11,0)))+IF(AA1208="",0,AA1208*サマリー!$B$12)</f>
        <v>0</v>
      </c>
      <c r="E1208" s="27">
        <f t="shared" si="36"/>
        <v>0</v>
      </c>
      <c r="I1208" s="30"/>
      <c r="J1208" s="30"/>
      <c r="K1208" s="30"/>
      <c r="L1208" s="30"/>
      <c r="M1208" s="30"/>
      <c r="N1208" s="30"/>
      <c r="O1208" s="30"/>
      <c r="P1208" s="30"/>
      <c r="Q1208" s="31"/>
      <c r="R1208" s="31"/>
      <c r="S1208" s="31"/>
      <c r="T1208" s="32"/>
      <c r="U1208" s="32"/>
      <c r="V1208" s="32"/>
      <c r="W1208" s="32"/>
      <c r="X1208" s="32"/>
      <c r="Y1208" s="33"/>
      <c r="Z1208" s="33"/>
      <c r="AA1208" s="33"/>
    </row>
    <row r="1209" spans="1:27">
      <c r="A1209" s="29"/>
      <c r="B1209" s="19">
        <f t="shared" si="37"/>
        <v>46327</v>
      </c>
      <c r="C1209" s="27">
        <f>I1209+J1209+K1209+L1209+M1209+N1209+O1209+P1209+IF(Q1209="",0,Q1209*サマリー!$B$9)+IF(R1209="",0,IF(R1209=200,サマリー!$B$10,IF(R1209=100,サマリー!$B$11,0)))+IF(S1209="",0,S1209*サマリー!$B$12)</f>
        <v>0</v>
      </c>
      <c r="D1209" s="27">
        <f>T1209+U1209+V1209+W1209+X1209+IF(Y1209="",0,Y1209*サマリー!$B$9)+IF(Z1209="",0,IF(Z1209=200,サマリー!$B$10,IF(Z1209=100,サマリー!$B$11,0)))+IF(AA1209="",0,AA1209*サマリー!$B$12)</f>
        <v>0</v>
      </c>
      <c r="E1209" s="27">
        <f t="shared" si="36"/>
        <v>0</v>
      </c>
      <c r="I1209" s="30"/>
      <c r="J1209" s="30"/>
      <c r="K1209" s="30"/>
      <c r="L1209" s="30"/>
      <c r="M1209" s="30"/>
      <c r="N1209" s="30"/>
      <c r="O1209" s="30"/>
      <c r="P1209" s="30"/>
      <c r="Q1209" s="31"/>
      <c r="R1209" s="31"/>
      <c r="S1209" s="31"/>
      <c r="T1209" s="32"/>
      <c r="U1209" s="32"/>
      <c r="V1209" s="32"/>
      <c r="W1209" s="32"/>
      <c r="X1209" s="32"/>
      <c r="Y1209" s="33"/>
      <c r="Z1209" s="33"/>
      <c r="AA1209" s="33"/>
    </row>
    <row r="1210" spans="1:27">
      <c r="A1210" s="29"/>
      <c r="B1210" s="19">
        <f t="shared" si="37"/>
        <v>46327</v>
      </c>
      <c r="C1210" s="27">
        <f>I1210+J1210+K1210+L1210+M1210+N1210+O1210+P1210+IF(Q1210="",0,Q1210*サマリー!$B$9)+IF(R1210="",0,IF(R1210=200,サマリー!$B$10,IF(R1210=100,サマリー!$B$11,0)))+IF(S1210="",0,S1210*サマリー!$B$12)</f>
        <v>0</v>
      </c>
      <c r="D1210" s="27">
        <f>T1210+U1210+V1210+W1210+X1210+IF(Y1210="",0,Y1210*サマリー!$B$9)+IF(Z1210="",0,IF(Z1210=200,サマリー!$B$10,IF(Z1210=100,サマリー!$B$11,0)))+IF(AA1210="",0,AA1210*サマリー!$B$12)</f>
        <v>0</v>
      </c>
      <c r="E1210" s="27">
        <f t="shared" si="36"/>
        <v>0</v>
      </c>
      <c r="I1210" s="30"/>
      <c r="J1210" s="30"/>
      <c r="K1210" s="30"/>
      <c r="L1210" s="30"/>
      <c r="M1210" s="30"/>
      <c r="N1210" s="30"/>
      <c r="O1210" s="30"/>
      <c r="P1210" s="30"/>
      <c r="Q1210" s="31"/>
      <c r="R1210" s="31"/>
      <c r="S1210" s="31"/>
      <c r="T1210" s="32"/>
      <c r="U1210" s="32"/>
      <c r="V1210" s="32"/>
      <c r="W1210" s="32"/>
      <c r="X1210" s="32"/>
      <c r="Y1210" s="33"/>
      <c r="Z1210" s="33"/>
      <c r="AA1210" s="33"/>
    </row>
    <row r="1211" spans="1:27">
      <c r="A1211" s="29"/>
      <c r="B1211" s="19">
        <f t="shared" si="37"/>
        <v>46327</v>
      </c>
      <c r="C1211" s="27">
        <f>I1211+J1211+K1211+L1211+M1211+N1211+O1211+P1211+IF(Q1211="",0,Q1211*サマリー!$B$9)+IF(R1211="",0,IF(R1211=200,サマリー!$B$10,IF(R1211=100,サマリー!$B$11,0)))+IF(S1211="",0,S1211*サマリー!$B$12)</f>
        <v>0</v>
      </c>
      <c r="D1211" s="27">
        <f>T1211+U1211+V1211+W1211+X1211+IF(Y1211="",0,Y1211*サマリー!$B$9)+IF(Z1211="",0,IF(Z1211=200,サマリー!$B$10,IF(Z1211=100,サマリー!$B$11,0)))+IF(AA1211="",0,AA1211*サマリー!$B$12)</f>
        <v>0</v>
      </c>
      <c r="E1211" s="27">
        <f t="shared" si="36"/>
        <v>0</v>
      </c>
      <c r="I1211" s="30"/>
      <c r="J1211" s="30"/>
      <c r="K1211" s="30"/>
      <c r="L1211" s="30"/>
      <c r="M1211" s="30"/>
      <c r="N1211" s="30"/>
      <c r="O1211" s="30"/>
      <c r="P1211" s="30"/>
      <c r="Q1211" s="31"/>
      <c r="R1211" s="31"/>
      <c r="S1211" s="31"/>
      <c r="T1211" s="32"/>
      <c r="U1211" s="32"/>
      <c r="V1211" s="32"/>
      <c r="W1211" s="32"/>
      <c r="X1211" s="32"/>
      <c r="Y1211" s="33"/>
      <c r="Z1211" s="33"/>
      <c r="AA1211" s="33"/>
    </row>
    <row r="1212" spans="1:27">
      <c r="A1212" s="29"/>
      <c r="B1212" s="19">
        <f t="shared" si="37"/>
        <v>46327</v>
      </c>
      <c r="C1212" s="27">
        <f>I1212+J1212+K1212+L1212+M1212+N1212+O1212+P1212+IF(Q1212="",0,Q1212*サマリー!$B$9)+IF(R1212="",0,IF(R1212=200,サマリー!$B$10,IF(R1212=100,サマリー!$B$11,0)))+IF(S1212="",0,S1212*サマリー!$B$12)</f>
        <v>0</v>
      </c>
      <c r="D1212" s="27">
        <f>T1212+U1212+V1212+W1212+X1212+IF(Y1212="",0,Y1212*サマリー!$B$9)+IF(Z1212="",0,IF(Z1212=200,サマリー!$B$10,IF(Z1212=100,サマリー!$B$11,0)))+IF(AA1212="",0,AA1212*サマリー!$B$12)</f>
        <v>0</v>
      </c>
      <c r="E1212" s="27">
        <f t="shared" si="36"/>
        <v>0</v>
      </c>
      <c r="I1212" s="30"/>
      <c r="J1212" s="30"/>
      <c r="K1212" s="30"/>
      <c r="L1212" s="30"/>
      <c r="M1212" s="30"/>
      <c r="N1212" s="30"/>
      <c r="O1212" s="30"/>
      <c r="P1212" s="30"/>
      <c r="Q1212" s="31"/>
      <c r="R1212" s="31"/>
      <c r="S1212" s="31"/>
      <c r="T1212" s="32"/>
      <c r="U1212" s="32"/>
      <c r="V1212" s="32"/>
      <c r="W1212" s="32"/>
      <c r="X1212" s="32"/>
      <c r="Y1212" s="33"/>
      <c r="Z1212" s="33"/>
      <c r="AA1212" s="33"/>
    </row>
    <row r="1213" spans="1:27">
      <c r="A1213" s="29"/>
      <c r="B1213" s="19">
        <f t="shared" si="37"/>
        <v>46327</v>
      </c>
      <c r="C1213" s="27">
        <f>I1213+J1213+K1213+L1213+M1213+N1213+O1213+P1213+IF(Q1213="",0,Q1213*サマリー!$B$9)+IF(R1213="",0,IF(R1213=200,サマリー!$B$10,IF(R1213=100,サマリー!$B$11,0)))+IF(S1213="",0,S1213*サマリー!$B$12)</f>
        <v>0</v>
      </c>
      <c r="D1213" s="27">
        <f>T1213+U1213+V1213+W1213+X1213+IF(Y1213="",0,Y1213*サマリー!$B$9)+IF(Z1213="",0,IF(Z1213=200,サマリー!$B$10,IF(Z1213=100,サマリー!$B$11,0)))+IF(AA1213="",0,AA1213*サマリー!$B$12)</f>
        <v>0</v>
      </c>
      <c r="E1213" s="27">
        <f t="shared" si="36"/>
        <v>0</v>
      </c>
      <c r="I1213" s="30"/>
      <c r="J1213" s="30"/>
      <c r="K1213" s="30"/>
      <c r="L1213" s="30"/>
      <c r="M1213" s="30"/>
      <c r="N1213" s="30"/>
      <c r="O1213" s="30"/>
      <c r="P1213" s="30"/>
      <c r="Q1213" s="31"/>
      <c r="R1213" s="31"/>
      <c r="S1213" s="31"/>
      <c r="T1213" s="32"/>
      <c r="U1213" s="32"/>
      <c r="V1213" s="32"/>
      <c r="W1213" s="32"/>
      <c r="X1213" s="32"/>
      <c r="Y1213" s="33"/>
      <c r="Z1213" s="33"/>
      <c r="AA1213" s="33"/>
    </row>
    <row r="1214" spans="1:27">
      <c r="A1214" s="29"/>
      <c r="B1214" s="19">
        <f t="shared" si="37"/>
        <v>46327</v>
      </c>
      <c r="C1214" s="27">
        <f>I1214+J1214+K1214+L1214+M1214+N1214+O1214+P1214+IF(Q1214="",0,Q1214*サマリー!$B$9)+IF(R1214="",0,IF(R1214=200,サマリー!$B$10,IF(R1214=100,サマリー!$B$11,0)))+IF(S1214="",0,S1214*サマリー!$B$12)</f>
        <v>0</v>
      </c>
      <c r="D1214" s="27">
        <f>T1214+U1214+V1214+W1214+X1214+IF(Y1214="",0,Y1214*サマリー!$B$9)+IF(Z1214="",0,IF(Z1214=200,サマリー!$B$10,IF(Z1214=100,サマリー!$B$11,0)))+IF(AA1214="",0,AA1214*サマリー!$B$12)</f>
        <v>0</v>
      </c>
      <c r="E1214" s="27">
        <f t="shared" si="36"/>
        <v>0</v>
      </c>
      <c r="I1214" s="30"/>
      <c r="J1214" s="30"/>
      <c r="K1214" s="30"/>
      <c r="L1214" s="30"/>
      <c r="M1214" s="30"/>
      <c r="N1214" s="30"/>
      <c r="O1214" s="30"/>
      <c r="P1214" s="30"/>
      <c r="Q1214" s="31"/>
      <c r="R1214" s="31"/>
      <c r="S1214" s="31"/>
      <c r="T1214" s="32"/>
      <c r="U1214" s="32"/>
      <c r="V1214" s="32"/>
      <c r="W1214" s="32"/>
      <c r="X1214" s="32"/>
      <c r="Y1214" s="33"/>
      <c r="Z1214" s="33"/>
      <c r="AA1214" s="33"/>
    </row>
    <row r="1215" spans="1:27">
      <c r="A1215" s="29"/>
      <c r="B1215" s="19">
        <f t="shared" si="37"/>
        <v>46327</v>
      </c>
      <c r="C1215" s="27">
        <f>I1215+J1215+K1215+L1215+M1215+N1215+O1215+P1215+IF(Q1215="",0,Q1215*サマリー!$B$9)+IF(R1215="",0,IF(R1215=200,サマリー!$B$10,IF(R1215=100,サマリー!$B$11,0)))+IF(S1215="",0,S1215*サマリー!$B$12)</f>
        <v>0</v>
      </c>
      <c r="D1215" s="27">
        <f>T1215+U1215+V1215+W1215+X1215+IF(Y1215="",0,Y1215*サマリー!$B$9)+IF(Z1215="",0,IF(Z1215=200,サマリー!$B$10,IF(Z1215=100,サマリー!$B$11,0)))+IF(AA1215="",0,AA1215*サマリー!$B$12)</f>
        <v>0</v>
      </c>
      <c r="E1215" s="27">
        <f t="shared" si="36"/>
        <v>0</v>
      </c>
      <c r="I1215" s="30"/>
      <c r="J1215" s="30"/>
      <c r="K1215" s="30"/>
      <c r="L1215" s="30"/>
      <c r="M1215" s="30"/>
      <c r="N1215" s="30"/>
      <c r="O1215" s="30"/>
      <c r="P1215" s="30"/>
      <c r="Q1215" s="31"/>
      <c r="R1215" s="31"/>
      <c r="S1215" s="31"/>
      <c r="T1215" s="32"/>
      <c r="U1215" s="32"/>
      <c r="V1215" s="32"/>
      <c r="W1215" s="32"/>
      <c r="X1215" s="32"/>
      <c r="Y1215" s="33"/>
      <c r="Z1215" s="33"/>
      <c r="AA1215" s="33"/>
    </row>
    <row r="1216" spans="1:27">
      <c r="A1216" s="29"/>
      <c r="B1216" s="19">
        <f t="shared" si="37"/>
        <v>46327</v>
      </c>
      <c r="C1216" s="27">
        <f>I1216+J1216+K1216+L1216+M1216+N1216+O1216+P1216+IF(Q1216="",0,Q1216*サマリー!$B$9)+IF(R1216="",0,IF(R1216=200,サマリー!$B$10,IF(R1216=100,サマリー!$B$11,0)))+IF(S1216="",0,S1216*サマリー!$B$12)</f>
        <v>0</v>
      </c>
      <c r="D1216" s="27">
        <f>T1216+U1216+V1216+W1216+X1216+IF(Y1216="",0,Y1216*サマリー!$B$9)+IF(Z1216="",0,IF(Z1216=200,サマリー!$B$10,IF(Z1216=100,サマリー!$B$11,0)))+IF(AA1216="",0,AA1216*サマリー!$B$12)</f>
        <v>0</v>
      </c>
      <c r="E1216" s="27">
        <f t="shared" si="36"/>
        <v>0</v>
      </c>
      <c r="I1216" s="30"/>
      <c r="J1216" s="30"/>
      <c r="K1216" s="30"/>
      <c r="L1216" s="30"/>
      <c r="M1216" s="30"/>
      <c r="N1216" s="30"/>
      <c r="O1216" s="30"/>
      <c r="P1216" s="30"/>
      <c r="Q1216" s="31"/>
      <c r="R1216" s="31"/>
      <c r="S1216" s="31"/>
      <c r="T1216" s="32"/>
      <c r="U1216" s="32"/>
      <c r="V1216" s="32"/>
      <c r="W1216" s="32"/>
      <c r="X1216" s="32"/>
      <c r="Y1216" s="33"/>
      <c r="Z1216" s="33"/>
      <c r="AA1216" s="33"/>
    </row>
    <row r="1217" spans="1:27">
      <c r="A1217" s="29"/>
      <c r="B1217" s="19">
        <f t="shared" si="37"/>
        <v>46327</v>
      </c>
      <c r="C1217" s="27">
        <f>I1217+J1217+K1217+L1217+M1217+N1217+O1217+P1217+IF(Q1217="",0,Q1217*サマリー!$B$9)+IF(R1217="",0,IF(R1217=200,サマリー!$B$10,IF(R1217=100,サマリー!$B$11,0)))+IF(S1217="",0,S1217*サマリー!$B$12)</f>
        <v>0</v>
      </c>
      <c r="D1217" s="27">
        <f>T1217+U1217+V1217+W1217+X1217+IF(Y1217="",0,Y1217*サマリー!$B$9)+IF(Z1217="",0,IF(Z1217=200,サマリー!$B$10,IF(Z1217=100,サマリー!$B$11,0)))+IF(AA1217="",0,AA1217*サマリー!$B$12)</f>
        <v>0</v>
      </c>
      <c r="E1217" s="27">
        <f t="shared" si="36"/>
        <v>0</v>
      </c>
      <c r="I1217" s="30"/>
      <c r="J1217" s="30"/>
      <c r="K1217" s="30"/>
      <c r="L1217" s="30"/>
      <c r="M1217" s="30"/>
      <c r="N1217" s="30"/>
      <c r="O1217" s="30"/>
      <c r="P1217" s="30"/>
      <c r="Q1217" s="31"/>
      <c r="R1217" s="31"/>
      <c r="S1217" s="31"/>
      <c r="T1217" s="32"/>
      <c r="U1217" s="32"/>
      <c r="V1217" s="32"/>
      <c r="W1217" s="32"/>
      <c r="X1217" s="32"/>
      <c r="Y1217" s="33"/>
      <c r="Z1217" s="33"/>
      <c r="AA1217" s="33"/>
    </row>
    <row r="1218" spans="1:27">
      <c r="A1218" s="29"/>
      <c r="B1218" s="19">
        <f t="shared" si="37"/>
        <v>46327</v>
      </c>
      <c r="C1218" s="27">
        <f>I1218+J1218+K1218+L1218+M1218+N1218+O1218+P1218+IF(Q1218="",0,Q1218*サマリー!$B$9)+IF(R1218="",0,IF(R1218=200,サマリー!$B$10,IF(R1218=100,サマリー!$B$11,0)))+IF(S1218="",0,S1218*サマリー!$B$12)</f>
        <v>0</v>
      </c>
      <c r="D1218" s="27">
        <f>T1218+U1218+V1218+W1218+X1218+IF(Y1218="",0,Y1218*サマリー!$B$9)+IF(Z1218="",0,IF(Z1218=200,サマリー!$B$10,IF(Z1218=100,サマリー!$B$11,0)))+IF(AA1218="",0,AA1218*サマリー!$B$12)</f>
        <v>0</v>
      </c>
      <c r="E1218" s="27">
        <f t="shared" si="36"/>
        <v>0</v>
      </c>
      <c r="I1218" s="30"/>
      <c r="J1218" s="30"/>
      <c r="K1218" s="30"/>
      <c r="L1218" s="30"/>
      <c r="M1218" s="30"/>
      <c r="N1218" s="30"/>
      <c r="O1218" s="30"/>
      <c r="P1218" s="30"/>
      <c r="Q1218" s="31"/>
      <c r="R1218" s="31"/>
      <c r="S1218" s="31"/>
      <c r="T1218" s="32"/>
      <c r="U1218" s="32"/>
      <c r="V1218" s="32"/>
      <c r="W1218" s="32"/>
      <c r="X1218" s="32"/>
      <c r="Y1218" s="33"/>
      <c r="Z1218" s="33"/>
      <c r="AA1218" s="33"/>
    </row>
    <row r="1219" spans="1:27">
      <c r="A1219" s="29"/>
      <c r="B1219" s="19">
        <f t="shared" si="37"/>
        <v>46327</v>
      </c>
      <c r="C1219" s="27">
        <f>I1219+J1219+K1219+L1219+M1219+N1219+O1219+P1219+IF(Q1219="",0,Q1219*サマリー!$B$9)+IF(R1219="",0,IF(R1219=200,サマリー!$B$10,IF(R1219=100,サマリー!$B$11,0)))+IF(S1219="",0,S1219*サマリー!$B$12)</f>
        <v>0</v>
      </c>
      <c r="D1219" s="27">
        <f>T1219+U1219+V1219+W1219+X1219+IF(Y1219="",0,Y1219*サマリー!$B$9)+IF(Z1219="",0,IF(Z1219=200,サマリー!$B$10,IF(Z1219=100,サマリー!$B$11,0)))+IF(AA1219="",0,AA1219*サマリー!$B$12)</f>
        <v>0</v>
      </c>
      <c r="E1219" s="27">
        <f t="shared" si="36"/>
        <v>0</v>
      </c>
      <c r="I1219" s="30"/>
      <c r="J1219" s="30"/>
      <c r="K1219" s="30"/>
      <c r="L1219" s="30"/>
      <c r="M1219" s="30"/>
      <c r="N1219" s="30"/>
      <c r="O1219" s="30"/>
      <c r="P1219" s="30"/>
      <c r="Q1219" s="31"/>
      <c r="R1219" s="31"/>
      <c r="S1219" s="31"/>
      <c r="T1219" s="32"/>
      <c r="U1219" s="32"/>
      <c r="V1219" s="32"/>
      <c r="W1219" s="32"/>
      <c r="X1219" s="32"/>
      <c r="Y1219" s="33"/>
      <c r="Z1219" s="33"/>
      <c r="AA1219" s="33"/>
    </row>
    <row r="1220" spans="1:27">
      <c r="A1220" s="29"/>
      <c r="B1220" s="19">
        <f t="shared" si="37"/>
        <v>46327</v>
      </c>
      <c r="C1220" s="27">
        <f>I1220+J1220+K1220+L1220+M1220+N1220+O1220+P1220+IF(Q1220="",0,Q1220*サマリー!$B$9)+IF(R1220="",0,IF(R1220=200,サマリー!$B$10,IF(R1220=100,サマリー!$B$11,0)))+IF(S1220="",0,S1220*サマリー!$B$12)</f>
        <v>0</v>
      </c>
      <c r="D1220" s="27">
        <f>T1220+U1220+V1220+W1220+X1220+IF(Y1220="",0,Y1220*サマリー!$B$9)+IF(Z1220="",0,IF(Z1220=200,サマリー!$B$10,IF(Z1220=100,サマリー!$B$11,0)))+IF(AA1220="",0,AA1220*サマリー!$B$12)</f>
        <v>0</v>
      </c>
      <c r="E1220" s="27">
        <f t="shared" si="36"/>
        <v>0</v>
      </c>
      <c r="I1220" s="30"/>
      <c r="J1220" s="30"/>
      <c r="K1220" s="30"/>
      <c r="L1220" s="30"/>
      <c r="M1220" s="30"/>
      <c r="N1220" s="30"/>
      <c r="O1220" s="30"/>
      <c r="P1220" s="30"/>
      <c r="Q1220" s="31"/>
      <c r="R1220" s="31"/>
      <c r="S1220" s="31"/>
      <c r="T1220" s="32"/>
      <c r="U1220" s="32"/>
      <c r="V1220" s="32"/>
      <c r="W1220" s="32"/>
      <c r="X1220" s="32"/>
      <c r="Y1220" s="33"/>
      <c r="Z1220" s="33"/>
      <c r="AA1220" s="33"/>
    </row>
    <row r="1221" spans="1:27">
      <c r="A1221" s="29"/>
      <c r="B1221" s="19">
        <f t="shared" si="37"/>
        <v>46327</v>
      </c>
      <c r="C1221" s="27">
        <f>I1221+J1221+K1221+L1221+M1221+N1221+O1221+P1221+IF(Q1221="",0,Q1221*サマリー!$B$9)+IF(R1221="",0,IF(R1221=200,サマリー!$B$10,IF(R1221=100,サマリー!$B$11,0)))+IF(S1221="",0,S1221*サマリー!$B$12)</f>
        <v>0</v>
      </c>
      <c r="D1221" s="27">
        <f>T1221+U1221+V1221+W1221+X1221+IF(Y1221="",0,Y1221*サマリー!$B$9)+IF(Z1221="",0,IF(Z1221=200,サマリー!$B$10,IF(Z1221=100,サマリー!$B$11,0)))+IF(AA1221="",0,AA1221*サマリー!$B$12)</f>
        <v>0</v>
      </c>
      <c r="E1221" s="27">
        <f t="shared" si="36"/>
        <v>0</v>
      </c>
      <c r="I1221" s="30"/>
      <c r="J1221" s="30"/>
      <c r="K1221" s="30"/>
      <c r="L1221" s="30"/>
      <c r="M1221" s="30"/>
      <c r="N1221" s="30"/>
      <c r="O1221" s="30"/>
      <c r="P1221" s="30"/>
      <c r="Q1221" s="31"/>
      <c r="R1221" s="31"/>
      <c r="S1221" s="31"/>
      <c r="T1221" s="32"/>
      <c r="U1221" s="32"/>
      <c r="V1221" s="32"/>
      <c r="W1221" s="32"/>
      <c r="X1221" s="32"/>
      <c r="Y1221" s="33"/>
      <c r="Z1221" s="33"/>
      <c r="AA1221" s="33"/>
    </row>
    <row r="1222" spans="1:27">
      <c r="A1222" s="29"/>
      <c r="B1222" s="19">
        <f t="shared" si="37"/>
        <v>46327</v>
      </c>
      <c r="C1222" s="27">
        <f>I1222+J1222+K1222+L1222+M1222+N1222+O1222+P1222+IF(Q1222="",0,Q1222*サマリー!$B$9)+IF(R1222="",0,IF(R1222=200,サマリー!$B$10,IF(R1222=100,サマリー!$B$11,0)))+IF(S1222="",0,S1222*サマリー!$B$12)</f>
        <v>0</v>
      </c>
      <c r="D1222" s="27">
        <f>T1222+U1222+V1222+W1222+X1222+IF(Y1222="",0,Y1222*サマリー!$B$9)+IF(Z1222="",0,IF(Z1222=200,サマリー!$B$10,IF(Z1222=100,サマリー!$B$11,0)))+IF(AA1222="",0,AA1222*サマリー!$B$12)</f>
        <v>0</v>
      </c>
      <c r="E1222" s="27">
        <f t="shared" ref="E1222:E1285" si="38">C1222+D1222</f>
        <v>0</v>
      </c>
      <c r="I1222" s="30"/>
      <c r="J1222" s="30"/>
      <c r="K1222" s="30"/>
      <c r="L1222" s="30"/>
      <c r="M1222" s="30"/>
      <c r="N1222" s="30"/>
      <c r="O1222" s="30"/>
      <c r="P1222" s="30"/>
      <c r="Q1222" s="31"/>
      <c r="R1222" s="31"/>
      <c r="S1222" s="31"/>
      <c r="T1222" s="32"/>
      <c r="U1222" s="32"/>
      <c r="V1222" s="32"/>
      <c r="W1222" s="32"/>
      <c r="X1222" s="32"/>
      <c r="Y1222" s="33"/>
      <c r="Z1222" s="33"/>
      <c r="AA1222" s="33"/>
    </row>
    <row r="1223" spans="1:27">
      <c r="A1223" s="29"/>
      <c r="B1223" s="19">
        <f t="shared" ref="B1223:B1286" si="39">IF(A1223="",B1222,IF(A1223&lt;DAY(B1222),DATE(YEAR(B1222),MONTH(B1222)+1,A1223),DATE(YEAR(B1222),MONTH(B1222),A1223)))</f>
        <v>46327</v>
      </c>
      <c r="C1223" s="27">
        <f>I1223+J1223+K1223+L1223+M1223+N1223+O1223+P1223+IF(Q1223="",0,Q1223*サマリー!$B$9)+IF(R1223="",0,IF(R1223=200,サマリー!$B$10,IF(R1223=100,サマリー!$B$11,0)))+IF(S1223="",0,S1223*サマリー!$B$12)</f>
        <v>0</v>
      </c>
      <c r="D1223" s="27">
        <f>T1223+U1223+V1223+W1223+X1223+IF(Y1223="",0,Y1223*サマリー!$B$9)+IF(Z1223="",0,IF(Z1223=200,サマリー!$B$10,IF(Z1223=100,サマリー!$B$11,0)))+IF(AA1223="",0,AA1223*サマリー!$B$12)</f>
        <v>0</v>
      </c>
      <c r="E1223" s="27">
        <f t="shared" si="38"/>
        <v>0</v>
      </c>
      <c r="I1223" s="30"/>
      <c r="J1223" s="30"/>
      <c r="K1223" s="30"/>
      <c r="L1223" s="30"/>
      <c r="M1223" s="30"/>
      <c r="N1223" s="30"/>
      <c r="O1223" s="30"/>
      <c r="P1223" s="30"/>
      <c r="Q1223" s="31"/>
      <c r="R1223" s="31"/>
      <c r="S1223" s="31"/>
      <c r="T1223" s="32"/>
      <c r="U1223" s="32"/>
      <c r="V1223" s="32"/>
      <c r="W1223" s="32"/>
      <c r="X1223" s="32"/>
      <c r="Y1223" s="33"/>
      <c r="Z1223" s="33"/>
      <c r="AA1223" s="33"/>
    </row>
    <row r="1224" spans="1:27">
      <c r="A1224" s="29"/>
      <c r="B1224" s="19">
        <f t="shared" si="39"/>
        <v>46327</v>
      </c>
      <c r="C1224" s="27">
        <f>I1224+J1224+K1224+L1224+M1224+N1224+O1224+P1224+IF(Q1224="",0,Q1224*サマリー!$B$9)+IF(R1224="",0,IF(R1224=200,サマリー!$B$10,IF(R1224=100,サマリー!$B$11,0)))+IF(S1224="",0,S1224*サマリー!$B$12)</f>
        <v>0</v>
      </c>
      <c r="D1224" s="27">
        <f>T1224+U1224+V1224+W1224+X1224+IF(Y1224="",0,Y1224*サマリー!$B$9)+IF(Z1224="",0,IF(Z1224=200,サマリー!$B$10,IF(Z1224=100,サマリー!$B$11,0)))+IF(AA1224="",0,AA1224*サマリー!$B$12)</f>
        <v>0</v>
      </c>
      <c r="E1224" s="27">
        <f t="shared" si="38"/>
        <v>0</v>
      </c>
      <c r="I1224" s="30"/>
      <c r="J1224" s="30"/>
      <c r="K1224" s="30"/>
      <c r="L1224" s="30"/>
      <c r="M1224" s="30"/>
      <c r="N1224" s="30"/>
      <c r="O1224" s="30"/>
      <c r="P1224" s="30"/>
      <c r="Q1224" s="31"/>
      <c r="R1224" s="31"/>
      <c r="S1224" s="31"/>
      <c r="T1224" s="32"/>
      <c r="U1224" s="32"/>
      <c r="V1224" s="32"/>
      <c r="W1224" s="32"/>
      <c r="X1224" s="32"/>
      <c r="Y1224" s="33"/>
      <c r="Z1224" s="33"/>
      <c r="AA1224" s="33"/>
    </row>
    <row r="1225" spans="1:27">
      <c r="A1225" s="29"/>
      <c r="B1225" s="19">
        <f t="shared" si="39"/>
        <v>46327</v>
      </c>
      <c r="C1225" s="27">
        <f>I1225+J1225+K1225+L1225+M1225+N1225+O1225+P1225+IF(Q1225="",0,Q1225*サマリー!$B$9)+IF(R1225="",0,IF(R1225=200,サマリー!$B$10,IF(R1225=100,サマリー!$B$11,0)))+IF(S1225="",0,S1225*サマリー!$B$12)</f>
        <v>0</v>
      </c>
      <c r="D1225" s="27">
        <f>T1225+U1225+V1225+W1225+X1225+IF(Y1225="",0,Y1225*サマリー!$B$9)+IF(Z1225="",0,IF(Z1225=200,サマリー!$B$10,IF(Z1225=100,サマリー!$B$11,0)))+IF(AA1225="",0,AA1225*サマリー!$B$12)</f>
        <v>0</v>
      </c>
      <c r="E1225" s="27">
        <f t="shared" si="38"/>
        <v>0</v>
      </c>
      <c r="I1225" s="30"/>
      <c r="J1225" s="30"/>
      <c r="K1225" s="30"/>
      <c r="L1225" s="30"/>
      <c r="M1225" s="30"/>
      <c r="N1225" s="30"/>
      <c r="O1225" s="30"/>
      <c r="P1225" s="30"/>
      <c r="Q1225" s="31"/>
      <c r="R1225" s="31"/>
      <c r="S1225" s="31"/>
      <c r="T1225" s="32"/>
      <c r="U1225" s="32"/>
      <c r="V1225" s="32"/>
      <c r="W1225" s="32"/>
      <c r="X1225" s="32"/>
      <c r="Y1225" s="33"/>
      <c r="Z1225" s="33"/>
      <c r="AA1225" s="33"/>
    </row>
    <row r="1226" spans="1:27">
      <c r="A1226" s="29"/>
      <c r="B1226" s="19">
        <f t="shared" si="39"/>
        <v>46327</v>
      </c>
      <c r="C1226" s="27">
        <f>I1226+J1226+K1226+L1226+M1226+N1226+O1226+P1226+IF(Q1226="",0,Q1226*サマリー!$B$9)+IF(R1226="",0,IF(R1226=200,サマリー!$B$10,IF(R1226=100,サマリー!$B$11,0)))+IF(S1226="",0,S1226*サマリー!$B$12)</f>
        <v>0</v>
      </c>
      <c r="D1226" s="27">
        <f>T1226+U1226+V1226+W1226+X1226+IF(Y1226="",0,Y1226*サマリー!$B$9)+IF(Z1226="",0,IF(Z1226=200,サマリー!$B$10,IF(Z1226=100,サマリー!$B$11,0)))+IF(AA1226="",0,AA1226*サマリー!$B$12)</f>
        <v>0</v>
      </c>
      <c r="E1226" s="27">
        <f t="shared" si="38"/>
        <v>0</v>
      </c>
      <c r="I1226" s="30"/>
      <c r="J1226" s="30"/>
      <c r="K1226" s="30"/>
      <c r="L1226" s="30"/>
      <c r="M1226" s="30"/>
      <c r="N1226" s="30"/>
      <c r="O1226" s="30"/>
      <c r="P1226" s="30"/>
      <c r="Q1226" s="31"/>
      <c r="R1226" s="31"/>
      <c r="S1226" s="31"/>
      <c r="T1226" s="32"/>
      <c r="U1226" s="32"/>
      <c r="V1226" s="32"/>
      <c r="W1226" s="32"/>
      <c r="X1226" s="32"/>
      <c r="Y1226" s="33"/>
      <c r="Z1226" s="33"/>
      <c r="AA1226" s="33"/>
    </row>
    <row r="1227" spans="1:27">
      <c r="A1227" s="29"/>
      <c r="B1227" s="19">
        <f t="shared" si="39"/>
        <v>46327</v>
      </c>
      <c r="C1227" s="27">
        <f>I1227+J1227+K1227+L1227+M1227+N1227+O1227+P1227+IF(Q1227="",0,Q1227*サマリー!$B$9)+IF(R1227="",0,IF(R1227=200,サマリー!$B$10,IF(R1227=100,サマリー!$B$11,0)))+IF(S1227="",0,S1227*サマリー!$B$12)</f>
        <v>0</v>
      </c>
      <c r="D1227" s="27">
        <f>T1227+U1227+V1227+W1227+X1227+IF(Y1227="",0,Y1227*サマリー!$B$9)+IF(Z1227="",0,IF(Z1227=200,サマリー!$B$10,IF(Z1227=100,サマリー!$B$11,0)))+IF(AA1227="",0,AA1227*サマリー!$B$12)</f>
        <v>0</v>
      </c>
      <c r="E1227" s="27">
        <f t="shared" si="38"/>
        <v>0</v>
      </c>
      <c r="I1227" s="30"/>
      <c r="J1227" s="30"/>
      <c r="K1227" s="30"/>
      <c r="L1227" s="30"/>
      <c r="M1227" s="30"/>
      <c r="N1227" s="30"/>
      <c r="O1227" s="30"/>
      <c r="P1227" s="30"/>
      <c r="Q1227" s="31"/>
      <c r="R1227" s="31"/>
      <c r="S1227" s="31"/>
      <c r="T1227" s="32"/>
      <c r="U1227" s="32"/>
      <c r="V1227" s="32"/>
      <c r="W1227" s="32"/>
      <c r="X1227" s="32"/>
      <c r="Y1227" s="33"/>
      <c r="Z1227" s="33"/>
      <c r="AA1227" s="33"/>
    </row>
    <row r="1228" spans="1:27">
      <c r="A1228" s="29"/>
      <c r="B1228" s="19">
        <f t="shared" si="39"/>
        <v>46327</v>
      </c>
      <c r="C1228" s="27">
        <f>I1228+J1228+K1228+L1228+M1228+N1228+O1228+P1228+IF(Q1228="",0,Q1228*サマリー!$B$9)+IF(R1228="",0,IF(R1228=200,サマリー!$B$10,IF(R1228=100,サマリー!$B$11,0)))+IF(S1228="",0,S1228*サマリー!$B$12)</f>
        <v>0</v>
      </c>
      <c r="D1228" s="27">
        <f>T1228+U1228+V1228+W1228+X1228+IF(Y1228="",0,Y1228*サマリー!$B$9)+IF(Z1228="",0,IF(Z1228=200,サマリー!$B$10,IF(Z1228=100,サマリー!$B$11,0)))+IF(AA1228="",0,AA1228*サマリー!$B$12)</f>
        <v>0</v>
      </c>
      <c r="E1228" s="27">
        <f t="shared" si="38"/>
        <v>0</v>
      </c>
      <c r="I1228" s="30"/>
      <c r="J1228" s="30"/>
      <c r="K1228" s="30"/>
      <c r="L1228" s="30"/>
      <c r="M1228" s="30"/>
      <c r="N1228" s="30"/>
      <c r="O1228" s="30"/>
      <c r="P1228" s="30"/>
      <c r="Q1228" s="31"/>
      <c r="R1228" s="31"/>
      <c r="S1228" s="31"/>
      <c r="T1228" s="32"/>
      <c r="U1228" s="32"/>
      <c r="V1228" s="32"/>
      <c r="W1228" s="32"/>
      <c r="X1228" s="32"/>
      <c r="Y1228" s="33"/>
      <c r="Z1228" s="33"/>
      <c r="AA1228" s="33"/>
    </row>
    <row r="1229" spans="1:27">
      <c r="A1229" s="29"/>
      <c r="B1229" s="19">
        <f t="shared" si="39"/>
        <v>46327</v>
      </c>
      <c r="C1229" s="27">
        <f>I1229+J1229+K1229+L1229+M1229+N1229+O1229+P1229+IF(Q1229="",0,Q1229*サマリー!$B$9)+IF(R1229="",0,IF(R1229=200,サマリー!$B$10,IF(R1229=100,サマリー!$B$11,0)))+IF(S1229="",0,S1229*サマリー!$B$12)</f>
        <v>0</v>
      </c>
      <c r="D1229" s="27">
        <f>T1229+U1229+V1229+W1229+X1229+IF(Y1229="",0,Y1229*サマリー!$B$9)+IF(Z1229="",0,IF(Z1229=200,サマリー!$B$10,IF(Z1229=100,サマリー!$B$11,0)))+IF(AA1229="",0,AA1229*サマリー!$B$12)</f>
        <v>0</v>
      </c>
      <c r="E1229" s="27">
        <f t="shared" si="38"/>
        <v>0</v>
      </c>
      <c r="I1229" s="30"/>
      <c r="J1229" s="30"/>
      <c r="K1229" s="30"/>
      <c r="L1229" s="30"/>
      <c r="M1229" s="30"/>
      <c r="N1229" s="30"/>
      <c r="O1229" s="30"/>
      <c r="P1229" s="30"/>
      <c r="Q1229" s="31"/>
      <c r="R1229" s="31"/>
      <c r="S1229" s="31"/>
      <c r="T1229" s="32"/>
      <c r="U1229" s="32"/>
      <c r="V1229" s="32"/>
      <c r="W1229" s="32"/>
      <c r="X1229" s="32"/>
      <c r="Y1229" s="33"/>
      <c r="Z1229" s="33"/>
      <c r="AA1229" s="33"/>
    </row>
    <row r="1230" spans="1:27">
      <c r="A1230" s="29"/>
      <c r="B1230" s="19">
        <f t="shared" si="39"/>
        <v>46327</v>
      </c>
      <c r="C1230" s="27">
        <f>I1230+J1230+K1230+L1230+M1230+N1230+O1230+P1230+IF(Q1230="",0,Q1230*サマリー!$B$9)+IF(R1230="",0,IF(R1230=200,サマリー!$B$10,IF(R1230=100,サマリー!$B$11,0)))+IF(S1230="",0,S1230*サマリー!$B$12)</f>
        <v>0</v>
      </c>
      <c r="D1230" s="27">
        <f>T1230+U1230+V1230+W1230+X1230+IF(Y1230="",0,Y1230*サマリー!$B$9)+IF(Z1230="",0,IF(Z1230=200,サマリー!$B$10,IF(Z1230=100,サマリー!$B$11,0)))+IF(AA1230="",0,AA1230*サマリー!$B$12)</f>
        <v>0</v>
      </c>
      <c r="E1230" s="27">
        <f t="shared" si="38"/>
        <v>0</v>
      </c>
      <c r="I1230" s="30"/>
      <c r="J1230" s="30"/>
      <c r="K1230" s="30"/>
      <c r="L1230" s="30"/>
      <c r="M1230" s="30"/>
      <c r="N1230" s="30"/>
      <c r="O1230" s="30"/>
      <c r="P1230" s="30"/>
      <c r="Q1230" s="31"/>
      <c r="R1230" s="31"/>
      <c r="S1230" s="31"/>
      <c r="T1230" s="32"/>
      <c r="U1230" s="32"/>
      <c r="V1230" s="32"/>
      <c r="W1230" s="32"/>
      <c r="X1230" s="32"/>
      <c r="Y1230" s="33"/>
      <c r="Z1230" s="33"/>
      <c r="AA1230" s="33"/>
    </row>
    <row r="1231" spans="1:27">
      <c r="A1231" s="29"/>
      <c r="B1231" s="19">
        <f t="shared" si="39"/>
        <v>46327</v>
      </c>
      <c r="C1231" s="27">
        <f>I1231+J1231+K1231+L1231+M1231+N1231+O1231+P1231+IF(Q1231="",0,Q1231*サマリー!$B$9)+IF(R1231="",0,IF(R1231=200,サマリー!$B$10,IF(R1231=100,サマリー!$B$11,0)))+IF(S1231="",0,S1231*サマリー!$B$12)</f>
        <v>0</v>
      </c>
      <c r="D1231" s="27">
        <f>T1231+U1231+V1231+W1231+X1231+IF(Y1231="",0,Y1231*サマリー!$B$9)+IF(Z1231="",0,IF(Z1231=200,サマリー!$B$10,IF(Z1231=100,サマリー!$B$11,0)))+IF(AA1231="",0,AA1231*サマリー!$B$12)</f>
        <v>0</v>
      </c>
      <c r="E1231" s="27">
        <f t="shared" si="38"/>
        <v>0</v>
      </c>
      <c r="I1231" s="30"/>
      <c r="J1231" s="30"/>
      <c r="K1231" s="30"/>
      <c r="L1231" s="30"/>
      <c r="M1231" s="30"/>
      <c r="N1231" s="30"/>
      <c r="O1231" s="30"/>
      <c r="P1231" s="30"/>
      <c r="Q1231" s="31"/>
      <c r="R1231" s="31"/>
      <c r="S1231" s="31"/>
      <c r="T1231" s="32"/>
      <c r="U1231" s="32"/>
      <c r="V1231" s="32"/>
      <c r="W1231" s="32"/>
      <c r="X1231" s="32"/>
      <c r="Y1231" s="33"/>
      <c r="Z1231" s="33"/>
      <c r="AA1231" s="33"/>
    </row>
    <row r="1232" spans="1:27">
      <c r="A1232" s="29"/>
      <c r="B1232" s="19">
        <f t="shared" si="39"/>
        <v>46327</v>
      </c>
      <c r="C1232" s="27">
        <f>I1232+J1232+K1232+L1232+M1232+N1232+O1232+P1232+IF(Q1232="",0,Q1232*サマリー!$B$9)+IF(R1232="",0,IF(R1232=200,サマリー!$B$10,IF(R1232=100,サマリー!$B$11,0)))+IF(S1232="",0,S1232*サマリー!$B$12)</f>
        <v>0</v>
      </c>
      <c r="D1232" s="27">
        <f>T1232+U1232+V1232+W1232+X1232+IF(Y1232="",0,Y1232*サマリー!$B$9)+IF(Z1232="",0,IF(Z1232=200,サマリー!$B$10,IF(Z1232=100,サマリー!$B$11,0)))+IF(AA1232="",0,AA1232*サマリー!$B$12)</f>
        <v>0</v>
      </c>
      <c r="E1232" s="27">
        <f t="shared" si="38"/>
        <v>0</v>
      </c>
      <c r="I1232" s="30"/>
      <c r="J1232" s="30"/>
      <c r="K1232" s="30"/>
      <c r="L1232" s="30"/>
      <c r="M1232" s="30"/>
      <c r="N1232" s="30"/>
      <c r="O1232" s="30"/>
      <c r="P1232" s="30"/>
      <c r="Q1232" s="31"/>
      <c r="R1232" s="31"/>
      <c r="S1232" s="31"/>
      <c r="T1232" s="32"/>
      <c r="U1232" s="32"/>
      <c r="V1232" s="32"/>
      <c r="W1232" s="32"/>
      <c r="X1232" s="32"/>
      <c r="Y1232" s="33"/>
      <c r="Z1232" s="33"/>
      <c r="AA1232" s="33"/>
    </row>
    <row r="1233" spans="1:27">
      <c r="A1233" s="29"/>
      <c r="B1233" s="19">
        <f t="shared" si="39"/>
        <v>46327</v>
      </c>
      <c r="C1233" s="27">
        <f>I1233+J1233+K1233+L1233+M1233+N1233+O1233+P1233+IF(Q1233="",0,Q1233*サマリー!$B$9)+IF(R1233="",0,IF(R1233=200,サマリー!$B$10,IF(R1233=100,サマリー!$B$11,0)))+IF(S1233="",0,S1233*サマリー!$B$12)</f>
        <v>0</v>
      </c>
      <c r="D1233" s="27">
        <f>T1233+U1233+V1233+W1233+X1233+IF(Y1233="",0,Y1233*サマリー!$B$9)+IF(Z1233="",0,IF(Z1233=200,サマリー!$B$10,IF(Z1233=100,サマリー!$B$11,0)))+IF(AA1233="",0,AA1233*サマリー!$B$12)</f>
        <v>0</v>
      </c>
      <c r="E1233" s="27">
        <f t="shared" si="38"/>
        <v>0</v>
      </c>
      <c r="I1233" s="30"/>
      <c r="J1233" s="30"/>
      <c r="K1233" s="30"/>
      <c r="L1233" s="30"/>
      <c r="M1233" s="30"/>
      <c r="N1233" s="30"/>
      <c r="O1233" s="30"/>
      <c r="P1233" s="30"/>
      <c r="Q1233" s="31"/>
      <c r="R1233" s="31"/>
      <c r="S1233" s="31"/>
      <c r="T1233" s="32"/>
      <c r="U1233" s="32"/>
      <c r="V1233" s="32"/>
      <c r="W1233" s="32"/>
      <c r="X1233" s="32"/>
      <c r="Y1233" s="33"/>
      <c r="Z1233" s="33"/>
      <c r="AA1233" s="33"/>
    </row>
    <row r="1234" spans="1:27">
      <c r="A1234" s="29"/>
      <c r="B1234" s="19">
        <f t="shared" si="39"/>
        <v>46327</v>
      </c>
      <c r="C1234" s="27">
        <f>I1234+J1234+K1234+L1234+M1234+N1234+O1234+P1234+IF(Q1234="",0,Q1234*サマリー!$B$9)+IF(R1234="",0,IF(R1234=200,サマリー!$B$10,IF(R1234=100,サマリー!$B$11,0)))+IF(S1234="",0,S1234*サマリー!$B$12)</f>
        <v>0</v>
      </c>
      <c r="D1234" s="27">
        <f>T1234+U1234+V1234+W1234+X1234+IF(Y1234="",0,Y1234*サマリー!$B$9)+IF(Z1234="",0,IF(Z1234=200,サマリー!$B$10,IF(Z1234=100,サマリー!$B$11,0)))+IF(AA1234="",0,AA1234*サマリー!$B$12)</f>
        <v>0</v>
      </c>
      <c r="E1234" s="27">
        <f t="shared" si="38"/>
        <v>0</v>
      </c>
      <c r="I1234" s="30"/>
      <c r="J1234" s="30"/>
      <c r="K1234" s="30"/>
      <c r="L1234" s="30"/>
      <c r="M1234" s="30"/>
      <c r="N1234" s="30"/>
      <c r="O1234" s="30"/>
      <c r="P1234" s="30"/>
      <c r="Q1234" s="31"/>
      <c r="R1234" s="31"/>
      <c r="S1234" s="31"/>
      <c r="T1234" s="32"/>
      <c r="U1234" s="32"/>
      <c r="V1234" s="32"/>
      <c r="W1234" s="32"/>
      <c r="X1234" s="32"/>
      <c r="Y1234" s="33"/>
      <c r="Z1234" s="33"/>
      <c r="AA1234" s="33"/>
    </row>
    <row r="1235" spans="1:27">
      <c r="A1235" s="29"/>
      <c r="B1235" s="19">
        <f t="shared" si="39"/>
        <v>46327</v>
      </c>
      <c r="C1235" s="27">
        <f>I1235+J1235+K1235+L1235+M1235+N1235+O1235+P1235+IF(Q1235="",0,Q1235*サマリー!$B$9)+IF(R1235="",0,IF(R1235=200,サマリー!$B$10,IF(R1235=100,サマリー!$B$11,0)))+IF(S1235="",0,S1235*サマリー!$B$12)</f>
        <v>0</v>
      </c>
      <c r="D1235" s="27">
        <f>T1235+U1235+V1235+W1235+X1235+IF(Y1235="",0,Y1235*サマリー!$B$9)+IF(Z1235="",0,IF(Z1235=200,サマリー!$B$10,IF(Z1235=100,サマリー!$B$11,0)))+IF(AA1235="",0,AA1235*サマリー!$B$12)</f>
        <v>0</v>
      </c>
      <c r="E1235" s="27">
        <f t="shared" si="38"/>
        <v>0</v>
      </c>
      <c r="I1235" s="30"/>
      <c r="J1235" s="30"/>
      <c r="K1235" s="30"/>
      <c r="L1235" s="30"/>
      <c r="M1235" s="30"/>
      <c r="N1235" s="30"/>
      <c r="O1235" s="30"/>
      <c r="P1235" s="30"/>
      <c r="Q1235" s="31"/>
      <c r="R1235" s="31"/>
      <c r="S1235" s="31"/>
      <c r="T1235" s="32"/>
      <c r="U1235" s="32"/>
      <c r="V1235" s="32"/>
      <c r="W1235" s="32"/>
      <c r="X1235" s="32"/>
      <c r="Y1235" s="33"/>
      <c r="Z1235" s="33"/>
      <c r="AA1235" s="33"/>
    </row>
    <row r="1236" spans="1:27">
      <c r="A1236" s="29"/>
      <c r="B1236" s="19">
        <f t="shared" si="39"/>
        <v>46327</v>
      </c>
      <c r="C1236" s="27">
        <f>I1236+J1236+K1236+L1236+M1236+N1236+O1236+P1236+IF(Q1236="",0,Q1236*サマリー!$B$9)+IF(R1236="",0,IF(R1236=200,サマリー!$B$10,IF(R1236=100,サマリー!$B$11,0)))+IF(S1236="",0,S1236*サマリー!$B$12)</f>
        <v>0</v>
      </c>
      <c r="D1236" s="27">
        <f>T1236+U1236+V1236+W1236+X1236+IF(Y1236="",0,Y1236*サマリー!$B$9)+IF(Z1236="",0,IF(Z1236=200,サマリー!$B$10,IF(Z1236=100,サマリー!$B$11,0)))+IF(AA1236="",0,AA1236*サマリー!$B$12)</f>
        <v>0</v>
      </c>
      <c r="E1236" s="27">
        <f t="shared" si="38"/>
        <v>0</v>
      </c>
      <c r="I1236" s="30"/>
      <c r="J1236" s="30"/>
      <c r="K1236" s="30"/>
      <c r="L1236" s="30"/>
      <c r="M1236" s="30"/>
      <c r="N1236" s="30"/>
      <c r="O1236" s="30"/>
      <c r="P1236" s="30"/>
      <c r="Q1236" s="31"/>
      <c r="R1236" s="31"/>
      <c r="S1236" s="31"/>
      <c r="T1236" s="32"/>
      <c r="U1236" s="32"/>
      <c r="V1236" s="32"/>
      <c r="W1236" s="32"/>
      <c r="X1236" s="32"/>
      <c r="Y1236" s="33"/>
      <c r="Z1236" s="33"/>
      <c r="AA1236" s="33"/>
    </row>
    <row r="1237" spans="1:27">
      <c r="A1237" s="29"/>
      <c r="B1237" s="19">
        <f t="shared" si="39"/>
        <v>46327</v>
      </c>
      <c r="C1237" s="27">
        <f>I1237+J1237+K1237+L1237+M1237+N1237+O1237+P1237+IF(Q1237="",0,Q1237*サマリー!$B$9)+IF(R1237="",0,IF(R1237=200,サマリー!$B$10,IF(R1237=100,サマリー!$B$11,0)))+IF(S1237="",0,S1237*サマリー!$B$12)</f>
        <v>0</v>
      </c>
      <c r="D1237" s="27">
        <f>T1237+U1237+V1237+W1237+X1237+IF(Y1237="",0,Y1237*サマリー!$B$9)+IF(Z1237="",0,IF(Z1237=200,サマリー!$B$10,IF(Z1237=100,サマリー!$B$11,0)))+IF(AA1237="",0,AA1237*サマリー!$B$12)</f>
        <v>0</v>
      </c>
      <c r="E1237" s="27">
        <f t="shared" si="38"/>
        <v>0</v>
      </c>
      <c r="I1237" s="30"/>
      <c r="J1237" s="30"/>
      <c r="K1237" s="30"/>
      <c r="L1237" s="30"/>
      <c r="M1237" s="30"/>
      <c r="N1237" s="30"/>
      <c r="O1237" s="30"/>
      <c r="P1237" s="30"/>
      <c r="Q1237" s="31"/>
      <c r="R1237" s="31"/>
      <c r="S1237" s="31"/>
      <c r="T1237" s="32"/>
      <c r="U1237" s="32"/>
      <c r="V1237" s="32"/>
      <c r="W1237" s="32"/>
      <c r="X1237" s="32"/>
      <c r="Y1237" s="33"/>
      <c r="Z1237" s="33"/>
      <c r="AA1237" s="33"/>
    </row>
    <row r="1238" spans="1:27">
      <c r="A1238" s="29"/>
      <c r="B1238" s="19">
        <f t="shared" si="39"/>
        <v>46327</v>
      </c>
      <c r="C1238" s="27">
        <f>I1238+J1238+K1238+L1238+M1238+N1238+O1238+P1238+IF(Q1238="",0,Q1238*サマリー!$B$9)+IF(R1238="",0,IF(R1238=200,サマリー!$B$10,IF(R1238=100,サマリー!$B$11,0)))+IF(S1238="",0,S1238*サマリー!$B$12)</f>
        <v>0</v>
      </c>
      <c r="D1238" s="27">
        <f>T1238+U1238+V1238+W1238+X1238+IF(Y1238="",0,Y1238*サマリー!$B$9)+IF(Z1238="",0,IF(Z1238=200,サマリー!$B$10,IF(Z1238=100,サマリー!$B$11,0)))+IF(AA1238="",0,AA1238*サマリー!$B$12)</f>
        <v>0</v>
      </c>
      <c r="E1238" s="27">
        <f t="shared" si="38"/>
        <v>0</v>
      </c>
      <c r="I1238" s="30"/>
      <c r="J1238" s="30"/>
      <c r="K1238" s="30"/>
      <c r="L1238" s="30"/>
      <c r="M1238" s="30"/>
      <c r="N1238" s="30"/>
      <c r="O1238" s="30"/>
      <c r="P1238" s="30"/>
      <c r="Q1238" s="31"/>
      <c r="R1238" s="31"/>
      <c r="S1238" s="31"/>
      <c r="T1238" s="32"/>
      <c r="U1238" s="32"/>
      <c r="V1238" s="32"/>
      <c r="W1238" s="32"/>
      <c r="X1238" s="32"/>
      <c r="Y1238" s="33"/>
      <c r="Z1238" s="33"/>
      <c r="AA1238" s="33"/>
    </row>
    <row r="1239" spans="1:27">
      <c r="A1239" s="29"/>
      <c r="B1239" s="19">
        <f t="shared" si="39"/>
        <v>46327</v>
      </c>
      <c r="C1239" s="27">
        <f>I1239+J1239+K1239+L1239+M1239+N1239+O1239+P1239+IF(Q1239="",0,Q1239*サマリー!$B$9)+IF(R1239="",0,IF(R1239=200,サマリー!$B$10,IF(R1239=100,サマリー!$B$11,0)))+IF(S1239="",0,S1239*サマリー!$B$12)</f>
        <v>0</v>
      </c>
      <c r="D1239" s="27">
        <f>T1239+U1239+V1239+W1239+X1239+IF(Y1239="",0,Y1239*サマリー!$B$9)+IF(Z1239="",0,IF(Z1239=200,サマリー!$B$10,IF(Z1239=100,サマリー!$B$11,0)))+IF(AA1239="",0,AA1239*サマリー!$B$12)</f>
        <v>0</v>
      </c>
      <c r="E1239" s="27">
        <f t="shared" si="38"/>
        <v>0</v>
      </c>
      <c r="I1239" s="30"/>
      <c r="J1239" s="30"/>
      <c r="K1239" s="30"/>
      <c r="L1239" s="30"/>
      <c r="M1239" s="30"/>
      <c r="N1239" s="30"/>
      <c r="O1239" s="30"/>
      <c r="P1239" s="30"/>
      <c r="Q1239" s="31"/>
      <c r="R1239" s="31"/>
      <c r="S1239" s="31"/>
      <c r="T1239" s="32"/>
      <c r="U1239" s="32"/>
      <c r="V1239" s="32"/>
      <c r="W1239" s="32"/>
      <c r="X1239" s="32"/>
      <c r="Y1239" s="33"/>
      <c r="Z1239" s="33"/>
      <c r="AA1239" s="33"/>
    </row>
    <row r="1240" spans="1:27">
      <c r="A1240" s="29"/>
      <c r="B1240" s="19">
        <f t="shared" si="39"/>
        <v>46327</v>
      </c>
      <c r="C1240" s="27">
        <f>I1240+J1240+K1240+L1240+M1240+N1240+O1240+P1240+IF(Q1240="",0,Q1240*サマリー!$B$9)+IF(R1240="",0,IF(R1240=200,サマリー!$B$10,IF(R1240=100,サマリー!$B$11,0)))+IF(S1240="",0,S1240*サマリー!$B$12)</f>
        <v>0</v>
      </c>
      <c r="D1240" s="27">
        <f>T1240+U1240+V1240+W1240+X1240+IF(Y1240="",0,Y1240*サマリー!$B$9)+IF(Z1240="",0,IF(Z1240=200,サマリー!$B$10,IF(Z1240=100,サマリー!$B$11,0)))+IF(AA1240="",0,AA1240*サマリー!$B$12)</f>
        <v>0</v>
      </c>
      <c r="E1240" s="27">
        <f t="shared" si="38"/>
        <v>0</v>
      </c>
      <c r="I1240" s="30"/>
      <c r="J1240" s="30"/>
      <c r="K1240" s="30"/>
      <c r="L1240" s="30"/>
      <c r="M1240" s="30"/>
      <c r="N1240" s="30"/>
      <c r="O1240" s="30"/>
      <c r="P1240" s="30"/>
      <c r="Q1240" s="31"/>
      <c r="R1240" s="31"/>
      <c r="S1240" s="31"/>
      <c r="T1240" s="32"/>
      <c r="U1240" s="32"/>
      <c r="V1240" s="32"/>
      <c r="W1240" s="32"/>
      <c r="X1240" s="32"/>
      <c r="Y1240" s="33"/>
      <c r="Z1240" s="33"/>
      <c r="AA1240" s="33"/>
    </row>
    <row r="1241" spans="1:27">
      <c r="A1241" s="29"/>
      <c r="B1241" s="19">
        <f t="shared" si="39"/>
        <v>46327</v>
      </c>
      <c r="C1241" s="27">
        <f>I1241+J1241+K1241+L1241+M1241+N1241+O1241+P1241+IF(Q1241="",0,Q1241*サマリー!$B$9)+IF(R1241="",0,IF(R1241=200,サマリー!$B$10,IF(R1241=100,サマリー!$B$11,0)))+IF(S1241="",0,S1241*サマリー!$B$12)</f>
        <v>0</v>
      </c>
      <c r="D1241" s="27">
        <f>T1241+U1241+V1241+W1241+X1241+IF(Y1241="",0,Y1241*サマリー!$B$9)+IF(Z1241="",0,IF(Z1241=200,サマリー!$B$10,IF(Z1241=100,サマリー!$B$11,0)))+IF(AA1241="",0,AA1241*サマリー!$B$12)</f>
        <v>0</v>
      </c>
      <c r="E1241" s="27">
        <f t="shared" si="38"/>
        <v>0</v>
      </c>
      <c r="I1241" s="30"/>
      <c r="J1241" s="30"/>
      <c r="K1241" s="30"/>
      <c r="L1241" s="30"/>
      <c r="M1241" s="30"/>
      <c r="N1241" s="30"/>
      <c r="O1241" s="30"/>
      <c r="P1241" s="30"/>
      <c r="Q1241" s="31"/>
      <c r="R1241" s="31"/>
      <c r="S1241" s="31"/>
      <c r="T1241" s="32"/>
      <c r="U1241" s="32"/>
      <c r="V1241" s="32"/>
      <c r="W1241" s="32"/>
      <c r="X1241" s="32"/>
      <c r="Y1241" s="33"/>
      <c r="Z1241" s="33"/>
      <c r="AA1241" s="33"/>
    </row>
    <row r="1242" spans="1:27">
      <c r="A1242" s="29"/>
      <c r="B1242" s="19">
        <f t="shared" si="39"/>
        <v>46327</v>
      </c>
      <c r="C1242" s="27">
        <f>I1242+J1242+K1242+L1242+M1242+N1242+O1242+P1242+IF(Q1242="",0,Q1242*サマリー!$B$9)+IF(R1242="",0,IF(R1242=200,サマリー!$B$10,IF(R1242=100,サマリー!$B$11,0)))+IF(S1242="",0,S1242*サマリー!$B$12)</f>
        <v>0</v>
      </c>
      <c r="D1242" s="27">
        <f>T1242+U1242+V1242+W1242+X1242+IF(Y1242="",0,Y1242*サマリー!$B$9)+IF(Z1242="",0,IF(Z1242=200,サマリー!$B$10,IF(Z1242=100,サマリー!$B$11,0)))+IF(AA1242="",0,AA1242*サマリー!$B$12)</f>
        <v>0</v>
      </c>
      <c r="E1242" s="27">
        <f t="shared" si="38"/>
        <v>0</v>
      </c>
      <c r="I1242" s="30"/>
      <c r="J1242" s="30"/>
      <c r="K1242" s="30"/>
      <c r="L1242" s="30"/>
      <c r="M1242" s="30"/>
      <c r="N1242" s="30"/>
      <c r="O1242" s="30"/>
      <c r="P1242" s="30"/>
      <c r="Q1242" s="31"/>
      <c r="R1242" s="31"/>
      <c r="S1242" s="31"/>
      <c r="T1242" s="32"/>
      <c r="U1242" s="32"/>
      <c r="V1242" s="32"/>
      <c r="W1242" s="32"/>
      <c r="X1242" s="32"/>
      <c r="Y1242" s="33"/>
      <c r="Z1242" s="33"/>
      <c r="AA1242" s="33"/>
    </row>
    <row r="1243" spans="1:27">
      <c r="A1243" s="29"/>
      <c r="B1243" s="19">
        <f t="shared" si="39"/>
        <v>46327</v>
      </c>
      <c r="C1243" s="27">
        <f>I1243+J1243+K1243+L1243+M1243+N1243+O1243+P1243+IF(Q1243="",0,Q1243*サマリー!$B$9)+IF(R1243="",0,IF(R1243=200,サマリー!$B$10,IF(R1243=100,サマリー!$B$11,0)))+IF(S1243="",0,S1243*サマリー!$B$12)</f>
        <v>0</v>
      </c>
      <c r="D1243" s="27">
        <f>T1243+U1243+V1243+W1243+X1243+IF(Y1243="",0,Y1243*サマリー!$B$9)+IF(Z1243="",0,IF(Z1243=200,サマリー!$B$10,IF(Z1243=100,サマリー!$B$11,0)))+IF(AA1243="",0,AA1243*サマリー!$B$12)</f>
        <v>0</v>
      </c>
      <c r="E1243" s="27">
        <f t="shared" si="38"/>
        <v>0</v>
      </c>
      <c r="I1243" s="30"/>
      <c r="J1243" s="30"/>
      <c r="K1243" s="30"/>
      <c r="L1243" s="30"/>
      <c r="M1243" s="30"/>
      <c r="N1243" s="30"/>
      <c r="O1243" s="30"/>
      <c r="P1243" s="30"/>
      <c r="Q1243" s="31"/>
      <c r="R1243" s="31"/>
      <c r="S1243" s="31"/>
      <c r="T1243" s="32"/>
      <c r="U1243" s="32"/>
      <c r="V1243" s="32"/>
      <c r="W1243" s="32"/>
      <c r="X1243" s="32"/>
      <c r="Y1243" s="33"/>
      <c r="Z1243" s="33"/>
      <c r="AA1243" s="33"/>
    </row>
    <row r="1244" spans="1:27">
      <c r="A1244" s="29"/>
      <c r="B1244" s="19">
        <f t="shared" si="39"/>
        <v>46327</v>
      </c>
      <c r="C1244" s="27">
        <f>I1244+J1244+K1244+L1244+M1244+N1244+O1244+P1244+IF(Q1244="",0,Q1244*サマリー!$B$9)+IF(R1244="",0,IF(R1244=200,サマリー!$B$10,IF(R1244=100,サマリー!$B$11,0)))+IF(S1244="",0,S1244*サマリー!$B$12)</f>
        <v>0</v>
      </c>
      <c r="D1244" s="27">
        <f>T1244+U1244+V1244+W1244+X1244+IF(Y1244="",0,Y1244*サマリー!$B$9)+IF(Z1244="",0,IF(Z1244=200,サマリー!$B$10,IF(Z1244=100,サマリー!$B$11,0)))+IF(AA1244="",0,AA1244*サマリー!$B$12)</f>
        <v>0</v>
      </c>
      <c r="E1244" s="27">
        <f t="shared" si="38"/>
        <v>0</v>
      </c>
      <c r="I1244" s="30"/>
      <c r="J1244" s="30"/>
      <c r="K1244" s="30"/>
      <c r="L1244" s="30"/>
      <c r="M1244" s="30"/>
      <c r="N1244" s="30"/>
      <c r="O1244" s="30"/>
      <c r="P1244" s="30"/>
      <c r="Q1244" s="31"/>
      <c r="R1244" s="31"/>
      <c r="S1244" s="31"/>
      <c r="T1244" s="32"/>
      <c r="U1244" s="32"/>
      <c r="V1244" s="32"/>
      <c r="W1244" s="32"/>
      <c r="X1244" s="32"/>
      <c r="Y1244" s="33"/>
      <c r="Z1244" s="33"/>
      <c r="AA1244" s="33"/>
    </row>
    <row r="1245" spans="1:27">
      <c r="A1245" s="29"/>
      <c r="B1245" s="19">
        <f t="shared" si="39"/>
        <v>46327</v>
      </c>
      <c r="C1245" s="27">
        <f>I1245+J1245+K1245+L1245+M1245+N1245+O1245+P1245+IF(Q1245="",0,Q1245*サマリー!$B$9)+IF(R1245="",0,IF(R1245=200,サマリー!$B$10,IF(R1245=100,サマリー!$B$11,0)))+IF(S1245="",0,S1245*サマリー!$B$12)</f>
        <v>0</v>
      </c>
      <c r="D1245" s="27">
        <f>T1245+U1245+V1245+W1245+X1245+IF(Y1245="",0,Y1245*サマリー!$B$9)+IF(Z1245="",0,IF(Z1245=200,サマリー!$B$10,IF(Z1245=100,サマリー!$B$11,0)))+IF(AA1245="",0,AA1245*サマリー!$B$12)</f>
        <v>0</v>
      </c>
      <c r="E1245" s="27">
        <f t="shared" si="38"/>
        <v>0</v>
      </c>
      <c r="I1245" s="30"/>
      <c r="J1245" s="30"/>
      <c r="K1245" s="30"/>
      <c r="L1245" s="30"/>
      <c r="M1245" s="30"/>
      <c r="N1245" s="30"/>
      <c r="O1245" s="30"/>
      <c r="P1245" s="30"/>
      <c r="Q1245" s="31"/>
      <c r="R1245" s="31"/>
      <c r="S1245" s="31"/>
      <c r="T1245" s="32"/>
      <c r="U1245" s="32"/>
      <c r="V1245" s="32"/>
      <c r="W1245" s="32"/>
      <c r="X1245" s="32"/>
      <c r="Y1245" s="33"/>
      <c r="Z1245" s="33"/>
      <c r="AA1245" s="33"/>
    </row>
    <row r="1246" spans="1:27">
      <c r="A1246" s="29"/>
      <c r="B1246" s="19">
        <f t="shared" si="39"/>
        <v>46327</v>
      </c>
      <c r="C1246" s="27">
        <f>I1246+J1246+K1246+L1246+M1246+N1246+O1246+P1246+IF(Q1246="",0,Q1246*サマリー!$B$9)+IF(R1246="",0,IF(R1246=200,サマリー!$B$10,IF(R1246=100,サマリー!$B$11,0)))+IF(S1246="",0,S1246*サマリー!$B$12)</f>
        <v>0</v>
      </c>
      <c r="D1246" s="27">
        <f>T1246+U1246+V1246+W1246+X1246+IF(Y1246="",0,Y1246*サマリー!$B$9)+IF(Z1246="",0,IF(Z1246=200,サマリー!$B$10,IF(Z1246=100,サマリー!$B$11,0)))+IF(AA1246="",0,AA1246*サマリー!$B$12)</f>
        <v>0</v>
      </c>
      <c r="E1246" s="27">
        <f t="shared" si="38"/>
        <v>0</v>
      </c>
      <c r="I1246" s="30"/>
      <c r="J1246" s="30"/>
      <c r="K1246" s="30"/>
      <c r="L1246" s="30"/>
      <c r="M1246" s="30"/>
      <c r="N1246" s="30"/>
      <c r="O1246" s="30"/>
      <c r="P1246" s="30"/>
      <c r="Q1246" s="31"/>
      <c r="R1246" s="31"/>
      <c r="S1246" s="31"/>
      <c r="T1246" s="32"/>
      <c r="U1246" s="32"/>
      <c r="V1246" s="32"/>
      <c r="W1246" s="32"/>
      <c r="X1246" s="32"/>
      <c r="Y1246" s="33"/>
      <c r="Z1246" s="33"/>
      <c r="AA1246" s="33"/>
    </row>
    <row r="1247" spans="1:27">
      <c r="A1247" s="29"/>
      <c r="B1247" s="19">
        <f t="shared" si="39"/>
        <v>46327</v>
      </c>
      <c r="C1247" s="27">
        <f>I1247+J1247+K1247+L1247+M1247+N1247+O1247+P1247+IF(Q1247="",0,Q1247*サマリー!$B$9)+IF(R1247="",0,IF(R1247=200,サマリー!$B$10,IF(R1247=100,サマリー!$B$11,0)))+IF(S1247="",0,S1247*サマリー!$B$12)</f>
        <v>0</v>
      </c>
      <c r="D1247" s="27">
        <f>T1247+U1247+V1247+W1247+X1247+IF(Y1247="",0,Y1247*サマリー!$B$9)+IF(Z1247="",0,IF(Z1247=200,サマリー!$B$10,IF(Z1247=100,サマリー!$B$11,0)))+IF(AA1247="",0,AA1247*サマリー!$B$12)</f>
        <v>0</v>
      </c>
      <c r="E1247" s="27">
        <f t="shared" si="38"/>
        <v>0</v>
      </c>
      <c r="I1247" s="30"/>
      <c r="J1247" s="30"/>
      <c r="K1247" s="30"/>
      <c r="L1247" s="30"/>
      <c r="M1247" s="30"/>
      <c r="N1247" s="30"/>
      <c r="O1247" s="30"/>
      <c r="P1247" s="30"/>
      <c r="Q1247" s="31"/>
      <c r="R1247" s="31"/>
      <c r="S1247" s="31"/>
      <c r="T1247" s="32"/>
      <c r="U1247" s="32"/>
      <c r="V1247" s="32"/>
      <c r="W1247" s="32"/>
      <c r="X1247" s="32"/>
      <c r="Y1247" s="33"/>
      <c r="Z1247" s="33"/>
      <c r="AA1247" s="33"/>
    </row>
    <row r="1248" spans="1:27">
      <c r="A1248" s="29"/>
      <c r="B1248" s="19">
        <f t="shared" si="39"/>
        <v>46327</v>
      </c>
      <c r="C1248" s="27">
        <f>I1248+J1248+K1248+L1248+M1248+N1248+O1248+P1248+IF(Q1248="",0,Q1248*サマリー!$B$9)+IF(R1248="",0,IF(R1248=200,サマリー!$B$10,IF(R1248=100,サマリー!$B$11,0)))+IF(S1248="",0,S1248*サマリー!$B$12)</f>
        <v>0</v>
      </c>
      <c r="D1248" s="27">
        <f>T1248+U1248+V1248+W1248+X1248+IF(Y1248="",0,Y1248*サマリー!$B$9)+IF(Z1248="",0,IF(Z1248=200,サマリー!$B$10,IF(Z1248=100,サマリー!$B$11,0)))+IF(AA1248="",0,AA1248*サマリー!$B$12)</f>
        <v>0</v>
      </c>
      <c r="E1248" s="27">
        <f t="shared" si="38"/>
        <v>0</v>
      </c>
      <c r="I1248" s="30"/>
      <c r="J1248" s="30"/>
      <c r="K1248" s="30"/>
      <c r="L1248" s="30"/>
      <c r="M1248" s="30"/>
      <c r="N1248" s="30"/>
      <c r="O1248" s="30"/>
      <c r="P1248" s="30"/>
      <c r="Q1248" s="31"/>
      <c r="R1248" s="31"/>
      <c r="S1248" s="31"/>
      <c r="T1248" s="32"/>
      <c r="U1248" s="32"/>
      <c r="V1248" s="32"/>
      <c r="W1248" s="32"/>
      <c r="X1248" s="32"/>
      <c r="Y1248" s="33"/>
      <c r="Z1248" s="33"/>
      <c r="AA1248" s="33"/>
    </row>
    <row r="1249" spans="1:27">
      <c r="A1249" s="29"/>
      <c r="B1249" s="19">
        <f t="shared" si="39"/>
        <v>46327</v>
      </c>
      <c r="C1249" s="27">
        <f>I1249+J1249+K1249+L1249+M1249+N1249+O1249+P1249+IF(Q1249="",0,Q1249*サマリー!$B$9)+IF(R1249="",0,IF(R1249=200,サマリー!$B$10,IF(R1249=100,サマリー!$B$11,0)))+IF(S1249="",0,S1249*サマリー!$B$12)</f>
        <v>0</v>
      </c>
      <c r="D1249" s="27">
        <f>T1249+U1249+V1249+W1249+X1249+IF(Y1249="",0,Y1249*サマリー!$B$9)+IF(Z1249="",0,IF(Z1249=200,サマリー!$B$10,IF(Z1249=100,サマリー!$B$11,0)))+IF(AA1249="",0,AA1249*サマリー!$B$12)</f>
        <v>0</v>
      </c>
      <c r="E1249" s="27">
        <f t="shared" si="38"/>
        <v>0</v>
      </c>
      <c r="I1249" s="30"/>
      <c r="J1249" s="30"/>
      <c r="K1249" s="30"/>
      <c r="L1249" s="30"/>
      <c r="M1249" s="30"/>
      <c r="N1249" s="30"/>
      <c r="O1249" s="30"/>
      <c r="P1249" s="30"/>
      <c r="Q1249" s="31"/>
      <c r="R1249" s="31"/>
      <c r="S1249" s="31"/>
      <c r="T1249" s="32"/>
      <c r="U1249" s="32"/>
      <c r="V1249" s="32"/>
      <c r="W1249" s="32"/>
      <c r="X1249" s="32"/>
      <c r="Y1249" s="33"/>
      <c r="Z1249" s="33"/>
      <c r="AA1249" s="33"/>
    </row>
    <row r="1250" spans="1:27">
      <c r="A1250" s="29"/>
      <c r="B1250" s="19">
        <f t="shared" si="39"/>
        <v>46327</v>
      </c>
      <c r="C1250" s="27">
        <f>I1250+J1250+K1250+L1250+M1250+N1250+O1250+P1250+IF(Q1250="",0,Q1250*サマリー!$B$9)+IF(R1250="",0,IF(R1250=200,サマリー!$B$10,IF(R1250=100,サマリー!$B$11,0)))+IF(S1250="",0,S1250*サマリー!$B$12)</f>
        <v>0</v>
      </c>
      <c r="D1250" s="27">
        <f>T1250+U1250+V1250+W1250+X1250+IF(Y1250="",0,Y1250*サマリー!$B$9)+IF(Z1250="",0,IF(Z1250=200,サマリー!$B$10,IF(Z1250=100,サマリー!$B$11,0)))+IF(AA1250="",0,AA1250*サマリー!$B$12)</f>
        <v>0</v>
      </c>
      <c r="E1250" s="27">
        <f t="shared" si="38"/>
        <v>0</v>
      </c>
      <c r="I1250" s="30"/>
      <c r="J1250" s="30"/>
      <c r="K1250" s="30"/>
      <c r="L1250" s="30"/>
      <c r="M1250" s="30"/>
      <c r="N1250" s="30"/>
      <c r="O1250" s="30"/>
      <c r="P1250" s="30"/>
      <c r="Q1250" s="31"/>
      <c r="R1250" s="31"/>
      <c r="S1250" s="31"/>
      <c r="T1250" s="32"/>
      <c r="U1250" s="32"/>
      <c r="V1250" s="32"/>
      <c r="W1250" s="32"/>
      <c r="X1250" s="32"/>
      <c r="Y1250" s="33"/>
      <c r="Z1250" s="33"/>
      <c r="AA1250" s="33"/>
    </row>
    <row r="1251" spans="1:27">
      <c r="A1251" s="29"/>
      <c r="B1251" s="19">
        <f t="shared" si="39"/>
        <v>46327</v>
      </c>
      <c r="C1251" s="27">
        <f>I1251+J1251+K1251+L1251+M1251+N1251+O1251+P1251+IF(Q1251="",0,Q1251*サマリー!$B$9)+IF(R1251="",0,IF(R1251=200,サマリー!$B$10,IF(R1251=100,サマリー!$B$11,0)))+IF(S1251="",0,S1251*サマリー!$B$12)</f>
        <v>0</v>
      </c>
      <c r="D1251" s="27">
        <f>T1251+U1251+V1251+W1251+X1251+IF(Y1251="",0,Y1251*サマリー!$B$9)+IF(Z1251="",0,IF(Z1251=200,サマリー!$B$10,IF(Z1251=100,サマリー!$B$11,0)))+IF(AA1251="",0,AA1251*サマリー!$B$12)</f>
        <v>0</v>
      </c>
      <c r="E1251" s="27">
        <f t="shared" si="38"/>
        <v>0</v>
      </c>
      <c r="I1251" s="30"/>
      <c r="J1251" s="30"/>
      <c r="K1251" s="30"/>
      <c r="L1251" s="30"/>
      <c r="M1251" s="30"/>
      <c r="N1251" s="30"/>
      <c r="O1251" s="30"/>
      <c r="P1251" s="30"/>
      <c r="Q1251" s="31"/>
      <c r="R1251" s="31"/>
      <c r="S1251" s="31"/>
      <c r="T1251" s="32"/>
      <c r="U1251" s="32"/>
      <c r="V1251" s="32"/>
      <c r="W1251" s="32"/>
      <c r="X1251" s="32"/>
      <c r="Y1251" s="33"/>
      <c r="Z1251" s="33"/>
      <c r="AA1251" s="33"/>
    </row>
    <row r="1252" spans="1:27">
      <c r="A1252" s="29"/>
      <c r="B1252" s="19">
        <f t="shared" si="39"/>
        <v>46327</v>
      </c>
      <c r="C1252" s="27">
        <f>I1252+J1252+K1252+L1252+M1252+N1252+O1252+P1252+IF(Q1252="",0,Q1252*サマリー!$B$9)+IF(R1252="",0,IF(R1252=200,サマリー!$B$10,IF(R1252=100,サマリー!$B$11,0)))+IF(S1252="",0,S1252*サマリー!$B$12)</f>
        <v>0</v>
      </c>
      <c r="D1252" s="27">
        <f>T1252+U1252+V1252+W1252+X1252+IF(Y1252="",0,Y1252*サマリー!$B$9)+IF(Z1252="",0,IF(Z1252=200,サマリー!$B$10,IF(Z1252=100,サマリー!$B$11,0)))+IF(AA1252="",0,AA1252*サマリー!$B$12)</f>
        <v>0</v>
      </c>
      <c r="E1252" s="27">
        <f t="shared" si="38"/>
        <v>0</v>
      </c>
      <c r="I1252" s="30"/>
      <c r="J1252" s="30"/>
      <c r="K1252" s="30"/>
      <c r="L1252" s="30"/>
      <c r="M1252" s="30"/>
      <c r="N1252" s="30"/>
      <c r="O1252" s="30"/>
      <c r="P1252" s="30"/>
      <c r="Q1252" s="31"/>
      <c r="R1252" s="31"/>
      <c r="S1252" s="31"/>
      <c r="T1252" s="32"/>
      <c r="U1252" s="32"/>
      <c r="V1252" s="32"/>
      <c r="W1252" s="32"/>
      <c r="X1252" s="32"/>
      <c r="Y1252" s="33"/>
      <c r="Z1252" s="33"/>
      <c r="AA1252" s="33"/>
    </row>
    <row r="1253" spans="1:27">
      <c r="A1253" s="29"/>
      <c r="B1253" s="19">
        <f t="shared" si="39"/>
        <v>46327</v>
      </c>
      <c r="C1253" s="27">
        <f>I1253+J1253+K1253+L1253+M1253+N1253+O1253+P1253+IF(Q1253="",0,Q1253*サマリー!$B$9)+IF(R1253="",0,IF(R1253=200,サマリー!$B$10,IF(R1253=100,サマリー!$B$11,0)))+IF(S1253="",0,S1253*サマリー!$B$12)</f>
        <v>0</v>
      </c>
      <c r="D1253" s="27">
        <f>T1253+U1253+V1253+W1253+X1253+IF(Y1253="",0,Y1253*サマリー!$B$9)+IF(Z1253="",0,IF(Z1253=200,サマリー!$B$10,IF(Z1253=100,サマリー!$B$11,0)))+IF(AA1253="",0,AA1253*サマリー!$B$12)</f>
        <v>0</v>
      </c>
      <c r="E1253" s="27">
        <f t="shared" si="38"/>
        <v>0</v>
      </c>
      <c r="I1253" s="30"/>
      <c r="J1253" s="30"/>
      <c r="K1253" s="30"/>
      <c r="L1253" s="30"/>
      <c r="M1253" s="30"/>
      <c r="N1253" s="30"/>
      <c r="O1253" s="30"/>
      <c r="P1253" s="30"/>
      <c r="Q1253" s="31"/>
      <c r="R1253" s="31"/>
      <c r="S1253" s="31"/>
      <c r="T1253" s="32"/>
      <c r="U1253" s="32"/>
      <c r="V1253" s="32"/>
      <c r="W1253" s="32"/>
      <c r="X1253" s="32"/>
      <c r="Y1253" s="33"/>
      <c r="Z1253" s="33"/>
      <c r="AA1253" s="33"/>
    </row>
    <row r="1254" spans="1:27">
      <c r="A1254" s="29"/>
      <c r="B1254" s="19">
        <f t="shared" si="39"/>
        <v>46327</v>
      </c>
      <c r="C1254" s="27">
        <f>I1254+J1254+K1254+L1254+M1254+N1254+O1254+P1254+IF(Q1254="",0,Q1254*サマリー!$B$9)+IF(R1254="",0,IF(R1254=200,サマリー!$B$10,IF(R1254=100,サマリー!$B$11,0)))+IF(S1254="",0,S1254*サマリー!$B$12)</f>
        <v>0</v>
      </c>
      <c r="D1254" s="27">
        <f>T1254+U1254+V1254+W1254+X1254+IF(Y1254="",0,Y1254*サマリー!$B$9)+IF(Z1254="",0,IF(Z1254=200,サマリー!$B$10,IF(Z1254=100,サマリー!$B$11,0)))+IF(AA1254="",0,AA1254*サマリー!$B$12)</f>
        <v>0</v>
      </c>
      <c r="E1254" s="27">
        <f t="shared" si="38"/>
        <v>0</v>
      </c>
      <c r="I1254" s="30"/>
      <c r="J1254" s="30"/>
      <c r="K1254" s="30"/>
      <c r="L1254" s="30"/>
      <c r="M1254" s="30"/>
      <c r="N1254" s="30"/>
      <c r="O1254" s="30"/>
      <c r="P1254" s="30"/>
      <c r="Q1254" s="31"/>
      <c r="R1254" s="31"/>
      <c r="S1254" s="31"/>
      <c r="T1254" s="32"/>
      <c r="U1254" s="32"/>
      <c r="V1254" s="32"/>
      <c r="W1254" s="32"/>
      <c r="X1254" s="32"/>
      <c r="Y1254" s="33"/>
      <c r="Z1254" s="33"/>
      <c r="AA1254" s="33"/>
    </row>
    <row r="1255" spans="1:27">
      <c r="A1255" s="29"/>
      <c r="B1255" s="19">
        <f t="shared" si="39"/>
        <v>46327</v>
      </c>
      <c r="C1255" s="27">
        <f>I1255+J1255+K1255+L1255+M1255+N1255+O1255+P1255+IF(Q1255="",0,Q1255*サマリー!$B$9)+IF(R1255="",0,IF(R1255=200,サマリー!$B$10,IF(R1255=100,サマリー!$B$11,0)))+IF(S1255="",0,S1255*サマリー!$B$12)</f>
        <v>0</v>
      </c>
      <c r="D1255" s="27">
        <f>T1255+U1255+V1255+W1255+X1255+IF(Y1255="",0,Y1255*サマリー!$B$9)+IF(Z1255="",0,IF(Z1255=200,サマリー!$B$10,IF(Z1255=100,サマリー!$B$11,0)))+IF(AA1255="",0,AA1255*サマリー!$B$12)</f>
        <v>0</v>
      </c>
      <c r="E1255" s="27">
        <f t="shared" si="38"/>
        <v>0</v>
      </c>
      <c r="I1255" s="30"/>
      <c r="J1255" s="30"/>
      <c r="K1255" s="30"/>
      <c r="L1255" s="30"/>
      <c r="M1255" s="30"/>
      <c r="N1255" s="30"/>
      <c r="O1255" s="30"/>
      <c r="P1255" s="30"/>
      <c r="Q1255" s="31"/>
      <c r="R1255" s="31"/>
      <c r="S1255" s="31"/>
      <c r="T1255" s="32"/>
      <c r="U1255" s="32"/>
      <c r="V1255" s="32"/>
      <c r="W1255" s="32"/>
      <c r="X1255" s="32"/>
      <c r="Y1255" s="33"/>
      <c r="Z1255" s="33"/>
      <c r="AA1255" s="33"/>
    </row>
    <row r="1256" spans="1:27">
      <c r="A1256" s="29"/>
      <c r="B1256" s="19">
        <f t="shared" si="39"/>
        <v>46327</v>
      </c>
      <c r="C1256" s="27">
        <f>I1256+J1256+K1256+L1256+M1256+N1256+O1256+P1256+IF(Q1256="",0,Q1256*サマリー!$B$9)+IF(R1256="",0,IF(R1256=200,サマリー!$B$10,IF(R1256=100,サマリー!$B$11,0)))+IF(S1256="",0,S1256*サマリー!$B$12)</f>
        <v>0</v>
      </c>
      <c r="D1256" s="27">
        <f>T1256+U1256+V1256+W1256+X1256+IF(Y1256="",0,Y1256*サマリー!$B$9)+IF(Z1256="",0,IF(Z1256=200,サマリー!$B$10,IF(Z1256=100,サマリー!$B$11,0)))+IF(AA1256="",0,AA1256*サマリー!$B$12)</f>
        <v>0</v>
      </c>
      <c r="E1256" s="27">
        <f t="shared" si="38"/>
        <v>0</v>
      </c>
      <c r="I1256" s="30"/>
      <c r="J1256" s="30"/>
      <c r="K1256" s="30"/>
      <c r="L1256" s="30"/>
      <c r="M1256" s="30"/>
      <c r="N1256" s="30"/>
      <c r="O1256" s="30"/>
      <c r="P1256" s="30"/>
      <c r="Q1256" s="31"/>
      <c r="R1256" s="31"/>
      <c r="S1256" s="31"/>
      <c r="T1256" s="32"/>
      <c r="U1256" s="32"/>
      <c r="V1256" s="32"/>
      <c r="W1256" s="32"/>
      <c r="X1256" s="32"/>
      <c r="Y1256" s="33"/>
      <c r="Z1256" s="33"/>
      <c r="AA1256" s="33"/>
    </row>
    <row r="1257" spans="1:27">
      <c r="A1257" s="29"/>
      <c r="B1257" s="19">
        <f t="shared" si="39"/>
        <v>46327</v>
      </c>
      <c r="C1257" s="27">
        <f>I1257+J1257+K1257+L1257+M1257+N1257+O1257+P1257+IF(Q1257="",0,Q1257*サマリー!$B$9)+IF(R1257="",0,IF(R1257=200,サマリー!$B$10,IF(R1257=100,サマリー!$B$11,0)))+IF(S1257="",0,S1257*サマリー!$B$12)</f>
        <v>0</v>
      </c>
      <c r="D1257" s="27">
        <f>T1257+U1257+V1257+W1257+X1257+IF(Y1257="",0,Y1257*サマリー!$B$9)+IF(Z1257="",0,IF(Z1257=200,サマリー!$B$10,IF(Z1257=100,サマリー!$B$11,0)))+IF(AA1257="",0,AA1257*サマリー!$B$12)</f>
        <v>0</v>
      </c>
      <c r="E1257" s="27">
        <f t="shared" si="38"/>
        <v>0</v>
      </c>
      <c r="I1257" s="30"/>
      <c r="J1257" s="30"/>
      <c r="K1257" s="30"/>
      <c r="L1257" s="30"/>
      <c r="M1257" s="30"/>
      <c r="N1257" s="30"/>
      <c r="O1257" s="30"/>
      <c r="P1257" s="30"/>
      <c r="Q1257" s="31"/>
      <c r="R1257" s="31"/>
      <c r="S1257" s="31"/>
      <c r="T1257" s="32"/>
      <c r="U1257" s="32"/>
      <c r="V1257" s="32"/>
      <c r="W1257" s="32"/>
      <c r="X1257" s="32"/>
      <c r="Y1257" s="33"/>
      <c r="Z1257" s="33"/>
      <c r="AA1257" s="33"/>
    </row>
    <row r="1258" spans="1:27">
      <c r="A1258" s="29"/>
      <c r="B1258" s="19">
        <f t="shared" si="39"/>
        <v>46327</v>
      </c>
      <c r="C1258" s="27">
        <f>I1258+J1258+K1258+L1258+M1258+N1258+O1258+P1258+IF(Q1258="",0,Q1258*サマリー!$B$9)+IF(R1258="",0,IF(R1258=200,サマリー!$B$10,IF(R1258=100,サマリー!$B$11,0)))+IF(S1258="",0,S1258*サマリー!$B$12)</f>
        <v>0</v>
      </c>
      <c r="D1258" s="27">
        <f>T1258+U1258+V1258+W1258+X1258+IF(Y1258="",0,Y1258*サマリー!$B$9)+IF(Z1258="",0,IF(Z1258=200,サマリー!$B$10,IF(Z1258=100,サマリー!$B$11,0)))+IF(AA1258="",0,AA1258*サマリー!$B$12)</f>
        <v>0</v>
      </c>
      <c r="E1258" s="27">
        <f t="shared" si="38"/>
        <v>0</v>
      </c>
      <c r="I1258" s="30"/>
      <c r="J1258" s="30"/>
      <c r="K1258" s="30"/>
      <c r="L1258" s="30"/>
      <c r="M1258" s="30"/>
      <c r="N1258" s="30"/>
      <c r="O1258" s="30"/>
      <c r="P1258" s="30"/>
      <c r="Q1258" s="31"/>
      <c r="R1258" s="31"/>
      <c r="S1258" s="31"/>
      <c r="T1258" s="32"/>
      <c r="U1258" s="32"/>
      <c r="V1258" s="32"/>
      <c r="W1258" s="32"/>
      <c r="X1258" s="32"/>
      <c r="Y1258" s="33"/>
      <c r="Z1258" s="33"/>
      <c r="AA1258" s="33"/>
    </row>
    <row r="1259" spans="1:27">
      <c r="A1259" s="29"/>
      <c r="B1259" s="19">
        <f t="shared" si="39"/>
        <v>46327</v>
      </c>
      <c r="C1259" s="27">
        <f>I1259+J1259+K1259+L1259+M1259+N1259+O1259+P1259+IF(Q1259="",0,Q1259*サマリー!$B$9)+IF(R1259="",0,IF(R1259=200,サマリー!$B$10,IF(R1259=100,サマリー!$B$11,0)))+IF(S1259="",0,S1259*サマリー!$B$12)</f>
        <v>0</v>
      </c>
      <c r="D1259" s="27">
        <f>T1259+U1259+V1259+W1259+X1259+IF(Y1259="",0,Y1259*サマリー!$B$9)+IF(Z1259="",0,IF(Z1259=200,サマリー!$B$10,IF(Z1259=100,サマリー!$B$11,0)))+IF(AA1259="",0,AA1259*サマリー!$B$12)</f>
        <v>0</v>
      </c>
      <c r="E1259" s="27">
        <f t="shared" si="38"/>
        <v>0</v>
      </c>
      <c r="I1259" s="30"/>
      <c r="J1259" s="30"/>
      <c r="K1259" s="30"/>
      <c r="L1259" s="30"/>
      <c r="M1259" s="30"/>
      <c r="N1259" s="30"/>
      <c r="O1259" s="30"/>
      <c r="P1259" s="30"/>
      <c r="Q1259" s="31"/>
      <c r="R1259" s="31"/>
      <c r="S1259" s="31"/>
      <c r="T1259" s="32"/>
      <c r="U1259" s="32"/>
      <c r="V1259" s="32"/>
      <c r="W1259" s="32"/>
      <c r="X1259" s="32"/>
      <c r="Y1259" s="33"/>
      <c r="Z1259" s="33"/>
      <c r="AA1259" s="33"/>
    </row>
    <row r="1260" spans="1:27">
      <c r="A1260" s="29"/>
      <c r="B1260" s="19">
        <f t="shared" si="39"/>
        <v>46327</v>
      </c>
      <c r="C1260" s="27">
        <f>I1260+J1260+K1260+L1260+M1260+N1260+O1260+P1260+IF(Q1260="",0,Q1260*サマリー!$B$9)+IF(R1260="",0,IF(R1260=200,サマリー!$B$10,IF(R1260=100,サマリー!$B$11,0)))+IF(S1260="",0,S1260*サマリー!$B$12)</f>
        <v>0</v>
      </c>
      <c r="D1260" s="27">
        <f>T1260+U1260+V1260+W1260+X1260+IF(Y1260="",0,Y1260*サマリー!$B$9)+IF(Z1260="",0,IF(Z1260=200,サマリー!$B$10,IF(Z1260=100,サマリー!$B$11,0)))+IF(AA1260="",0,AA1260*サマリー!$B$12)</f>
        <v>0</v>
      </c>
      <c r="E1260" s="27">
        <f t="shared" si="38"/>
        <v>0</v>
      </c>
      <c r="I1260" s="30"/>
      <c r="J1260" s="30"/>
      <c r="K1260" s="30"/>
      <c r="L1260" s="30"/>
      <c r="M1260" s="30"/>
      <c r="N1260" s="30"/>
      <c r="O1260" s="30"/>
      <c r="P1260" s="30"/>
      <c r="Q1260" s="31"/>
      <c r="R1260" s="31"/>
      <c r="S1260" s="31"/>
      <c r="T1260" s="32"/>
      <c r="U1260" s="32"/>
      <c r="V1260" s="32"/>
      <c r="W1260" s="32"/>
      <c r="X1260" s="32"/>
      <c r="Y1260" s="33"/>
      <c r="Z1260" s="33"/>
      <c r="AA1260" s="33"/>
    </row>
    <row r="1261" spans="1:27">
      <c r="A1261" s="29"/>
      <c r="B1261" s="19">
        <f t="shared" si="39"/>
        <v>46327</v>
      </c>
      <c r="C1261" s="27">
        <f>I1261+J1261+K1261+L1261+M1261+N1261+O1261+P1261+IF(Q1261="",0,Q1261*サマリー!$B$9)+IF(R1261="",0,IF(R1261=200,サマリー!$B$10,IF(R1261=100,サマリー!$B$11,0)))+IF(S1261="",0,S1261*サマリー!$B$12)</f>
        <v>0</v>
      </c>
      <c r="D1261" s="27">
        <f>T1261+U1261+V1261+W1261+X1261+IF(Y1261="",0,Y1261*サマリー!$B$9)+IF(Z1261="",0,IF(Z1261=200,サマリー!$B$10,IF(Z1261=100,サマリー!$B$11,0)))+IF(AA1261="",0,AA1261*サマリー!$B$12)</f>
        <v>0</v>
      </c>
      <c r="E1261" s="27">
        <f t="shared" si="38"/>
        <v>0</v>
      </c>
      <c r="I1261" s="30"/>
      <c r="J1261" s="30"/>
      <c r="K1261" s="30"/>
      <c r="L1261" s="30"/>
      <c r="M1261" s="30"/>
      <c r="N1261" s="30"/>
      <c r="O1261" s="30"/>
      <c r="P1261" s="30"/>
      <c r="Q1261" s="31"/>
      <c r="R1261" s="31"/>
      <c r="S1261" s="31"/>
      <c r="T1261" s="32"/>
      <c r="U1261" s="32"/>
      <c r="V1261" s="32"/>
      <c r="W1261" s="32"/>
      <c r="X1261" s="32"/>
      <c r="Y1261" s="33"/>
      <c r="Z1261" s="33"/>
      <c r="AA1261" s="33"/>
    </row>
    <row r="1262" spans="1:27">
      <c r="A1262" s="29"/>
      <c r="B1262" s="19">
        <f t="shared" si="39"/>
        <v>46327</v>
      </c>
      <c r="C1262" s="27">
        <f>I1262+J1262+K1262+L1262+M1262+N1262+O1262+P1262+IF(Q1262="",0,Q1262*サマリー!$B$9)+IF(R1262="",0,IF(R1262=200,サマリー!$B$10,IF(R1262=100,サマリー!$B$11,0)))+IF(S1262="",0,S1262*サマリー!$B$12)</f>
        <v>0</v>
      </c>
      <c r="D1262" s="27">
        <f>T1262+U1262+V1262+W1262+X1262+IF(Y1262="",0,Y1262*サマリー!$B$9)+IF(Z1262="",0,IF(Z1262=200,サマリー!$B$10,IF(Z1262=100,サマリー!$B$11,0)))+IF(AA1262="",0,AA1262*サマリー!$B$12)</f>
        <v>0</v>
      </c>
      <c r="E1262" s="27">
        <f t="shared" si="38"/>
        <v>0</v>
      </c>
      <c r="I1262" s="30"/>
      <c r="J1262" s="30"/>
      <c r="K1262" s="30"/>
      <c r="L1262" s="30"/>
      <c r="M1262" s="30"/>
      <c r="N1262" s="30"/>
      <c r="O1262" s="30"/>
      <c r="P1262" s="30"/>
      <c r="Q1262" s="31"/>
      <c r="R1262" s="31"/>
      <c r="S1262" s="31"/>
      <c r="T1262" s="32"/>
      <c r="U1262" s="32"/>
      <c r="V1262" s="32"/>
      <c r="W1262" s="32"/>
      <c r="X1262" s="32"/>
      <c r="Y1262" s="33"/>
      <c r="Z1262" s="33"/>
      <c r="AA1262" s="33"/>
    </row>
    <row r="1263" spans="1:27">
      <c r="A1263" s="29"/>
      <c r="B1263" s="19">
        <f t="shared" si="39"/>
        <v>46327</v>
      </c>
      <c r="C1263" s="27">
        <f>I1263+J1263+K1263+L1263+M1263+N1263+O1263+P1263+IF(Q1263="",0,Q1263*サマリー!$B$9)+IF(R1263="",0,IF(R1263=200,サマリー!$B$10,IF(R1263=100,サマリー!$B$11,0)))+IF(S1263="",0,S1263*サマリー!$B$12)</f>
        <v>0</v>
      </c>
      <c r="D1263" s="27">
        <f>T1263+U1263+V1263+W1263+X1263+IF(Y1263="",0,Y1263*サマリー!$B$9)+IF(Z1263="",0,IF(Z1263=200,サマリー!$B$10,IF(Z1263=100,サマリー!$B$11,0)))+IF(AA1263="",0,AA1263*サマリー!$B$12)</f>
        <v>0</v>
      </c>
      <c r="E1263" s="27">
        <f t="shared" si="38"/>
        <v>0</v>
      </c>
      <c r="I1263" s="30"/>
      <c r="J1263" s="30"/>
      <c r="K1263" s="30"/>
      <c r="L1263" s="30"/>
      <c r="M1263" s="30"/>
      <c r="N1263" s="30"/>
      <c r="O1263" s="30"/>
      <c r="P1263" s="30"/>
      <c r="Q1263" s="31"/>
      <c r="R1263" s="31"/>
      <c r="S1263" s="31"/>
      <c r="T1263" s="32"/>
      <c r="U1263" s="32"/>
      <c r="V1263" s="32"/>
      <c r="W1263" s="32"/>
      <c r="X1263" s="32"/>
      <c r="Y1263" s="33"/>
      <c r="Z1263" s="33"/>
      <c r="AA1263" s="33"/>
    </row>
    <row r="1264" spans="1:27">
      <c r="A1264" s="29"/>
      <c r="B1264" s="19">
        <f t="shared" si="39"/>
        <v>46327</v>
      </c>
      <c r="C1264" s="27">
        <f>I1264+J1264+K1264+L1264+M1264+N1264+O1264+P1264+IF(Q1264="",0,Q1264*サマリー!$B$9)+IF(R1264="",0,IF(R1264=200,サマリー!$B$10,IF(R1264=100,サマリー!$B$11,0)))+IF(S1264="",0,S1264*サマリー!$B$12)</f>
        <v>0</v>
      </c>
      <c r="D1264" s="27">
        <f>T1264+U1264+V1264+W1264+X1264+IF(Y1264="",0,Y1264*サマリー!$B$9)+IF(Z1264="",0,IF(Z1264=200,サマリー!$B$10,IF(Z1264=100,サマリー!$B$11,0)))+IF(AA1264="",0,AA1264*サマリー!$B$12)</f>
        <v>0</v>
      </c>
      <c r="E1264" s="27">
        <f t="shared" si="38"/>
        <v>0</v>
      </c>
      <c r="I1264" s="30"/>
      <c r="J1264" s="30"/>
      <c r="K1264" s="30"/>
      <c r="L1264" s="30"/>
      <c r="M1264" s="30"/>
      <c r="N1264" s="30"/>
      <c r="O1264" s="30"/>
      <c r="P1264" s="30"/>
      <c r="Q1264" s="31"/>
      <c r="R1264" s="31"/>
      <c r="S1264" s="31"/>
      <c r="T1264" s="32"/>
      <c r="U1264" s="32"/>
      <c r="V1264" s="32"/>
      <c r="W1264" s="32"/>
      <c r="X1264" s="32"/>
      <c r="Y1264" s="33"/>
      <c r="Z1264" s="33"/>
      <c r="AA1264" s="33"/>
    </row>
    <row r="1265" spans="1:27">
      <c r="A1265" s="29"/>
      <c r="B1265" s="19">
        <f t="shared" si="39"/>
        <v>46327</v>
      </c>
      <c r="C1265" s="27">
        <f>I1265+J1265+K1265+L1265+M1265+N1265+O1265+P1265+IF(Q1265="",0,Q1265*サマリー!$B$9)+IF(R1265="",0,IF(R1265=200,サマリー!$B$10,IF(R1265=100,サマリー!$B$11,0)))+IF(S1265="",0,S1265*サマリー!$B$12)</f>
        <v>0</v>
      </c>
      <c r="D1265" s="27">
        <f>T1265+U1265+V1265+W1265+X1265+IF(Y1265="",0,Y1265*サマリー!$B$9)+IF(Z1265="",0,IF(Z1265=200,サマリー!$B$10,IF(Z1265=100,サマリー!$B$11,0)))+IF(AA1265="",0,AA1265*サマリー!$B$12)</f>
        <v>0</v>
      </c>
      <c r="E1265" s="27">
        <f t="shared" si="38"/>
        <v>0</v>
      </c>
      <c r="I1265" s="30"/>
      <c r="J1265" s="30"/>
      <c r="K1265" s="30"/>
      <c r="L1265" s="30"/>
      <c r="M1265" s="30"/>
      <c r="N1265" s="30"/>
      <c r="O1265" s="30"/>
      <c r="P1265" s="30"/>
      <c r="Q1265" s="31"/>
      <c r="R1265" s="31"/>
      <c r="S1265" s="31"/>
      <c r="T1265" s="32"/>
      <c r="U1265" s="32"/>
      <c r="V1265" s="32"/>
      <c r="W1265" s="32"/>
      <c r="X1265" s="32"/>
      <c r="Y1265" s="33"/>
      <c r="Z1265" s="33"/>
      <c r="AA1265" s="33"/>
    </row>
    <row r="1266" spans="1:27">
      <c r="A1266" s="29"/>
      <c r="B1266" s="19">
        <f t="shared" si="39"/>
        <v>46327</v>
      </c>
      <c r="C1266" s="27">
        <f>I1266+J1266+K1266+L1266+M1266+N1266+O1266+P1266+IF(Q1266="",0,Q1266*サマリー!$B$9)+IF(R1266="",0,IF(R1266=200,サマリー!$B$10,IF(R1266=100,サマリー!$B$11,0)))+IF(S1266="",0,S1266*サマリー!$B$12)</f>
        <v>0</v>
      </c>
      <c r="D1266" s="27">
        <f>T1266+U1266+V1266+W1266+X1266+IF(Y1266="",0,Y1266*サマリー!$B$9)+IF(Z1266="",0,IF(Z1266=200,サマリー!$B$10,IF(Z1266=100,サマリー!$B$11,0)))+IF(AA1266="",0,AA1266*サマリー!$B$12)</f>
        <v>0</v>
      </c>
      <c r="E1266" s="27">
        <f t="shared" si="38"/>
        <v>0</v>
      </c>
      <c r="I1266" s="30"/>
      <c r="J1266" s="30"/>
      <c r="K1266" s="30"/>
      <c r="L1266" s="30"/>
      <c r="M1266" s="30"/>
      <c r="N1266" s="30"/>
      <c r="O1266" s="30"/>
      <c r="P1266" s="30"/>
      <c r="Q1266" s="31"/>
      <c r="R1266" s="31"/>
      <c r="S1266" s="31"/>
      <c r="T1266" s="32"/>
      <c r="U1266" s="32"/>
      <c r="V1266" s="32"/>
      <c r="W1266" s="32"/>
      <c r="X1266" s="32"/>
      <c r="Y1266" s="33"/>
      <c r="Z1266" s="33"/>
      <c r="AA1266" s="33"/>
    </row>
    <row r="1267" spans="1:27">
      <c r="A1267" s="29"/>
      <c r="B1267" s="19">
        <f t="shared" si="39"/>
        <v>46327</v>
      </c>
      <c r="C1267" s="27">
        <f>I1267+J1267+K1267+L1267+M1267+N1267+O1267+P1267+IF(Q1267="",0,Q1267*サマリー!$B$9)+IF(R1267="",0,IF(R1267=200,サマリー!$B$10,IF(R1267=100,サマリー!$B$11,0)))+IF(S1267="",0,S1267*サマリー!$B$12)</f>
        <v>0</v>
      </c>
      <c r="D1267" s="27">
        <f>T1267+U1267+V1267+W1267+X1267+IF(Y1267="",0,Y1267*サマリー!$B$9)+IF(Z1267="",0,IF(Z1267=200,サマリー!$B$10,IF(Z1267=100,サマリー!$B$11,0)))+IF(AA1267="",0,AA1267*サマリー!$B$12)</f>
        <v>0</v>
      </c>
      <c r="E1267" s="27">
        <f t="shared" si="38"/>
        <v>0</v>
      </c>
      <c r="I1267" s="30"/>
      <c r="J1267" s="30"/>
      <c r="K1267" s="30"/>
      <c r="L1267" s="30"/>
      <c r="M1267" s="30"/>
      <c r="N1267" s="30"/>
      <c r="O1267" s="30"/>
      <c r="P1267" s="30"/>
      <c r="Q1267" s="31"/>
      <c r="R1267" s="31"/>
      <c r="S1267" s="31"/>
      <c r="T1267" s="32"/>
      <c r="U1267" s="32"/>
      <c r="V1267" s="32"/>
      <c r="W1267" s="32"/>
      <c r="X1267" s="32"/>
      <c r="Y1267" s="33"/>
      <c r="Z1267" s="33"/>
      <c r="AA1267" s="33"/>
    </row>
    <row r="1268" spans="1:27">
      <c r="A1268" s="29"/>
      <c r="B1268" s="19">
        <f t="shared" si="39"/>
        <v>46327</v>
      </c>
      <c r="C1268" s="27">
        <f>I1268+J1268+K1268+L1268+M1268+N1268+O1268+P1268+IF(Q1268="",0,Q1268*サマリー!$B$9)+IF(R1268="",0,IF(R1268=200,サマリー!$B$10,IF(R1268=100,サマリー!$B$11,0)))+IF(S1268="",0,S1268*サマリー!$B$12)</f>
        <v>0</v>
      </c>
      <c r="D1268" s="27">
        <f>T1268+U1268+V1268+W1268+X1268+IF(Y1268="",0,Y1268*サマリー!$B$9)+IF(Z1268="",0,IF(Z1268=200,サマリー!$B$10,IF(Z1268=100,サマリー!$B$11,0)))+IF(AA1268="",0,AA1268*サマリー!$B$12)</f>
        <v>0</v>
      </c>
      <c r="E1268" s="27">
        <f t="shared" si="38"/>
        <v>0</v>
      </c>
      <c r="I1268" s="30"/>
      <c r="J1268" s="30"/>
      <c r="K1268" s="30"/>
      <c r="L1268" s="30"/>
      <c r="M1268" s="30"/>
      <c r="N1268" s="30"/>
      <c r="O1268" s="30"/>
      <c r="P1268" s="30"/>
      <c r="Q1268" s="31"/>
      <c r="R1268" s="31"/>
      <c r="S1268" s="31"/>
      <c r="T1268" s="32"/>
      <c r="U1268" s="32"/>
      <c r="V1268" s="32"/>
      <c r="W1268" s="32"/>
      <c r="X1268" s="32"/>
      <c r="Y1268" s="33"/>
      <c r="Z1268" s="33"/>
      <c r="AA1268" s="33"/>
    </row>
    <row r="1269" spans="1:27">
      <c r="A1269" s="29"/>
      <c r="B1269" s="19">
        <f t="shared" si="39"/>
        <v>46327</v>
      </c>
      <c r="C1269" s="27">
        <f>I1269+J1269+K1269+L1269+M1269+N1269+O1269+P1269+IF(Q1269="",0,Q1269*サマリー!$B$9)+IF(R1269="",0,IF(R1269=200,サマリー!$B$10,IF(R1269=100,サマリー!$B$11,0)))+IF(S1269="",0,S1269*サマリー!$B$12)</f>
        <v>0</v>
      </c>
      <c r="D1269" s="27">
        <f>T1269+U1269+V1269+W1269+X1269+IF(Y1269="",0,Y1269*サマリー!$B$9)+IF(Z1269="",0,IF(Z1269=200,サマリー!$B$10,IF(Z1269=100,サマリー!$B$11,0)))+IF(AA1269="",0,AA1269*サマリー!$B$12)</f>
        <v>0</v>
      </c>
      <c r="E1269" s="27">
        <f t="shared" si="38"/>
        <v>0</v>
      </c>
      <c r="I1269" s="30"/>
      <c r="J1269" s="30"/>
      <c r="K1269" s="30"/>
      <c r="L1269" s="30"/>
      <c r="M1269" s="30"/>
      <c r="N1269" s="30"/>
      <c r="O1269" s="30"/>
      <c r="P1269" s="30"/>
      <c r="Q1269" s="31"/>
      <c r="R1269" s="31"/>
      <c r="S1269" s="31"/>
      <c r="T1269" s="32"/>
      <c r="U1269" s="32"/>
      <c r="V1269" s="32"/>
      <c r="W1269" s="32"/>
      <c r="X1269" s="32"/>
      <c r="Y1269" s="33"/>
      <c r="Z1269" s="33"/>
      <c r="AA1269" s="33"/>
    </row>
    <row r="1270" spans="1:27">
      <c r="A1270" s="29"/>
      <c r="B1270" s="19">
        <f t="shared" si="39"/>
        <v>46327</v>
      </c>
      <c r="C1270" s="27">
        <f>I1270+J1270+K1270+L1270+M1270+N1270+O1270+P1270+IF(Q1270="",0,Q1270*サマリー!$B$9)+IF(R1270="",0,IF(R1270=200,サマリー!$B$10,IF(R1270=100,サマリー!$B$11,0)))+IF(S1270="",0,S1270*サマリー!$B$12)</f>
        <v>0</v>
      </c>
      <c r="D1270" s="27">
        <f>T1270+U1270+V1270+W1270+X1270+IF(Y1270="",0,Y1270*サマリー!$B$9)+IF(Z1270="",0,IF(Z1270=200,サマリー!$B$10,IF(Z1270=100,サマリー!$B$11,0)))+IF(AA1270="",0,AA1270*サマリー!$B$12)</f>
        <v>0</v>
      </c>
      <c r="E1270" s="27">
        <f t="shared" si="38"/>
        <v>0</v>
      </c>
      <c r="I1270" s="30"/>
      <c r="J1270" s="30"/>
      <c r="K1270" s="30"/>
      <c r="L1270" s="30"/>
      <c r="M1270" s="30"/>
      <c r="N1270" s="30"/>
      <c r="O1270" s="30"/>
      <c r="P1270" s="30"/>
      <c r="Q1270" s="31"/>
      <c r="R1270" s="31"/>
      <c r="S1270" s="31"/>
      <c r="T1270" s="32"/>
      <c r="U1270" s="32"/>
      <c r="V1270" s="32"/>
      <c r="W1270" s="32"/>
      <c r="X1270" s="32"/>
      <c r="Y1270" s="33"/>
      <c r="Z1270" s="33"/>
      <c r="AA1270" s="33"/>
    </row>
    <row r="1271" spans="1:27">
      <c r="A1271" s="29"/>
      <c r="B1271" s="19">
        <f t="shared" si="39"/>
        <v>46327</v>
      </c>
      <c r="C1271" s="27">
        <f>I1271+J1271+K1271+L1271+M1271+N1271+O1271+P1271+IF(Q1271="",0,Q1271*サマリー!$B$9)+IF(R1271="",0,IF(R1271=200,サマリー!$B$10,IF(R1271=100,サマリー!$B$11,0)))+IF(S1271="",0,S1271*サマリー!$B$12)</f>
        <v>0</v>
      </c>
      <c r="D1271" s="27">
        <f>T1271+U1271+V1271+W1271+X1271+IF(Y1271="",0,Y1271*サマリー!$B$9)+IF(Z1271="",0,IF(Z1271=200,サマリー!$B$10,IF(Z1271=100,サマリー!$B$11,0)))+IF(AA1271="",0,AA1271*サマリー!$B$12)</f>
        <v>0</v>
      </c>
      <c r="E1271" s="27">
        <f t="shared" si="38"/>
        <v>0</v>
      </c>
      <c r="I1271" s="30"/>
      <c r="J1271" s="30"/>
      <c r="K1271" s="30"/>
      <c r="L1271" s="30"/>
      <c r="M1271" s="30"/>
      <c r="N1271" s="30"/>
      <c r="O1271" s="30"/>
      <c r="P1271" s="30"/>
      <c r="Q1271" s="31"/>
      <c r="R1271" s="31"/>
      <c r="S1271" s="31"/>
      <c r="T1271" s="32"/>
      <c r="U1271" s="32"/>
      <c r="V1271" s="32"/>
      <c r="W1271" s="32"/>
      <c r="X1271" s="32"/>
      <c r="Y1271" s="33"/>
      <c r="Z1271" s="33"/>
      <c r="AA1271" s="33"/>
    </row>
    <row r="1272" spans="1:27">
      <c r="A1272" s="29"/>
      <c r="B1272" s="19">
        <f t="shared" si="39"/>
        <v>46327</v>
      </c>
      <c r="C1272" s="27">
        <f>I1272+J1272+K1272+L1272+M1272+N1272+O1272+P1272+IF(Q1272="",0,Q1272*サマリー!$B$9)+IF(R1272="",0,IF(R1272=200,サマリー!$B$10,IF(R1272=100,サマリー!$B$11,0)))+IF(S1272="",0,S1272*サマリー!$B$12)</f>
        <v>0</v>
      </c>
      <c r="D1272" s="27">
        <f>T1272+U1272+V1272+W1272+X1272+IF(Y1272="",0,Y1272*サマリー!$B$9)+IF(Z1272="",0,IF(Z1272=200,サマリー!$B$10,IF(Z1272=100,サマリー!$B$11,0)))+IF(AA1272="",0,AA1272*サマリー!$B$12)</f>
        <v>0</v>
      </c>
      <c r="E1272" s="27">
        <f t="shared" si="38"/>
        <v>0</v>
      </c>
      <c r="I1272" s="30"/>
      <c r="J1272" s="30"/>
      <c r="K1272" s="30"/>
      <c r="L1272" s="30"/>
      <c r="M1272" s="30"/>
      <c r="N1272" s="30"/>
      <c r="O1272" s="30"/>
      <c r="P1272" s="30"/>
      <c r="Q1272" s="31"/>
      <c r="R1272" s="31"/>
      <c r="S1272" s="31"/>
      <c r="T1272" s="32"/>
      <c r="U1272" s="32"/>
      <c r="V1272" s="32"/>
      <c r="W1272" s="32"/>
      <c r="X1272" s="32"/>
      <c r="Y1272" s="33"/>
      <c r="Z1272" s="33"/>
      <c r="AA1272" s="33"/>
    </row>
    <row r="1273" spans="1:27">
      <c r="A1273" s="29"/>
      <c r="B1273" s="19">
        <f t="shared" si="39"/>
        <v>46327</v>
      </c>
      <c r="C1273" s="27">
        <f>I1273+J1273+K1273+L1273+M1273+N1273+O1273+P1273+IF(Q1273="",0,Q1273*サマリー!$B$9)+IF(R1273="",0,IF(R1273=200,サマリー!$B$10,IF(R1273=100,サマリー!$B$11,0)))+IF(S1273="",0,S1273*サマリー!$B$12)</f>
        <v>0</v>
      </c>
      <c r="D1273" s="27">
        <f>T1273+U1273+V1273+W1273+X1273+IF(Y1273="",0,Y1273*サマリー!$B$9)+IF(Z1273="",0,IF(Z1273=200,サマリー!$B$10,IF(Z1273=100,サマリー!$B$11,0)))+IF(AA1273="",0,AA1273*サマリー!$B$12)</f>
        <v>0</v>
      </c>
      <c r="E1273" s="27">
        <f t="shared" si="38"/>
        <v>0</v>
      </c>
      <c r="I1273" s="30"/>
      <c r="J1273" s="30"/>
      <c r="K1273" s="30"/>
      <c r="L1273" s="30"/>
      <c r="M1273" s="30"/>
      <c r="N1273" s="30"/>
      <c r="O1273" s="30"/>
      <c r="P1273" s="30"/>
      <c r="Q1273" s="31"/>
      <c r="R1273" s="31"/>
      <c r="S1273" s="31"/>
      <c r="T1273" s="32"/>
      <c r="U1273" s="32"/>
      <c r="V1273" s="32"/>
      <c r="W1273" s="32"/>
      <c r="X1273" s="32"/>
      <c r="Y1273" s="33"/>
      <c r="Z1273" s="33"/>
      <c r="AA1273" s="33"/>
    </row>
    <row r="1274" spans="1:27">
      <c r="A1274" s="29"/>
      <c r="B1274" s="19">
        <f t="shared" si="39"/>
        <v>46327</v>
      </c>
      <c r="C1274" s="27">
        <f>I1274+J1274+K1274+L1274+M1274+N1274+O1274+P1274+IF(Q1274="",0,Q1274*サマリー!$B$9)+IF(R1274="",0,IF(R1274=200,サマリー!$B$10,IF(R1274=100,サマリー!$B$11,0)))+IF(S1274="",0,S1274*サマリー!$B$12)</f>
        <v>0</v>
      </c>
      <c r="D1274" s="27">
        <f>T1274+U1274+V1274+W1274+X1274+IF(Y1274="",0,Y1274*サマリー!$B$9)+IF(Z1274="",0,IF(Z1274=200,サマリー!$B$10,IF(Z1274=100,サマリー!$B$11,0)))+IF(AA1274="",0,AA1274*サマリー!$B$12)</f>
        <v>0</v>
      </c>
      <c r="E1274" s="27">
        <f t="shared" si="38"/>
        <v>0</v>
      </c>
      <c r="I1274" s="30"/>
      <c r="J1274" s="30"/>
      <c r="K1274" s="30"/>
      <c r="L1274" s="30"/>
      <c r="M1274" s="30"/>
      <c r="N1274" s="30"/>
      <c r="O1274" s="30"/>
      <c r="P1274" s="30"/>
      <c r="Q1274" s="31"/>
      <c r="R1274" s="31"/>
      <c r="S1274" s="31"/>
      <c r="T1274" s="32"/>
      <c r="U1274" s="32"/>
      <c r="V1274" s="32"/>
      <c r="W1274" s="32"/>
      <c r="X1274" s="32"/>
      <c r="Y1274" s="33"/>
      <c r="Z1274" s="33"/>
      <c r="AA1274" s="33"/>
    </row>
    <row r="1275" spans="1:27">
      <c r="A1275" s="29"/>
      <c r="B1275" s="19">
        <f t="shared" si="39"/>
        <v>46327</v>
      </c>
      <c r="C1275" s="27">
        <f>I1275+J1275+K1275+L1275+M1275+N1275+O1275+P1275+IF(Q1275="",0,Q1275*サマリー!$B$9)+IF(R1275="",0,IF(R1275=200,サマリー!$B$10,IF(R1275=100,サマリー!$B$11,0)))+IF(S1275="",0,S1275*サマリー!$B$12)</f>
        <v>0</v>
      </c>
      <c r="D1275" s="27">
        <f>T1275+U1275+V1275+W1275+X1275+IF(Y1275="",0,Y1275*サマリー!$B$9)+IF(Z1275="",0,IF(Z1275=200,サマリー!$B$10,IF(Z1275=100,サマリー!$B$11,0)))+IF(AA1275="",0,AA1275*サマリー!$B$12)</f>
        <v>0</v>
      </c>
      <c r="E1275" s="27">
        <f t="shared" si="38"/>
        <v>0</v>
      </c>
      <c r="I1275" s="30"/>
      <c r="J1275" s="30"/>
      <c r="K1275" s="30"/>
      <c r="L1275" s="30"/>
      <c r="M1275" s="30"/>
      <c r="N1275" s="30"/>
      <c r="O1275" s="30"/>
      <c r="P1275" s="30"/>
      <c r="Q1275" s="31"/>
      <c r="R1275" s="31"/>
      <c r="S1275" s="31"/>
      <c r="T1275" s="32"/>
      <c r="U1275" s="32"/>
      <c r="V1275" s="32"/>
      <c r="W1275" s="32"/>
      <c r="X1275" s="32"/>
      <c r="Y1275" s="33"/>
      <c r="Z1275" s="33"/>
      <c r="AA1275" s="33"/>
    </row>
    <row r="1276" spans="1:27">
      <c r="A1276" s="29"/>
      <c r="B1276" s="19">
        <f t="shared" si="39"/>
        <v>46327</v>
      </c>
      <c r="C1276" s="27">
        <f>I1276+J1276+K1276+L1276+M1276+N1276+O1276+P1276+IF(Q1276="",0,Q1276*サマリー!$B$9)+IF(R1276="",0,IF(R1276=200,サマリー!$B$10,IF(R1276=100,サマリー!$B$11,0)))+IF(S1276="",0,S1276*サマリー!$B$12)</f>
        <v>0</v>
      </c>
      <c r="D1276" s="27">
        <f>T1276+U1276+V1276+W1276+X1276+IF(Y1276="",0,Y1276*サマリー!$B$9)+IF(Z1276="",0,IF(Z1276=200,サマリー!$B$10,IF(Z1276=100,サマリー!$B$11,0)))+IF(AA1276="",0,AA1276*サマリー!$B$12)</f>
        <v>0</v>
      </c>
      <c r="E1276" s="27">
        <f t="shared" si="38"/>
        <v>0</v>
      </c>
      <c r="I1276" s="30"/>
      <c r="J1276" s="30"/>
      <c r="K1276" s="30"/>
      <c r="L1276" s="30"/>
      <c r="M1276" s="30"/>
      <c r="N1276" s="30"/>
      <c r="O1276" s="30"/>
      <c r="P1276" s="30"/>
      <c r="Q1276" s="31"/>
      <c r="R1276" s="31"/>
      <c r="S1276" s="31"/>
      <c r="T1276" s="32"/>
      <c r="U1276" s="32"/>
      <c r="V1276" s="32"/>
      <c r="W1276" s="32"/>
      <c r="X1276" s="32"/>
      <c r="Y1276" s="33"/>
      <c r="Z1276" s="33"/>
      <c r="AA1276" s="33"/>
    </row>
    <row r="1277" spans="1:27">
      <c r="A1277" s="29"/>
      <c r="B1277" s="19">
        <f t="shared" si="39"/>
        <v>46327</v>
      </c>
      <c r="C1277" s="27">
        <f>I1277+J1277+K1277+L1277+M1277+N1277+O1277+P1277+IF(Q1277="",0,Q1277*サマリー!$B$9)+IF(R1277="",0,IF(R1277=200,サマリー!$B$10,IF(R1277=100,サマリー!$B$11,0)))+IF(S1277="",0,S1277*サマリー!$B$12)</f>
        <v>0</v>
      </c>
      <c r="D1277" s="27">
        <f>T1277+U1277+V1277+W1277+X1277+IF(Y1277="",0,Y1277*サマリー!$B$9)+IF(Z1277="",0,IF(Z1277=200,サマリー!$B$10,IF(Z1277=100,サマリー!$B$11,0)))+IF(AA1277="",0,AA1277*サマリー!$B$12)</f>
        <v>0</v>
      </c>
      <c r="E1277" s="27">
        <f t="shared" si="38"/>
        <v>0</v>
      </c>
      <c r="I1277" s="30"/>
      <c r="J1277" s="30"/>
      <c r="K1277" s="30"/>
      <c r="L1277" s="30"/>
      <c r="M1277" s="30"/>
      <c r="N1277" s="30"/>
      <c r="O1277" s="30"/>
      <c r="P1277" s="30"/>
      <c r="Q1277" s="31"/>
      <c r="R1277" s="31"/>
      <c r="S1277" s="31"/>
      <c r="T1277" s="32"/>
      <c r="U1277" s="32"/>
      <c r="V1277" s="32"/>
      <c r="W1277" s="32"/>
      <c r="X1277" s="32"/>
      <c r="Y1277" s="33"/>
      <c r="Z1277" s="33"/>
      <c r="AA1277" s="33"/>
    </row>
    <row r="1278" spans="1:27">
      <c r="A1278" s="29"/>
      <c r="B1278" s="19">
        <f t="shared" si="39"/>
        <v>46327</v>
      </c>
      <c r="C1278" s="27">
        <f>I1278+J1278+K1278+L1278+M1278+N1278+O1278+P1278+IF(Q1278="",0,Q1278*サマリー!$B$9)+IF(R1278="",0,IF(R1278=200,サマリー!$B$10,IF(R1278=100,サマリー!$B$11,0)))+IF(S1278="",0,S1278*サマリー!$B$12)</f>
        <v>0</v>
      </c>
      <c r="D1278" s="27">
        <f>T1278+U1278+V1278+W1278+X1278+IF(Y1278="",0,Y1278*サマリー!$B$9)+IF(Z1278="",0,IF(Z1278=200,サマリー!$B$10,IF(Z1278=100,サマリー!$B$11,0)))+IF(AA1278="",0,AA1278*サマリー!$B$12)</f>
        <v>0</v>
      </c>
      <c r="E1278" s="27">
        <f t="shared" si="38"/>
        <v>0</v>
      </c>
      <c r="I1278" s="30"/>
      <c r="J1278" s="30"/>
      <c r="K1278" s="30"/>
      <c r="L1278" s="30"/>
      <c r="M1278" s="30"/>
      <c r="N1278" s="30"/>
      <c r="O1278" s="30"/>
      <c r="P1278" s="30"/>
      <c r="Q1278" s="31"/>
      <c r="R1278" s="31"/>
      <c r="S1278" s="31"/>
      <c r="T1278" s="32"/>
      <c r="U1278" s="32"/>
      <c r="V1278" s="32"/>
      <c r="W1278" s="32"/>
      <c r="X1278" s="32"/>
      <c r="Y1278" s="33"/>
      <c r="Z1278" s="33"/>
      <c r="AA1278" s="33"/>
    </row>
    <row r="1279" spans="1:27">
      <c r="A1279" s="29"/>
      <c r="B1279" s="19">
        <f t="shared" si="39"/>
        <v>46327</v>
      </c>
      <c r="C1279" s="27">
        <f>I1279+J1279+K1279+L1279+M1279+N1279+O1279+P1279+IF(Q1279="",0,Q1279*サマリー!$B$9)+IF(R1279="",0,IF(R1279=200,サマリー!$B$10,IF(R1279=100,サマリー!$B$11,0)))+IF(S1279="",0,S1279*サマリー!$B$12)</f>
        <v>0</v>
      </c>
      <c r="D1279" s="27">
        <f>T1279+U1279+V1279+W1279+X1279+IF(Y1279="",0,Y1279*サマリー!$B$9)+IF(Z1279="",0,IF(Z1279=200,サマリー!$B$10,IF(Z1279=100,サマリー!$B$11,0)))+IF(AA1279="",0,AA1279*サマリー!$B$12)</f>
        <v>0</v>
      </c>
      <c r="E1279" s="27">
        <f t="shared" si="38"/>
        <v>0</v>
      </c>
      <c r="I1279" s="30"/>
      <c r="J1279" s="30"/>
      <c r="K1279" s="30"/>
      <c r="L1279" s="30"/>
      <c r="M1279" s="30"/>
      <c r="N1279" s="30"/>
      <c r="O1279" s="30"/>
      <c r="P1279" s="30"/>
      <c r="Q1279" s="31"/>
      <c r="R1279" s="31"/>
      <c r="S1279" s="31"/>
      <c r="T1279" s="32"/>
      <c r="U1279" s="32"/>
      <c r="V1279" s="32"/>
      <c r="W1279" s="32"/>
      <c r="X1279" s="32"/>
      <c r="Y1279" s="33"/>
      <c r="Z1279" s="33"/>
      <c r="AA1279" s="33"/>
    </row>
    <row r="1280" spans="1:27">
      <c r="A1280" s="29"/>
      <c r="B1280" s="19">
        <f t="shared" si="39"/>
        <v>46327</v>
      </c>
      <c r="C1280" s="27">
        <f>I1280+J1280+K1280+L1280+M1280+N1280+O1280+P1280+IF(Q1280="",0,Q1280*サマリー!$B$9)+IF(R1280="",0,IF(R1280=200,サマリー!$B$10,IF(R1280=100,サマリー!$B$11,0)))+IF(S1280="",0,S1280*サマリー!$B$12)</f>
        <v>0</v>
      </c>
      <c r="D1280" s="27">
        <f>T1280+U1280+V1280+W1280+X1280+IF(Y1280="",0,Y1280*サマリー!$B$9)+IF(Z1280="",0,IF(Z1280=200,サマリー!$B$10,IF(Z1280=100,サマリー!$B$11,0)))+IF(AA1280="",0,AA1280*サマリー!$B$12)</f>
        <v>0</v>
      </c>
      <c r="E1280" s="27">
        <f t="shared" si="38"/>
        <v>0</v>
      </c>
      <c r="I1280" s="30"/>
      <c r="J1280" s="30"/>
      <c r="K1280" s="30"/>
      <c r="L1280" s="30"/>
      <c r="M1280" s="30"/>
      <c r="N1280" s="30"/>
      <c r="O1280" s="30"/>
      <c r="P1280" s="30"/>
      <c r="Q1280" s="31"/>
      <c r="R1280" s="31"/>
      <c r="S1280" s="31"/>
      <c r="T1280" s="32"/>
      <c r="U1280" s="32"/>
      <c r="V1280" s="32"/>
      <c r="W1280" s="32"/>
      <c r="X1280" s="32"/>
      <c r="Y1280" s="33"/>
      <c r="Z1280" s="33"/>
      <c r="AA1280" s="33"/>
    </row>
    <row r="1281" spans="1:27">
      <c r="A1281" s="29"/>
      <c r="B1281" s="19">
        <f t="shared" si="39"/>
        <v>46327</v>
      </c>
      <c r="C1281" s="27">
        <f>I1281+J1281+K1281+L1281+M1281+N1281+O1281+P1281+IF(Q1281="",0,Q1281*サマリー!$B$9)+IF(R1281="",0,IF(R1281=200,サマリー!$B$10,IF(R1281=100,サマリー!$B$11,0)))+IF(S1281="",0,S1281*サマリー!$B$12)</f>
        <v>0</v>
      </c>
      <c r="D1281" s="27">
        <f>T1281+U1281+V1281+W1281+X1281+IF(Y1281="",0,Y1281*サマリー!$B$9)+IF(Z1281="",0,IF(Z1281=200,サマリー!$B$10,IF(Z1281=100,サマリー!$B$11,0)))+IF(AA1281="",0,AA1281*サマリー!$B$12)</f>
        <v>0</v>
      </c>
      <c r="E1281" s="27">
        <f t="shared" si="38"/>
        <v>0</v>
      </c>
      <c r="I1281" s="30"/>
      <c r="J1281" s="30"/>
      <c r="K1281" s="30"/>
      <c r="L1281" s="30"/>
      <c r="M1281" s="30"/>
      <c r="N1281" s="30"/>
      <c r="O1281" s="30"/>
      <c r="P1281" s="30"/>
      <c r="Q1281" s="31"/>
      <c r="R1281" s="31"/>
      <c r="S1281" s="31"/>
      <c r="T1281" s="32"/>
      <c r="U1281" s="32"/>
      <c r="V1281" s="32"/>
      <c r="W1281" s="32"/>
      <c r="X1281" s="32"/>
      <c r="Y1281" s="33"/>
      <c r="Z1281" s="33"/>
      <c r="AA1281" s="33"/>
    </row>
    <row r="1282" spans="1:27">
      <c r="A1282" s="29"/>
      <c r="B1282" s="19">
        <f t="shared" si="39"/>
        <v>46327</v>
      </c>
      <c r="C1282" s="27">
        <f>I1282+J1282+K1282+L1282+M1282+N1282+O1282+P1282+IF(Q1282="",0,Q1282*サマリー!$B$9)+IF(R1282="",0,IF(R1282=200,サマリー!$B$10,IF(R1282=100,サマリー!$B$11,0)))+IF(S1282="",0,S1282*サマリー!$B$12)</f>
        <v>0</v>
      </c>
      <c r="D1282" s="27">
        <f>T1282+U1282+V1282+W1282+X1282+IF(Y1282="",0,Y1282*サマリー!$B$9)+IF(Z1282="",0,IF(Z1282=200,サマリー!$B$10,IF(Z1282=100,サマリー!$B$11,0)))+IF(AA1282="",0,AA1282*サマリー!$B$12)</f>
        <v>0</v>
      </c>
      <c r="E1282" s="27">
        <f t="shared" si="38"/>
        <v>0</v>
      </c>
      <c r="I1282" s="30"/>
      <c r="J1282" s="30"/>
      <c r="K1282" s="30"/>
      <c r="L1282" s="30"/>
      <c r="M1282" s="30"/>
      <c r="N1282" s="30"/>
      <c r="O1282" s="30"/>
      <c r="P1282" s="30"/>
      <c r="Q1282" s="31"/>
      <c r="R1282" s="31"/>
      <c r="S1282" s="31"/>
      <c r="T1282" s="32"/>
      <c r="U1282" s="32"/>
      <c r="V1282" s="32"/>
      <c r="W1282" s="32"/>
      <c r="X1282" s="32"/>
      <c r="Y1282" s="33"/>
      <c r="Z1282" s="33"/>
      <c r="AA1282" s="33"/>
    </row>
    <row r="1283" spans="1:27">
      <c r="A1283" s="29"/>
      <c r="B1283" s="19">
        <f t="shared" si="39"/>
        <v>46327</v>
      </c>
      <c r="C1283" s="27">
        <f>I1283+J1283+K1283+L1283+M1283+N1283+O1283+P1283+IF(Q1283="",0,Q1283*サマリー!$B$9)+IF(R1283="",0,IF(R1283=200,サマリー!$B$10,IF(R1283=100,サマリー!$B$11,0)))+IF(S1283="",0,S1283*サマリー!$B$12)</f>
        <v>0</v>
      </c>
      <c r="D1283" s="27">
        <f>T1283+U1283+V1283+W1283+X1283+IF(Y1283="",0,Y1283*サマリー!$B$9)+IF(Z1283="",0,IF(Z1283=200,サマリー!$B$10,IF(Z1283=100,サマリー!$B$11,0)))+IF(AA1283="",0,AA1283*サマリー!$B$12)</f>
        <v>0</v>
      </c>
      <c r="E1283" s="27">
        <f t="shared" si="38"/>
        <v>0</v>
      </c>
      <c r="I1283" s="30"/>
      <c r="J1283" s="30"/>
      <c r="K1283" s="30"/>
      <c r="L1283" s="30"/>
      <c r="M1283" s="30"/>
      <c r="N1283" s="30"/>
      <c r="O1283" s="30"/>
      <c r="P1283" s="30"/>
      <c r="Q1283" s="31"/>
      <c r="R1283" s="31"/>
      <c r="S1283" s="31"/>
      <c r="T1283" s="32"/>
      <c r="U1283" s="32"/>
      <c r="V1283" s="32"/>
      <c r="W1283" s="32"/>
      <c r="X1283" s="32"/>
      <c r="Y1283" s="33"/>
      <c r="Z1283" s="33"/>
      <c r="AA1283" s="33"/>
    </row>
    <row r="1284" spans="1:27">
      <c r="A1284" s="29"/>
      <c r="B1284" s="19">
        <f t="shared" si="39"/>
        <v>46327</v>
      </c>
      <c r="C1284" s="27">
        <f>I1284+J1284+K1284+L1284+M1284+N1284+O1284+P1284+IF(Q1284="",0,Q1284*サマリー!$B$9)+IF(R1284="",0,IF(R1284=200,サマリー!$B$10,IF(R1284=100,サマリー!$B$11,0)))+IF(S1284="",0,S1284*サマリー!$B$12)</f>
        <v>0</v>
      </c>
      <c r="D1284" s="27">
        <f>T1284+U1284+V1284+W1284+X1284+IF(Y1284="",0,Y1284*サマリー!$B$9)+IF(Z1284="",0,IF(Z1284=200,サマリー!$B$10,IF(Z1284=100,サマリー!$B$11,0)))+IF(AA1284="",0,AA1284*サマリー!$B$12)</f>
        <v>0</v>
      </c>
      <c r="E1284" s="27">
        <f t="shared" si="38"/>
        <v>0</v>
      </c>
      <c r="I1284" s="30"/>
      <c r="J1284" s="30"/>
      <c r="K1284" s="30"/>
      <c r="L1284" s="30"/>
      <c r="M1284" s="30"/>
      <c r="N1284" s="30"/>
      <c r="O1284" s="30"/>
      <c r="P1284" s="30"/>
      <c r="Q1284" s="31"/>
      <c r="R1284" s="31"/>
      <c r="S1284" s="31"/>
      <c r="T1284" s="32"/>
      <c r="U1284" s="32"/>
      <c r="V1284" s="32"/>
      <c r="W1284" s="32"/>
      <c r="X1284" s="32"/>
      <c r="Y1284" s="33"/>
      <c r="Z1284" s="33"/>
      <c r="AA1284" s="33"/>
    </row>
    <row r="1285" spans="1:27">
      <c r="A1285" s="29"/>
      <c r="B1285" s="19">
        <f t="shared" si="39"/>
        <v>46327</v>
      </c>
      <c r="C1285" s="27">
        <f>I1285+J1285+K1285+L1285+M1285+N1285+O1285+P1285+IF(Q1285="",0,Q1285*サマリー!$B$9)+IF(R1285="",0,IF(R1285=200,サマリー!$B$10,IF(R1285=100,サマリー!$B$11,0)))+IF(S1285="",0,S1285*サマリー!$B$12)</f>
        <v>0</v>
      </c>
      <c r="D1285" s="27">
        <f>T1285+U1285+V1285+W1285+X1285+IF(Y1285="",0,Y1285*サマリー!$B$9)+IF(Z1285="",0,IF(Z1285=200,サマリー!$B$10,IF(Z1285=100,サマリー!$B$11,0)))+IF(AA1285="",0,AA1285*サマリー!$B$12)</f>
        <v>0</v>
      </c>
      <c r="E1285" s="27">
        <f t="shared" si="38"/>
        <v>0</v>
      </c>
      <c r="I1285" s="30"/>
      <c r="J1285" s="30"/>
      <c r="K1285" s="30"/>
      <c r="L1285" s="30"/>
      <c r="M1285" s="30"/>
      <c r="N1285" s="30"/>
      <c r="O1285" s="30"/>
      <c r="P1285" s="30"/>
      <c r="Q1285" s="31"/>
      <c r="R1285" s="31"/>
      <c r="S1285" s="31"/>
      <c r="T1285" s="32"/>
      <c r="U1285" s="32"/>
      <c r="V1285" s="32"/>
      <c r="W1285" s="32"/>
      <c r="X1285" s="32"/>
      <c r="Y1285" s="33"/>
      <c r="Z1285" s="33"/>
      <c r="AA1285" s="33"/>
    </row>
    <row r="1286" spans="1:27">
      <c r="A1286" s="29"/>
      <c r="B1286" s="19">
        <f t="shared" si="39"/>
        <v>46327</v>
      </c>
      <c r="C1286" s="27">
        <f>I1286+J1286+K1286+L1286+M1286+N1286+O1286+P1286+IF(Q1286="",0,Q1286*サマリー!$B$9)+IF(R1286="",0,IF(R1286=200,サマリー!$B$10,IF(R1286=100,サマリー!$B$11,0)))+IF(S1286="",0,S1286*サマリー!$B$12)</f>
        <v>0</v>
      </c>
      <c r="D1286" s="27">
        <f>T1286+U1286+V1286+W1286+X1286+IF(Y1286="",0,Y1286*サマリー!$B$9)+IF(Z1286="",0,IF(Z1286=200,サマリー!$B$10,IF(Z1286=100,サマリー!$B$11,0)))+IF(AA1286="",0,AA1286*サマリー!$B$12)</f>
        <v>0</v>
      </c>
      <c r="E1286" s="27">
        <f t="shared" ref="E1286:E1349" si="40">C1286+D1286</f>
        <v>0</v>
      </c>
      <c r="I1286" s="30"/>
      <c r="J1286" s="30"/>
      <c r="K1286" s="30"/>
      <c r="L1286" s="30"/>
      <c r="M1286" s="30"/>
      <c r="N1286" s="30"/>
      <c r="O1286" s="30"/>
      <c r="P1286" s="30"/>
      <c r="Q1286" s="31"/>
      <c r="R1286" s="31"/>
      <c r="S1286" s="31"/>
      <c r="T1286" s="32"/>
      <c r="U1286" s="32"/>
      <c r="V1286" s="32"/>
      <c r="W1286" s="32"/>
      <c r="X1286" s="32"/>
      <c r="Y1286" s="33"/>
      <c r="Z1286" s="33"/>
      <c r="AA1286" s="33"/>
    </row>
    <row r="1287" spans="1:27">
      <c r="A1287" s="29"/>
      <c r="B1287" s="19">
        <f t="shared" ref="B1287:B1350" si="41">IF(A1287="",B1286,IF(A1287&lt;DAY(B1286),DATE(YEAR(B1286),MONTH(B1286)+1,A1287),DATE(YEAR(B1286),MONTH(B1286),A1287)))</f>
        <v>46327</v>
      </c>
      <c r="C1287" s="27">
        <f>I1287+J1287+K1287+L1287+M1287+N1287+O1287+P1287+IF(Q1287="",0,Q1287*サマリー!$B$9)+IF(R1287="",0,IF(R1287=200,サマリー!$B$10,IF(R1287=100,サマリー!$B$11,0)))+IF(S1287="",0,S1287*サマリー!$B$12)</f>
        <v>0</v>
      </c>
      <c r="D1287" s="27">
        <f>T1287+U1287+V1287+W1287+X1287+IF(Y1287="",0,Y1287*サマリー!$B$9)+IF(Z1287="",0,IF(Z1287=200,サマリー!$B$10,IF(Z1287=100,サマリー!$B$11,0)))+IF(AA1287="",0,AA1287*サマリー!$B$12)</f>
        <v>0</v>
      </c>
      <c r="E1287" s="27">
        <f t="shared" si="40"/>
        <v>0</v>
      </c>
      <c r="I1287" s="30"/>
      <c r="J1287" s="30"/>
      <c r="K1287" s="30"/>
      <c r="L1287" s="30"/>
      <c r="M1287" s="30"/>
      <c r="N1287" s="30"/>
      <c r="O1287" s="30"/>
      <c r="P1287" s="30"/>
      <c r="Q1287" s="31"/>
      <c r="R1287" s="31"/>
      <c r="S1287" s="31"/>
      <c r="T1287" s="32"/>
      <c r="U1287" s="32"/>
      <c r="V1287" s="32"/>
      <c r="W1287" s="32"/>
      <c r="X1287" s="32"/>
      <c r="Y1287" s="33"/>
      <c r="Z1287" s="33"/>
      <c r="AA1287" s="33"/>
    </row>
    <row r="1288" spans="1:27">
      <c r="A1288" s="29"/>
      <c r="B1288" s="19">
        <f t="shared" si="41"/>
        <v>46327</v>
      </c>
      <c r="C1288" s="27">
        <f>I1288+J1288+K1288+L1288+M1288+N1288+O1288+P1288+IF(Q1288="",0,Q1288*サマリー!$B$9)+IF(R1288="",0,IF(R1288=200,サマリー!$B$10,IF(R1288=100,サマリー!$B$11,0)))+IF(S1288="",0,S1288*サマリー!$B$12)</f>
        <v>0</v>
      </c>
      <c r="D1288" s="27">
        <f>T1288+U1288+V1288+W1288+X1288+IF(Y1288="",0,Y1288*サマリー!$B$9)+IF(Z1288="",0,IF(Z1288=200,サマリー!$B$10,IF(Z1288=100,サマリー!$B$11,0)))+IF(AA1288="",0,AA1288*サマリー!$B$12)</f>
        <v>0</v>
      </c>
      <c r="E1288" s="27">
        <f t="shared" si="40"/>
        <v>0</v>
      </c>
      <c r="I1288" s="30"/>
      <c r="J1288" s="30"/>
      <c r="K1288" s="30"/>
      <c r="L1288" s="30"/>
      <c r="M1288" s="30"/>
      <c r="N1288" s="30"/>
      <c r="O1288" s="30"/>
      <c r="P1288" s="30"/>
      <c r="Q1288" s="31"/>
      <c r="R1288" s="31"/>
      <c r="S1288" s="31"/>
      <c r="T1288" s="32"/>
      <c r="U1288" s="32"/>
      <c r="V1288" s="32"/>
      <c r="W1288" s="32"/>
      <c r="X1288" s="32"/>
      <c r="Y1288" s="33"/>
      <c r="Z1288" s="33"/>
      <c r="AA1288" s="33"/>
    </row>
    <row r="1289" spans="1:27">
      <c r="A1289" s="29"/>
      <c r="B1289" s="19">
        <f t="shared" si="41"/>
        <v>46327</v>
      </c>
      <c r="C1289" s="27">
        <f>I1289+J1289+K1289+L1289+M1289+N1289+O1289+P1289+IF(Q1289="",0,Q1289*サマリー!$B$9)+IF(R1289="",0,IF(R1289=200,サマリー!$B$10,IF(R1289=100,サマリー!$B$11,0)))+IF(S1289="",0,S1289*サマリー!$B$12)</f>
        <v>0</v>
      </c>
      <c r="D1289" s="27">
        <f>T1289+U1289+V1289+W1289+X1289+IF(Y1289="",0,Y1289*サマリー!$B$9)+IF(Z1289="",0,IF(Z1289=200,サマリー!$B$10,IF(Z1289=100,サマリー!$B$11,0)))+IF(AA1289="",0,AA1289*サマリー!$B$12)</f>
        <v>0</v>
      </c>
      <c r="E1289" s="27">
        <f t="shared" si="40"/>
        <v>0</v>
      </c>
      <c r="I1289" s="30"/>
      <c r="J1289" s="30"/>
      <c r="K1289" s="30"/>
      <c r="L1289" s="30"/>
      <c r="M1289" s="30"/>
      <c r="N1289" s="30"/>
      <c r="O1289" s="30"/>
      <c r="P1289" s="30"/>
      <c r="Q1289" s="31"/>
      <c r="R1289" s="31"/>
      <c r="S1289" s="31"/>
      <c r="T1289" s="32"/>
      <c r="U1289" s="32"/>
      <c r="V1289" s="32"/>
      <c r="W1289" s="32"/>
      <c r="X1289" s="32"/>
      <c r="Y1289" s="33"/>
      <c r="Z1289" s="33"/>
      <c r="AA1289" s="33"/>
    </row>
    <row r="1290" spans="1:27">
      <c r="A1290" s="29"/>
      <c r="B1290" s="19">
        <f t="shared" si="41"/>
        <v>46327</v>
      </c>
      <c r="C1290" s="27">
        <f>I1290+J1290+K1290+L1290+M1290+N1290+O1290+P1290+IF(Q1290="",0,Q1290*サマリー!$B$9)+IF(R1290="",0,IF(R1290=200,サマリー!$B$10,IF(R1290=100,サマリー!$B$11,0)))+IF(S1290="",0,S1290*サマリー!$B$12)</f>
        <v>0</v>
      </c>
      <c r="D1290" s="27">
        <f>T1290+U1290+V1290+W1290+X1290+IF(Y1290="",0,Y1290*サマリー!$B$9)+IF(Z1290="",0,IF(Z1290=200,サマリー!$B$10,IF(Z1290=100,サマリー!$B$11,0)))+IF(AA1290="",0,AA1290*サマリー!$B$12)</f>
        <v>0</v>
      </c>
      <c r="E1290" s="27">
        <f t="shared" si="40"/>
        <v>0</v>
      </c>
      <c r="I1290" s="30"/>
      <c r="J1290" s="30"/>
      <c r="K1290" s="30"/>
      <c r="L1290" s="30"/>
      <c r="M1290" s="30"/>
      <c r="N1290" s="30"/>
      <c r="O1290" s="30"/>
      <c r="P1290" s="30"/>
      <c r="Q1290" s="31"/>
      <c r="R1290" s="31"/>
      <c r="S1290" s="31"/>
      <c r="T1290" s="32"/>
      <c r="U1290" s="32"/>
      <c r="V1290" s="32"/>
      <c r="W1290" s="32"/>
      <c r="X1290" s="32"/>
      <c r="Y1290" s="33"/>
      <c r="Z1290" s="33"/>
      <c r="AA1290" s="33"/>
    </row>
    <row r="1291" spans="1:27">
      <c r="A1291" s="29"/>
      <c r="B1291" s="19">
        <f t="shared" si="41"/>
        <v>46327</v>
      </c>
      <c r="C1291" s="27">
        <f>I1291+J1291+K1291+L1291+M1291+N1291+O1291+P1291+IF(Q1291="",0,Q1291*サマリー!$B$9)+IF(R1291="",0,IF(R1291=200,サマリー!$B$10,IF(R1291=100,サマリー!$B$11,0)))+IF(S1291="",0,S1291*サマリー!$B$12)</f>
        <v>0</v>
      </c>
      <c r="D1291" s="27">
        <f>T1291+U1291+V1291+W1291+X1291+IF(Y1291="",0,Y1291*サマリー!$B$9)+IF(Z1291="",0,IF(Z1291=200,サマリー!$B$10,IF(Z1291=100,サマリー!$B$11,0)))+IF(AA1291="",0,AA1291*サマリー!$B$12)</f>
        <v>0</v>
      </c>
      <c r="E1291" s="27">
        <f t="shared" si="40"/>
        <v>0</v>
      </c>
      <c r="I1291" s="30"/>
      <c r="J1291" s="30"/>
      <c r="K1291" s="30"/>
      <c r="L1291" s="30"/>
      <c r="M1291" s="30"/>
      <c r="N1291" s="30"/>
      <c r="O1291" s="30"/>
      <c r="P1291" s="30"/>
      <c r="Q1291" s="31"/>
      <c r="R1291" s="31"/>
      <c r="S1291" s="31"/>
      <c r="T1291" s="32"/>
      <c r="U1291" s="32"/>
      <c r="V1291" s="32"/>
      <c r="W1291" s="32"/>
      <c r="X1291" s="32"/>
      <c r="Y1291" s="33"/>
      <c r="Z1291" s="33"/>
      <c r="AA1291" s="33"/>
    </row>
    <row r="1292" spans="1:27">
      <c r="A1292" s="29"/>
      <c r="B1292" s="19">
        <f t="shared" si="41"/>
        <v>46327</v>
      </c>
      <c r="C1292" s="27">
        <f>I1292+J1292+K1292+L1292+M1292+N1292+O1292+P1292+IF(Q1292="",0,Q1292*サマリー!$B$9)+IF(R1292="",0,IF(R1292=200,サマリー!$B$10,IF(R1292=100,サマリー!$B$11,0)))+IF(S1292="",0,S1292*サマリー!$B$12)</f>
        <v>0</v>
      </c>
      <c r="D1292" s="27">
        <f>T1292+U1292+V1292+W1292+X1292+IF(Y1292="",0,Y1292*サマリー!$B$9)+IF(Z1292="",0,IF(Z1292=200,サマリー!$B$10,IF(Z1292=100,サマリー!$B$11,0)))+IF(AA1292="",0,AA1292*サマリー!$B$12)</f>
        <v>0</v>
      </c>
      <c r="E1292" s="27">
        <f t="shared" si="40"/>
        <v>0</v>
      </c>
      <c r="I1292" s="30"/>
      <c r="J1292" s="30"/>
      <c r="K1292" s="30"/>
      <c r="L1292" s="30"/>
      <c r="M1292" s="30"/>
      <c r="N1292" s="30"/>
      <c r="O1292" s="30"/>
      <c r="P1292" s="30"/>
      <c r="Q1292" s="31"/>
      <c r="R1292" s="31"/>
      <c r="S1292" s="31"/>
      <c r="T1292" s="32"/>
      <c r="U1292" s="32"/>
      <c r="V1292" s="32"/>
      <c r="W1292" s="32"/>
      <c r="X1292" s="32"/>
      <c r="Y1292" s="33"/>
      <c r="Z1292" s="33"/>
      <c r="AA1292" s="33"/>
    </row>
    <row r="1293" spans="1:27">
      <c r="A1293" s="29"/>
      <c r="B1293" s="19">
        <f t="shared" si="41"/>
        <v>46327</v>
      </c>
      <c r="C1293" s="27">
        <f>I1293+J1293+K1293+L1293+M1293+N1293+O1293+P1293+IF(Q1293="",0,Q1293*サマリー!$B$9)+IF(R1293="",0,IF(R1293=200,サマリー!$B$10,IF(R1293=100,サマリー!$B$11,0)))+IF(S1293="",0,S1293*サマリー!$B$12)</f>
        <v>0</v>
      </c>
      <c r="D1293" s="27">
        <f>T1293+U1293+V1293+W1293+X1293+IF(Y1293="",0,Y1293*サマリー!$B$9)+IF(Z1293="",0,IF(Z1293=200,サマリー!$B$10,IF(Z1293=100,サマリー!$B$11,0)))+IF(AA1293="",0,AA1293*サマリー!$B$12)</f>
        <v>0</v>
      </c>
      <c r="E1293" s="27">
        <f t="shared" si="40"/>
        <v>0</v>
      </c>
      <c r="I1293" s="30"/>
      <c r="J1293" s="30"/>
      <c r="K1293" s="30"/>
      <c r="L1293" s="30"/>
      <c r="M1293" s="30"/>
      <c r="N1293" s="30"/>
      <c r="O1293" s="30"/>
      <c r="P1293" s="30"/>
      <c r="Q1293" s="31"/>
      <c r="R1293" s="31"/>
      <c r="S1293" s="31"/>
      <c r="T1293" s="32"/>
      <c r="U1293" s="32"/>
      <c r="V1293" s="32"/>
      <c r="W1293" s="32"/>
      <c r="X1293" s="32"/>
      <c r="Y1293" s="33"/>
      <c r="Z1293" s="33"/>
      <c r="AA1293" s="33"/>
    </row>
    <row r="1294" spans="1:27">
      <c r="A1294" s="29"/>
      <c r="B1294" s="19">
        <f t="shared" si="41"/>
        <v>46327</v>
      </c>
      <c r="C1294" s="27">
        <f>I1294+J1294+K1294+L1294+M1294+N1294+O1294+P1294+IF(Q1294="",0,Q1294*サマリー!$B$9)+IF(R1294="",0,IF(R1294=200,サマリー!$B$10,IF(R1294=100,サマリー!$B$11,0)))+IF(S1294="",0,S1294*サマリー!$B$12)</f>
        <v>0</v>
      </c>
      <c r="D1294" s="27">
        <f>T1294+U1294+V1294+W1294+X1294+IF(Y1294="",0,Y1294*サマリー!$B$9)+IF(Z1294="",0,IF(Z1294=200,サマリー!$B$10,IF(Z1294=100,サマリー!$B$11,0)))+IF(AA1294="",0,AA1294*サマリー!$B$12)</f>
        <v>0</v>
      </c>
      <c r="E1294" s="27">
        <f t="shared" si="40"/>
        <v>0</v>
      </c>
      <c r="I1294" s="30"/>
      <c r="J1294" s="30"/>
      <c r="K1294" s="30"/>
      <c r="L1294" s="30"/>
      <c r="M1294" s="30"/>
      <c r="N1294" s="30"/>
      <c r="O1294" s="30"/>
      <c r="P1294" s="30"/>
      <c r="Q1294" s="31"/>
      <c r="R1294" s="31"/>
      <c r="S1294" s="31"/>
      <c r="T1294" s="32"/>
      <c r="U1294" s="32"/>
      <c r="V1294" s="32"/>
      <c r="W1294" s="32"/>
      <c r="X1294" s="32"/>
      <c r="Y1294" s="33"/>
      <c r="Z1294" s="33"/>
      <c r="AA1294" s="33"/>
    </row>
    <row r="1295" spans="1:27">
      <c r="A1295" s="29"/>
      <c r="B1295" s="19">
        <f t="shared" si="41"/>
        <v>46327</v>
      </c>
      <c r="C1295" s="27">
        <f>I1295+J1295+K1295+L1295+M1295+N1295+O1295+P1295+IF(Q1295="",0,Q1295*サマリー!$B$9)+IF(R1295="",0,IF(R1295=200,サマリー!$B$10,IF(R1295=100,サマリー!$B$11,0)))+IF(S1295="",0,S1295*サマリー!$B$12)</f>
        <v>0</v>
      </c>
      <c r="D1295" s="27">
        <f>T1295+U1295+V1295+W1295+X1295+IF(Y1295="",0,Y1295*サマリー!$B$9)+IF(Z1295="",0,IF(Z1295=200,サマリー!$B$10,IF(Z1295=100,サマリー!$B$11,0)))+IF(AA1295="",0,AA1295*サマリー!$B$12)</f>
        <v>0</v>
      </c>
      <c r="E1295" s="27">
        <f t="shared" si="40"/>
        <v>0</v>
      </c>
      <c r="I1295" s="30"/>
      <c r="J1295" s="30"/>
      <c r="K1295" s="30"/>
      <c r="L1295" s="30"/>
      <c r="M1295" s="30"/>
      <c r="N1295" s="30"/>
      <c r="O1295" s="30"/>
      <c r="P1295" s="30"/>
      <c r="Q1295" s="31"/>
      <c r="R1295" s="31"/>
      <c r="S1295" s="31"/>
      <c r="T1295" s="32"/>
      <c r="U1295" s="32"/>
      <c r="V1295" s="32"/>
      <c r="W1295" s="32"/>
      <c r="X1295" s="32"/>
      <c r="Y1295" s="33"/>
      <c r="Z1295" s="33"/>
      <c r="AA1295" s="33"/>
    </row>
    <row r="1296" spans="1:27">
      <c r="A1296" s="29"/>
      <c r="B1296" s="19">
        <f t="shared" si="41"/>
        <v>46327</v>
      </c>
      <c r="C1296" s="27">
        <f>I1296+J1296+K1296+L1296+M1296+N1296+O1296+P1296+IF(Q1296="",0,Q1296*サマリー!$B$9)+IF(R1296="",0,IF(R1296=200,サマリー!$B$10,IF(R1296=100,サマリー!$B$11,0)))+IF(S1296="",0,S1296*サマリー!$B$12)</f>
        <v>0</v>
      </c>
      <c r="D1296" s="27">
        <f>T1296+U1296+V1296+W1296+X1296+IF(Y1296="",0,Y1296*サマリー!$B$9)+IF(Z1296="",0,IF(Z1296=200,サマリー!$B$10,IF(Z1296=100,サマリー!$B$11,0)))+IF(AA1296="",0,AA1296*サマリー!$B$12)</f>
        <v>0</v>
      </c>
      <c r="E1296" s="27">
        <f t="shared" si="40"/>
        <v>0</v>
      </c>
      <c r="I1296" s="30"/>
      <c r="J1296" s="30"/>
      <c r="K1296" s="30"/>
      <c r="L1296" s="30"/>
      <c r="M1296" s="30"/>
      <c r="N1296" s="30"/>
      <c r="O1296" s="30"/>
      <c r="P1296" s="30"/>
      <c r="Q1296" s="31"/>
      <c r="R1296" s="31"/>
      <c r="S1296" s="31"/>
      <c r="T1296" s="32"/>
      <c r="U1296" s="32"/>
      <c r="V1296" s="32"/>
      <c r="W1296" s="32"/>
      <c r="X1296" s="32"/>
      <c r="Y1296" s="33"/>
      <c r="Z1296" s="33"/>
      <c r="AA1296" s="33"/>
    </row>
    <row r="1297" spans="1:27">
      <c r="A1297" s="29"/>
      <c r="B1297" s="19">
        <f t="shared" si="41"/>
        <v>46327</v>
      </c>
      <c r="C1297" s="27">
        <f>I1297+J1297+K1297+L1297+M1297+N1297+O1297+P1297+IF(Q1297="",0,Q1297*サマリー!$B$9)+IF(R1297="",0,IF(R1297=200,サマリー!$B$10,IF(R1297=100,サマリー!$B$11,0)))+IF(S1297="",0,S1297*サマリー!$B$12)</f>
        <v>0</v>
      </c>
      <c r="D1297" s="27">
        <f>T1297+U1297+V1297+W1297+X1297+IF(Y1297="",0,Y1297*サマリー!$B$9)+IF(Z1297="",0,IF(Z1297=200,サマリー!$B$10,IF(Z1297=100,サマリー!$B$11,0)))+IF(AA1297="",0,AA1297*サマリー!$B$12)</f>
        <v>0</v>
      </c>
      <c r="E1297" s="27">
        <f t="shared" si="40"/>
        <v>0</v>
      </c>
      <c r="I1297" s="30"/>
      <c r="J1297" s="30"/>
      <c r="K1297" s="30"/>
      <c r="L1297" s="30"/>
      <c r="M1297" s="30"/>
      <c r="N1297" s="30"/>
      <c r="O1297" s="30"/>
      <c r="P1297" s="30"/>
      <c r="Q1297" s="31"/>
      <c r="R1297" s="31"/>
      <c r="S1297" s="31"/>
      <c r="T1297" s="32"/>
      <c r="U1297" s="32"/>
      <c r="V1297" s="32"/>
      <c r="W1297" s="32"/>
      <c r="X1297" s="32"/>
      <c r="Y1297" s="33"/>
      <c r="Z1297" s="33"/>
      <c r="AA1297" s="33"/>
    </row>
    <row r="1298" spans="1:27">
      <c r="A1298" s="29"/>
      <c r="B1298" s="19">
        <f t="shared" si="41"/>
        <v>46327</v>
      </c>
      <c r="C1298" s="27">
        <f>I1298+J1298+K1298+L1298+M1298+N1298+O1298+P1298+IF(Q1298="",0,Q1298*サマリー!$B$9)+IF(R1298="",0,IF(R1298=200,サマリー!$B$10,IF(R1298=100,サマリー!$B$11,0)))+IF(S1298="",0,S1298*サマリー!$B$12)</f>
        <v>0</v>
      </c>
      <c r="D1298" s="27">
        <f>T1298+U1298+V1298+W1298+X1298+IF(Y1298="",0,Y1298*サマリー!$B$9)+IF(Z1298="",0,IF(Z1298=200,サマリー!$B$10,IF(Z1298=100,サマリー!$B$11,0)))+IF(AA1298="",0,AA1298*サマリー!$B$12)</f>
        <v>0</v>
      </c>
      <c r="E1298" s="27">
        <f t="shared" si="40"/>
        <v>0</v>
      </c>
      <c r="I1298" s="30"/>
      <c r="J1298" s="30"/>
      <c r="K1298" s="30"/>
      <c r="L1298" s="30"/>
      <c r="M1298" s="30"/>
      <c r="N1298" s="30"/>
      <c r="O1298" s="30"/>
      <c r="P1298" s="30"/>
      <c r="Q1298" s="31"/>
      <c r="R1298" s="31"/>
      <c r="S1298" s="31"/>
      <c r="T1298" s="32"/>
      <c r="U1298" s="32"/>
      <c r="V1298" s="32"/>
      <c r="W1298" s="32"/>
      <c r="X1298" s="32"/>
      <c r="Y1298" s="33"/>
      <c r="Z1298" s="33"/>
      <c r="AA1298" s="33"/>
    </row>
    <row r="1299" spans="1:27">
      <c r="A1299" s="29"/>
      <c r="B1299" s="19">
        <f t="shared" si="41"/>
        <v>46327</v>
      </c>
      <c r="C1299" s="27">
        <f>I1299+J1299+K1299+L1299+M1299+N1299+O1299+P1299+IF(Q1299="",0,Q1299*サマリー!$B$9)+IF(R1299="",0,IF(R1299=200,サマリー!$B$10,IF(R1299=100,サマリー!$B$11,0)))+IF(S1299="",0,S1299*サマリー!$B$12)</f>
        <v>0</v>
      </c>
      <c r="D1299" s="27">
        <f>T1299+U1299+V1299+W1299+X1299+IF(Y1299="",0,Y1299*サマリー!$B$9)+IF(Z1299="",0,IF(Z1299=200,サマリー!$B$10,IF(Z1299=100,サマリー!$B$11,0)))+IF(AA1299="",0,AA1299*サマリー!$B$12)</f>
        <v>0</v>
      </c>
      <c r="E1299" s="27">
        <f t="shared" si="40"/>
        <v>0</v>
      </c>
      <c r="I1299" s="30"/>
      <c r="J1299" s="30"/>
      <c r="K1299" s="30"/>
      <c r="L1299" s="30"/>
      <c r="M1299" s="30"/>
      <c r="N1299" s="30"/>
      <c r="O1299" s="30"/>
      <c r="P1299" s="30"/>
      <c r="Q1299" s="31"/>
      <c r="R1299" s="31"/>
      <c r="S1299" s="31"/>
      <c r="T1299" s="32"/>
      <c r="U1299" s="32"/>
      <c r="V1299" s="32"/>
      <c r="W1299" s="32"/>
      <c r="X1299" s="32"/>
      <c r="Y1299" s="33"/>
      <c r="Z1299" s="33"/>
      <c r="AA1299" s="33"/>
    </row>
    <row r="1300" spans="1:27">
      <c r="A1300" s="29"/>
      <c r="B1300" s="19">
        <f t="shared" si="41"/>
        <v>46327</v>
      </c>
      <c r="C1300" s="27">
        <f>I1300+J1300+K1300+L1300+M1300+N1300+O1300+P1300+IF(Q1300="",0,Q1300*サマリー!$B$9)+IF(R1300="",0,IF(R1300=200,サマリー!$B$10,IF(R1300=100,サマリー!$B$11,0)))+IF(S1300="",0,S1300*サマリー!$B$12)</f>
        <v>0</v>
      </c>
      <c r="D1300" s="27">
        <f>T1300+U1300+V1300+W1300+X1300+IF(Y1300="",0,Y1300*サマリー!$B$9)+IF(Z1300="",0,IF(Z1300=200,サマリー!$B$10,IF(Z1300=100,サマリー!$B$11,0)))+IF(AA1300="",0,AA1300*サマリー!$B$12)</f>
        <v>0</v>
      </c>
      <c r="E1300" s="27">
        <f t="shared" si="40"/>
        <v>0</v>
      </c>
      <c r="I1300" s="30"/>
      <c r="J1300" s="30"/>
      <c r="K1300" s="30"/>
      <c r="L1300" s="30"/>
      <c r="M1300" s="30"/>
      <c r="N1300" s="30"/>
      <c r="O1300" s="30"/>
      <c r="P1300" s="30"/>
      <c r="Q1300" s="31"/>
      <c r="R1300" s="31"/>
      <c r="S1300" s="31"/>
      <c r="T1300" s="32"/>
      <c r="U1300" s="32"/>
      <c r="V1300" s="32"/>
      <c r="W1300" s="32"/>
      <c r="X1300" s="32"/>
      <c r="Y1300" s="33"/>
      <c r="Z1300" s="33"/>
      <c r="AA1300" s="33"/>
    </row>
    <row r="1301" spans="1:27">
      <c r="A1301" s="29"/>
      <c r="B1301" s="19">
        <f t="shared" si="41"/>
        <v>46327</v>
      </c>
      <c r="C1301" s="27">
        <f>I1301+J1301+K1301+L1301+M1301+N1301+O1301+P1301+IF(Q1301="",0,Q1301*サマリー!$B$9)+IF(R1301="",0,IF(R1301=200,サマリー!$B$10,IF(R1301=100,サマリー!$B$11,0)))+IF(S1301="",0,S1301*サマリー!$B$12)</f>
        <v>0</v>
      </c>
      <c r="D1301" s="27">
        <f>T1301+U1301+V1301+W1301+X1301+IF(Y1301="",0,Y1301*サマリー!$B$9)+IF(Z1301="",0,IF(Z1301=200,サマリー!$B$10,IF(Z1301=100,サマリー!$B$11,0)))+IF(AA1301="",0,AA1301*サマリー!$B$12)</f>
        <v>0</v>
      </c>
      <c r="E1301" s="27">
        <f t="shared" si="40"/>
        <v>0</v>
      </c>
      <c r="I1301" s="30"/>
      <c r="J1301" s="30"/>
      <c r="K1301" s="30"/>
      <c r="L1301" s="30"/>
      <c r="M1301" s="30"/>
      <c r="N1301" s="30"/>
      <c r="O1301" s="30"/>
      <c r="P1301" s="30"/>
      <c r="Q1301" s="31"/>
      <c r="R1301" s="31"/>
      <c r="S1301" s="31"/>
      <c r="T1301" s="32"/>
      <c r="U1301" s="32"/>
      <c r="V1301" s="32"/>
      <c r="W1301" s="32"/>
      <c r="X1301" s="32"/>
      <c r="Y1301" s="33"/>
      <c r="Z1301" s="33"/>
      <c r="AA1301" s="33"/>
    </row>
    <row r="1302" spans="1:27">
      <c r="A1302" s="29"/>
      <c r="B1302" s="19">
        <f t="shared" si="41"/>
        <v>46327</v>
      </c>
      <c r="C1302" s="27">
        <f>I1302+J1302+K1302+L1302+M1302+N1302+O1302+P1302+IF(Q1302="",0,Q1302*サマリー!$B$9)+IF(R1302="",0,IF(R1302=200,サマリー!$B$10,IF(R1302=100,サマリー!$B$11,0)))+IF(S1302="",0,S1302*サマリー!$B$12)</f>
        <v>0</v>
      </c>
      <c r="D1302" s="27">
        <f>T1302+U1302+V1302+W1302+X1302+IF(Y1302="",0,Y1302*サマリー!$B$9)+IF(Z1302="",0,IF(Z1302=200,サマリー!$B$10,IF(Z1302=100,サマリー!$B$11,0)))+IF(AA1302="",0,AA1302*サマリー!$B$12)</f>
        <v>0</v>
      </c>
      <c r="E1302" s="27">
        <f t="shared" si="40"/>
        <v>0</v>
      </c>
      <c r="I1302" s="30"/>
      <c r="J1302" s="30"/>
      <c r="K1302" s="30"/>
      <c r="L1302" s="30"/>
      <c r="M1302" s="30"/>
      <c r="N1302" s="30"/>
      <c r="O1302" s="30"/>
      <c r="P1302" s="30"/>
      <c r="Q1302" s="31"/>
      <c r="R1302" s="31"/>
      <c r="S1302" s="31"/>
      <c r="T1302" s="32"/>
      <c r="U1302" s="32"/>
      <c r="V1302" s="32"/>
      <c r="W1302" s="32"/>
      <c r="X1302" s="32"/>
      <c r="Y1302" s="33"/>
      <c r="Z1302" s="33"/>
      <c r="AA1302" s="33"/>
    </row>
    <row r="1303" spans="1:27">
      <c r="A1303" s="29"/>
      <c r="B1303" s="19">
        <f t="shared" si="41"/>
        <v>46327</v>
      </c>
      <c r="C1303" s="27">
        <f>I1303+J1303+K1303+L1303+M1303+N1303+O1303+P1303+IF(Q1303="",0,Q1303*サマリー!$B$9)+IF(R1303="",0,IF(R1303=200,サマリー!$B$10,IF(R1303=100,サマリー!$B$11,0)))+IF(S1303="",0,S1303*サマリー!$B$12)</f>
        <v>0</v>
      </c>
      <c r="D1303" s="27">
        <f>T1303+U1303+V1303+W1303+X1303+IF(Y1303="",0,Y1303*サマリー!$B$9)+IF(Z1303="",0,IF(Z1303=200,サマリー!$B$10,IF(Z1303=100,サマリー!$B$11,0)))+IF(AA1303="",0,AA1303*サマリー!$B$12)</f>
        <v>0</v>
      </c>
      <c r="E1303" s="27">
        <f t="shared" si="40"/>
        <v>0</v>
      </c>
      <c r="I1303" s="30"/>
      <c r="J1303" s="30"/>
      <c r="K1303" s="30"/>
      <c r="L1303" s="30"/>
      <c r="M1303" s="30"/>
      <c r="N1303" s="30"/>
      <c r="O1303" s="30"/>
      <c r="P1303" s="30"/>
      <c r="Q1303" s="31"/>
      <c r="R1303" s="31"/>
      <c r="S1303" s="31"/>
      <c r="T1303" s="32"/>
      <c r="U1303" s="32"/>
      <c r="V1303" s="32"/>
      <c r="W1303" s="32"/>
      <c r="X1303" s="32"/>
      <c r="Y1303" s="33"/>
      <c r="Z1303" s="33"/>
      <c r="AA1303" s="33"/>
    </row>
    <row r="1304" spans="1:27">
      <c r="A1304" s="29"/>
      <c r="B1304" s="19">
        <f t="shared" si="41"/>
        <v>46327</v>
      </c>
      <c r="C1304" s="27">
        <f>I1304+J1304+K1304+L1304+M1304+N1304+O1304+P1304+IF(Q1304="",0,Q1304*サマリー!$B$9)+IF(R1304="",0,IF(R1304=200,サマリー!$B$10,IF(R1304=100,サマリー!$B$11,0)))+IF(S1304="",0,S1304*サマリー!$B$12)</f>
        <v>0</v>
      </c>
      <c r="D1304" s="27">
        <f>T1304+U1304+V1304+W1304+X1304+IF(Y1304="",0,Y1304*サマリー!$B$9)+IF(Z1304="",0,IF(Z1304=200,サマリー!$B$10,IF(Z1304=100,サマリー!$B$11,0)))+IF(AA1304="",0,AA1304*サマリー!$B$12)</f>
        <v>0</v>
      </c>
      <c r="E1304" s="27">
        <f t="shared" si="40"/>
        <v>0</v>
      </c>
      <c r="I1304" s="30"/>
      <c r="J1304" s="30"/>
      <c r="K1304" s="30"/>
      <c r="L1304" s="30"/>
      <c r="M1304" s="30"/>
      <c r="N1304" s="30"/>
      <c r="O1304" s="30"/>
      <c r="P1304" s="30"/>
      <c r="Q1304" s="31"/>
      <c r="R1304" s="31"/>
      <c r="S1304" s="31"/>
      <c r="T1304" s="32"/>
      <c r="U1304" s="32"/>
      <c r="V1304" s="32"/>
      <c r="W1304" s="32"/>
      <c r="X1304" s="32"/>
      <c r="Y1304" s="33"/>
      <c r="Z1304" s="33"/>
      <c r="AA1304" s="33"/>
    </row>
    <row r="1305" spans="1:27">
      <c r="A1305" s="29"/>
      <c r="B1305" s="19">
        <f t="shared" si="41"/>
        <v>46327</v>
      </c>
      <c r="C1305" s="27">
        <f>I1305+J1305+K1305+L1305+M1305+N1305+O1305+P1305+IF(Q1305="",0,Q1305*サマリー!$B$9)+IF(R1305="",0,IF(R1305=200,サマリー!$B$10,IF(R1305=100,サマリー!$B$11,0)))+IF(S1305="",0,S1305*サマリー!$B$12)</f>
        <v>0</v>
      </c>
      <c r="D1305" s="27">
        <f>T1305+U1305+V1305+W1305+X1305+IF(Y1305="",0,Y1305*サマリー!$B$9)+IF(Z1305="",0,IF(Z1305=200,サマリー!$B$10,IF(Z1305=100,サマリー!$B$11,0)))+IF(AA1305="",0,AA1305*サマリー!$B$12)</f>
        <v>0</v>
      </c>
      <c r="E1305" s="27">
        <f t="shared" si="40"/>
        <v>0</v>
      </c>
      <c r="I1305" s="30"/>
      <c r="J1305" s="30"/>
      <c r="K1305" s="30"/>
      <c r="L1305" s="30"/>
      <c r="M1305" s="30"/>
      <c r="N1305" s="30"/>
      <c r="O1305" s="30"/>
      <c r="P1305" s="30"/>
      <c r="Q1305" s="31"/>
      <c r="R1305" s="31"/>
      <c r="S1305" s="31"/>
      <c r="T1305" s="32"/>
      <c r="U1305" s="32"/>
      <c r="V1305" s="32"/>
      <c r="W1305" s="32"/>
      <c r="X1305" s="32"/>
      <c r="Y1305" s="33"/>
      <c r="Z1305" s="33"/>
      <c r="AA1305" s="33"/>
    </row>
    <row r="1306" spans="1:27">
      <c r="A1306" s="29"/>
      <c r="B1306" s="19">
        <f t="shared" si="41"/>
        <v>46327</v>
      </c>
      <c r="C1306" s="27">
        <f>I1306+J1306+K1306+L1306+M1306+N1306+O1306+P1306+IF(Q1306="",0,Q1306*サマリー!$B$9)+IF(R1306="",0,IF(R1306=200,サマリー!$B$10,IF(R1306=100,サマリー!$B$11,0)))+IF(S1306="",0,S1306*サマリー!$B$12)</f>
        <v>0</v>
      </c>
      <c r="D1306" s="27">
        <f>T1306+U1306+V1306+W1306+X1306+IF(Y1306="",0,Y1306*サマリー!$B$9)+IF(Z1306="",0,IF(Z1306=200,サマリー!$B$10,IF(Z1306=100,サマリー!$B$11,0)))+IF(AA1306="",0,AA1306*サマリー!$B$12)</f>
        <v>0</v>
      </c>
      <c r="E1306" s="27">
        <f t="shared" si="40"/>
        <v>0</v>
      </c>
      <c r="I1306" s="30"/>
      <c r="J1306" s="30"/>
      <c r="K1306" s="30"/>
      <c r="L1306" s="30"/>
      <c r="M1306" s="30"/>
      <c r="N1306" s="30"/>
      <c r="O1306" s="30"/>
      <c r="P1306" s="30"/>
      <c r="Q1306" s="31"/>
      <c r="R1306" s="31"/>
      <c r="S1306" s="31"/>
      <c r="T1306" s="32"/>
      <c r="U1306" s="32"/>
      <c r="V1306" s="32"/>
      <c r="W1306" s="32"/>
      <c r="X1306" s="32"/>
      <c r="Y1306" s="33"/>
      <c r="Z1306" s="33"/>
      <c r="AA1306" s="33"/>
    </row>
    <row r="1307" spans="1:27">
      <c r="A1307" s="29"/>
      <c r="B1307" s="19">
        <f t="shared" si="41"/>
        <v>46327</v>
      </c>
      <c r="C1307" s="27">
        <f>I1307+J1307+K1307+L1307+M1307+N1307+O1307+P1307+IF(Q1307="",0,Q1307*サマリー!$B$9)+IF(R1307="",0,IF(R1307=200,サマリー!$B$10,IF(R1307=100,サマリー!$B$11,0)))+IF(S1307="",0,S1307*サマリー!$B$12)</f>
        <v>0</v>
      </c>
      <c r="D1307" s="27">
        <f>T1307+U1307+V1307+W1307+X1307+IF(Y1307="",0,Y1307*サマリー!$B$9)+IF(Z1307="",0,IF(Z1307=200,サマリー!$B$10,IF(Z1307=100,サマリー!$B$11,0)))+IF(AA1307="",0,AA1307*サマリー!$B$12)</f>
        <v>0</v>
      </c>
      <c r="E1307" s="27">
        <f t="shared" si="40"/>
        <v>0</v>
      </c>
      <c r="I1307" s="30"/>
      <c r="J1307" s="30"/>
      <c r="K1307" s="30"/>
      <c r="L1307" s="30"/>
      <c r="M1307" s="30"/>
      <c r="N1307" s="30"/>
      <c r="O1307" s="30"/>
      <c r="P1307" s="30"/>
      <c r="Q1307" s="31"/>
      <c r="R1307" s="31"/>
      <c r="S1307" s="31"/>
      <c r="T1307" s="32"/>
      <c r="U1307" s="32"/>
      <c r="V1307" s="32"/>
      <c r="W1307" s="32"/>
      <c r="X1307" s="32"/>
      <c r="Y1307" s="33"/>
      <c r="Z1307" s="33"/>
      <c r="AA1307" s="33"/>
    </row>
    <row r="1308" spans="1:27">
      <c r="A1308" s="29"/>
      <c r="B1308" s="19">
        <f t="shared" si="41"/>
        <v>46327</v>
      </c>
      <c r="C1308" s="27">
        <f>I1308+J1308+K1308+L1308+M1308+N1308+O1308+P1308+IF(Q1308="",0,Q1308*サマリー!$B$9)+IF(R1308="",0,IF(R1308=200,サマリー!$B$10,IF(R1308=100,サマリー!$B$11,0)))+IF(S1308="",0,S1308*サマリー!$B$12)</f>
        <v>0</v>
      </c>
      <c r="D1308" s="27">
        <f>T1308+U1308+V1308+W1308+X1308+IF(Y1308="",0,Y1308*サマリー!$B$9)+IF(Z1308="",0,IF(Z1308=200,サマリー!$B$10,IF(Z1308=100,サマリー!$B$11,0)))+IF(AA1308="",0,AA1308*サマリー!$B$12)</f>
        <v>0</v>
      </c>
      <c r="E1308" s="27">
        <f t="shared" si="40"/>
        <v>0</v>
      </c>
      <c r="I1308" s="30"/>
      <c r="J1308" s="30"/>
      <c r="K1308" s="30"/>
      <c r="L1308" s="30"/>
      <c r="M1308" s="30"/>
      <c r="N1308" s="30"/>
      <c r="O1308" s="30"/>
      <c r="P1308" s="30"/>
      <c r="Q1308" s="31"/>
      <c r="R1308" s="31"/>
      <c r="S1308" s="31"/>
      <c r="T1308" s="32"/>
      <c r="U1308" s="32"/>
      <c r="V1308" s="32"/>
      <c r="W1308" s="32"/>
      <c r="X1308" s="32"/>
      <c r="Y1308" s="33"/>
      <c r="Z1308" s="33"/>
      <c r="AA1308" s="33"/>
    </row>
    <row r="1309" spans="1:27">
      <c r="A1309" s="29"/>
      <c r="B1309" s="19">
        <f t="shared" si="41"/>
        <v>46327</v>
      </c>
      <c r="C1309" s="27">
        <f>I1309+J1309+K1309+L1309+M1309+N1309+O1309+P1309+IF(Q1309="",0,Q1309*サマリー!$B$9)+IF(R1309="",0,IF(R1309=200,サマリー!$B$10,IF(R1309=100,サマリー!$B$11,0)))+IF(S1309="",0,S1309*サマリー!$B$12)</f>
        <v>0</v>
      </c>
      <c r="D1309" s="27">
        <f>T1309+U1309+V1309+W1309+X1309+IF(Y1309="",0,Y1309*サマリー!$B$9)+IF(Z1309="",0,IF(Z1309=200,サマリー!$B$10,IF(Z1309=100,サマリー!$B$11,0)))+IF(AA1309="",0,AA1309*サマリー!$B$12)</f>
        <v>0</v>
      </c>
      <c r="E1309" s="27">
        <f t="shared" si="40"/>
        <v>0</v>
      </c>
      <c r="I1309" s="30"/>
      <c r="J1309" s="30"/>
      <c r="K1309" s="30"/>
      <c r="L1309" s="30"/>
      <c r="M1309" s="30"/>
      <c r="N1309" s="30"/>
      <c r="O1309" s="30"/>
      <c r="P1309" s="30"/>
      <c r="Q1309" s="31"/>
      <c r="R1309" s="31"/>
      <c r="S1309" s="31"/>
      <c r="T1309" s="32"/>
      <c r="U1309" s="32"/>
      <c r="V1309" s="32"/>
      <c r="W1309" s="32"/>
      <c r="X1309" s="32"/>
      <c r="Y1309" s="33"/>
      <c r="Z1309" s="33"/>
      <c r="AA1309" s="33"/>
    </row>
    <row r="1310" spans="1:27">
      <c r="A1310" s="29"/>
      <c r="B1310" s="19">
        <f t="shared" si="41"/>
        <v>46327</v>
      </c>
      <c r="C1310" s="27">
        <f>I1310+J1310+K1310+L1310+M1310+N1310+O1310+P1310+IF(Q1310="",0,Q1310*サマリー!$B$9)+IF(R1310="",0,IF(R1310=200,サマリー!$B$10,IF(R1310=100,サマリー!$B$11,0)))+IF(S1310="",0,S1310*サマリー!$B$12)</f>
        <v>0</v>
      </c>
      <c r="D1310" s="27">
        <f>T1310+U1310+V1310+W1310+X1310+IF(Y1310="",0,Y1310*サマリー!$B$9)+IF(Z1310="",0,IF(Z1310=200,サマリー!$B$10,IF(Z1310=100,サマリー!$B$11,0)))+IF(AA1310="",0,AA1310*サマリー!$B$12)</f>
        <v>0</v>
      </c>
      <c r="E1310" s="27">
        <f t="shared" si="40"/>
        <v>0</v>
      </c>
      <c r="I1310" s="30"/>
      <c r="J1310" s="30"/>
      <c r="K1310" s="30"/>
      <c r="L1310" s="30"/>
      <c r="M1310" s="30"/>
      <c r="N1310" s="30"/>
      <c r="O1310" s="30"/>
      <c r="P1310" s="30"/>
      <c r="Q1310" s="31"/>
      <c r="R1310" s="31"/>
      <c r="S1310" s="31"/>
      <c r="T1310" s="32"/>
      <c r="U1310" s="32"/>
      <c r="V1310" s="32"/>
      <c r="W1310" s="32"/>
      <c r="X1310" s="32"/>
      <c r="Y1310" s="33"/>
      <c r="Z1310" s="33"/>
      <c r="AA1310" s="33"/>
    </row>
    <row r="1311" spans="1:27">
      <c r="A1311" s="29"/>
      <c r="B1311" s="19">
        <f t="shared" si="41"/>
        <v>46327</v>
      </c>
      <c r="C1311" s="27">
        <f>I1311+J1311+K1311+L1311+M1311+N1311+O1311+P1311+IF(Q1311="",0,Q1311*サマリー!$B$9)+IF(R1311="",0,IF(R1311=200,サマリー!$B$10,IF(R1311=100,サマリー!$B$11,0)))+IF(S1311="",0,S1311*サマリー!$B$12)</f>
        <v>0</v>
      </c>
      <c r="D1311" s="27">
        <f>T1311+U1311+V1311+W1311+X1311+IF(Y1311="",0,Y1311*サマリー!$B$9)+IF(Z1311="",0,IF(Z1311=200,サマリー!$B$10,IF(Z1311=100,サマリー!$B$11,0)))+IF(AA1311="",0,AA1311*サマリー!$B$12)</f>
        <v>0</v>
      </c>
      <c r="E1311" s="27">
        <f t="shared" si="40"/>
        <v>0</v>
      </c>
      <c r="I1311" s="30"/>
      <c r="J1311" s="30"/>
      <c r="K1311" s="30"/>
      <c r="L1311" s="30"/>
      <c r="M1311" s="30"/>
      <c r="N1311" s="30"/>
      <c r="O1311" s="30"/>
      <c r="P1311" s="30"/>
      <c r="Q1311" s="31"/>
      <c r="R1311" s="31"/>
      <c r="S1311" s="31"/>
      <c r="T1311" s="32"/>
      <c r="U1311" s="32"/>
      <c r="V1311" s="32"/>
      <c r="W1311" s="32"/>
      <c r="X1311" s="32"/>
      <c r="Y1311" s="33"/>
      <c r="Z1311" s="33"/>
      <c r="AA1311" s="33"/>
    </row>
    <row r="1312" spans="1:27">
      <c r="A1312" s="29"/>
      <c r="B1312" s="19">
        <f t="shared" si="41"/>
        <v>46327</v>
      </c>
      <c r="C1312" s="27">
        <f>I1312+J1312+K1312+L1312+M1312+N1312+O1312+P1312+IF(Q1312="",0,Q1312*サマリー!$B$9)+IF(R1312="",0,IF(R1312=200,サマリー!$B$10,IF(R1312=100,サマリー!$B$11,0)))+IF(S1312="",0,S1312*サマリー!$B$12)</f>
        <v>0</v>
      </c>
      <c r="D1312" s="27">
        <f>T1312+U1312+V1312+W1312+X1312+IF(Y1312="",0,Y1312*サマリー!$B$9)+IF(Z1312="",0,IF(Z1312=200,サマリー!$B$10,IF(Z1312=100,サマリー!$B$11,0)))+IF(AA1312="",0,AA1312*サマリー!$B$12)</f>
        <v>0</v>
      </c>
      <c r="E1312" s="27">
        <f t="shared" si="40"/>
        <v>0</v>
      </c>
      <c r="I1312" s="30"/>
      <c r="J1312" s="30"/>
      <c r="K1312" s="30"/>
      <c r="L1312" s="30"/>
      <c r="M1312" s="30"/>
      <c r="N1312" s="30"/>
      <c r="O1312" s="30"/>
      <c r="P1312" s="30"/>
      <c r="Q1312" s="31"/>
      <c r="R1312" s="31"/>
      <c r="S1312" s="31"/>
      <c r="T1312" s="32"/>
      <c r="U1312" s="32"/>
      <c r="V1312" s="32"/>
      <c r="W1312" s="32"/>
      <c r="X1312" s="32"/>
      <c r="Y1312" s="33"/>
      <c r="Z1312" s="33"/>
      <c r="AA1312" s="33"/>
    </row>
    <row r="1313" spans="1:27">
      <c r="A1313" s="29"/>
      <c r="B1313" s="19">
        <f t="shared" si="41"/>
        <v>46327</v>
      </c>
      <c r="C1313" s="27">
        <f>I1313+J1313+K1313+L1313+M1313+N1313+O1313+P1313+IF(Q1313="",0,Q1313*サマリー!$B$9)+IF(R1313="",0,IF(R1313=200,サマリー!$B$10,IF(R1313=100,サマリー!$B$11,0)))+IF(S1313="",0,S1313*サマリー!$B$12)</f>
        <v>0</v>
      </c>
      <c r="D1313" s="27">
        <f>T1313+U1313+V1313+W1313+X1313+IF(Y1313="",0,Y1313*サマリー!$B$9)+IF(Z1313="",0,IF(Z1313=200,サマリー!$B$10,IF(Z1313=100,サマリー!$B$11,0)))+IF(AA1313="",0,AA1313*サマリー!$B$12)</f>
        <v>0</v>
      </c>
      <c r="E1313" s="27">
        <f t="shared" si="40"/>
        <v>0</v>
      </c>
      <c r="I1313" s="30"/>
      <c r="J1313" s="30"/>
      <c r="K1313" s="30"/>
      <c r="L1313" s="30"/>
      <c r="M1313" s="30"/>
      <c r="N1313" s="30"/>
      <c r="O1313" s="30"/>
      <c r="P1313" s="30"/>
      <c r="Q1313" s="31"/>
      <c r="R1313" s="31"/>
      <c r="S1313" s="31"/>
      <c r="T1313" s="32"/>
      <c r="U1313" s="32"/>
      <c r="V1313" s="32"/>
      <c r="W1313" s="32"/>
      <c r="X1313" s="32"/>
      <c r="Y1313" s="33"/>
      <c r="Z1313" s="33"/>
      <c r="AA1313" s="33"/>
    </row>
    <row r="1314" spans="1:27">
      <c r="A1314" s="29"/>
      <c r="B1314" s="19">
        <f t="shared" si="41"/>
        <v>46327</v>
      </c>
      <c r="C1314" s="27">
        <f>I1314+J1314+K1314+L1314+M1314+N1314+O1314+P1314+IF(Q1314="",0,Q1314*サマリー!$B$9)+IF(R1314="",0,IF(R1314=200,サマリー!$B$10,IF(R1314=100,サマリー!$B$11,0)))+IF(S1314="",0,S1314*サマリー!$B$12)</f>
        <v>0</v>
      </c>
      <c r="D1314" s="27">
        <f>T1314+U1314+V1314+W1314+X1314+IF(Y1314="",0,Y1314*サマリー!$B$9)+IF(Z1314="",0,IF(Z1314=200,サマリー!$B$10,IF(Z1314=100,サマリー!$B$11,0)))+IF(AA1314="",0,AA1314*サマリー!$B$12)</f>
        <v>0</v>
      </c>
      <c r="E1314" s="27">
        <f t="shared" si="40"/>
        <v>0</v>
      </c>
      <c r="I1314" s="30"/>
      <c r="J1314" s="30"/>
      <c r="K1314" s="30"/>
      <c r="L1314" s="30"/>
      <c r="M1314" s="30"/>
      <c r="N1314" s="30"/>
      <c r="O1314" s="30"/>
      <c r="P1314" s="30"/>
      <c r="Q1314" s="31"/>
      <c r="R1314" s="31"/>
      <c r="S1314" s="31"/>
      <c r="T1314" s="32"/>
      <c r="U1314" s="32"/>
      <c r="V1314" s="32"/>
      <c r="W1314" s="32"/>
      <c r="X1314" s="32"/>
      <c r="Y1314" s="33"/>
      <c r="Z1314" s="33"/>
      <c r="AA1314" s="33"/>
    </row>
    <row r="1315" spans="1:27">
      <c r="A1315" s="29"/>
      <c r="B1315" s="19">
        <f t="shared" si="41"/>
        <v>46327</v>
      </c>
      <c r="C1315" s="27">
        <f>I1315+J1315+K1315+L1315+M1315+N1315+O1315+P1315+IF(Q1315="",0,Q1315*サマリー!$B$9)+IF(R1315="",0,IF(R1315=200,サマリー!$B$10,IF(R1315=100,サマリー!$B$11,0)))+IF(S1315="",0,S1315*サマリー!$B$12)</f>
        <v>0</v>
      </c>
      <c r="D1315" s="27">
        <f>T1315+U1315+V1315+W1315+X1315+IF(Y1315="",0,Y1315*サマリー!$B$9)+IF(Z1315="",0,IF(Z1315=200,サマリー!$B$10,IF(Z1315=100,サマリー!$B$11,0)))+IF(AA1315="",0,AA1315*サマリー!$B$12)</f>
        <v>0</v>
      </c>
      <c r="E1315" s="27">
        <f t="shared" si="40"/>
        <v>0</v>
      </c>
      <c r="I1315" s="30"/>
      <c r="J1315" s="30"/>
      <c r="K1315" s="30"/>
      <c r="L1315" s="30"/>
      <c r="M1315" s="30"/>
      <c r="N1315" s="30"/>
      <c r="O1315" s="30"/>
      <c r="P1315" s="30"/>
      <c r="Q1315" s="31"/>
      <c r="R1315" s="31"/>
      <c r="S1315" s="31"/>
      <c r="T1315" s="32"/>
      <c r="U1315" s="32"/>
      <c r="V1315" s="32"/>
      <c r="W1315" s="32"/>
      <c r="X1315" s="32"/>
      <c r="Y1315" s="33"/>
      <c r="Z1315" s="33"/>
      <c r="AA1315" s="33"/>
    </row>
    <row r="1316" spans="1:27">
      <c r="A1316" s="29"/>
      <c r="B1316" s="19">
        <f t="shared" si="41"/>
        <v>46327</v>
      </c>
      <c r="C1316" s="27">
        <f>I1316+J1316+K1316+L1316+M1316+N1316+O1316+P1316+IF(Q1316="",0,Q1316*サマリー!$B$9)+IF(R1316="",0,IF(R1316=200,サマリー!$B$10,IF(R1316=100,サマリー!$B$11,0)))+IF(S1316="",0,S1316*サマリー!$B$12)</f>
        <v>0</v>
      </c>
      <c r="D1316" s="27">
        <f>T1316+U1316+V1316+W1316+X1316+IF(Y1316="",0,Y1316*サマリー!$B$9)+IF(Z1316="",0,IF(Z1316=200,サマリー!$B$10,IF(Z1316=100,サマリー!$B$11,0)))+IF(AA1316="",0,AA1316*サマリー!$B$12)</f>
        <v>0</v>
      </c>
      <c r="E1316" s="27">
        <f t="shared" si="40"/>
        <v>0</v>
      </c>
      <c r="I1316" s="30"/>
      <c r="J1316" s="30"/>
      <c r="K1316" s="30"/>
      <c r="L1316" s="30"/>
      <c r="M1316" s="30"/>
      <c r="N1316" s="30"/>
      <c r="O1316" s="30"/>
      <c r="P1316" s="30"/>
      <c r="Q1316" s="31"/>
      <c r="R1316" s="31"/>
      <c r="S1316" s="31"/>
      <c r="T1316" s="32"/>
      <c r="U1316" s="32"/>
      <c r="V1316" s="32"/>
      <c r="W1316" s="32"/>
      <c r="X1316" s="32"/>
      <c r="Y1316" s="33"/>
      <c r="Z1316" s="33"/>
      <c r="AA1316" s="33"/>
    </row>
    <row r="1317" spans="1:27">
      <c r="A1317" s="29"/>
      <c r="B1317" s="19">
        <f t="shared" si="41"/>
        <v>46327</v>
      </c>
      <c r="C1317" s="27">
        <f>I1317+J1317+K1317+L1317+M1317+N1317+O1317+P1317+IF(Q1317="",0,Q1317*サマリー!$B$9)+IF(R1317="",0,IF(R1317=200,サマリー!$B$10,IF(R1317=100,サマリー!$B$11,0)))+IF(S1317="",0,S1317*サマリー!$B$12)</f>
        <v>0</v>
      </c>
      <c r="D1317" s="27">
        <f>T1317+U1317+V1317+W1317+X1317+IF(Y1317="",0,Y1317*サマリー!$B$9)+IF(Z1317="",0,IF(Z1317=200,サマリー!$B$10,IF(Z1317=100,サマリー!$B$11,0)))+IF(AA1317="",0,AA1317*サマリー!$B$12)</f>
        <v>0</v>
      </c>
      <c r="E1317" s="27">
        <f t="shared" si="40"/>
        <v>0</v>
      </c>
      <c r="I1317" s="30"/>
      <c r="J1317" s="30"/>
      <c r="K1317" s="30"/>
      <c r="L1317" s="30"/>
      <c r="M1317" s="30"/>
      <c r="N1317" s="30"/>
      <c r="O1317" s="30"/>
      <c r="P1317" s="30"/>
      <c r="Q1317" s="31"/>
      <c r="R1317" s="31"/>
      <c r="S1317" s="31"/>
      <c r="T1317" s="32"/>
      <c r="U1317" s="32"/>
      <c r="V1317" s="32"/>
      <c r="W1317" s="32"/>
      <c r="X1317" s="32"/>
      <c r="Y1317" s="33"/>
      <c r="Z1317" s="33"/>
      <c r="AA1317" s="33"/>
    </row>
    <row r="1318" spans="1:27">
      <c r="A1318" s="29"/>
      <c r="B1318" s="19">
        <f t="shared" si="41"/>
        <v>46327</v>
      </c>
      <c r="C1318" s="27">
        <f>I1318+J1318+K1318+L1318+M1318+N1318+O1318+P1318+IF(Q1318="",0,Q1318*サマリー!$B$9)+IF(R1318="",0,IF(R1318=200,サマリー!$B$10,IF(R1318=100,サマリー!$B$11,0)))+IF(S1318="",0,S1318*サマリー!$B$12)</f>
        <v>0</v>
      </c>
      <c r="D1318" s="27">
        <f>T1318+U1318+V1318+W1318+X1318+IF(Y1318="",0,Y1318*サマリー!$B$9)+IF(Z1318="",0,IF(Z1318=200,サマリー!$B$10,IF(Z1318=100,サマリー!$B$11,0)))+IF(AA1318="",0,AA1318*サマリー!$B$12)</f>
        <v>0</v>
      </c>
      <c r="E1318" s="27">
        <f t="shared" si="40"/>
        <v>0</v>
      </c>
      <c r="I1318" s="30"/>
      <c r="J1318" s="30"/>
      <c r="K1318" s="30"/>
      <c r="L1318" s="30"/>
      <c r="M1318" s="30"/>
      <c r="N1318" s="30"/>
      <c r="O1318" s="30"/>
      <c r="P1318" s="30"/>
      <c r="Q1318" s="31"/>
      <c r="R1318" s="31"/>
      <c r="S1318" s="31"/>
      <c r="T1318" s="32"/>
      <c r="U1318" s="32"/>
      <c r="V1318" s="32"/>
      <c r="W1318" s="32"/>
      <c r="X1318" s="32"/>
      <c r="Y1318" s="33"/>
      <c r="Z1318" s="33"/>
      <c r="AA1318" s="33"/>
    </row>
    <row r="1319" spans="1:27">
      <c r="A1319" s="29"/>
      <c r="B1319" s="19">
        <f t="shared" si="41"/>
        <v>46327</v>
      </c>
      <c r="C1319" s="27">
        <f>I1319+J1319+K1319+L1319+M1319+N1319+O1319+P1319+IF(Q1319="",0,Q1319*サマリー!$B$9)+IF(R1319="",0,IF(R1319=200,サマリー!$B$10,IF(R1319=100,サマリー!$B$11,0)))+IF(S1319="",0,S1319*サマリー!$B$12)</f>
        <v>0</v>
      </c>
      <c r="D1319" s="27">
        <f>T1319+U1319+V1319+W1319+X1319+IF(Y1319="",0,Y1319*サマリー!$B$9)+IF(Z1319="",0,IF(Z1319=200,サマリー!$B$10,IF(Z1319=100,サマリー!$B$11,0)))+IF(AA1319="",0,AA1319*サマリー!$B$12)</f>
        <v>0</v>
      </c>
      <c r="E1319" s="27">
        <f t="shared" si="40"/>
        <v>0</v>
      </c>
      <c r="I1319" s="30"/>
      <c r="J1319" s="30"/>
      <c r="K1319" s="30"/>
      <c r="L1319" s="30"/>
      <c r="M1319" s="30"/>
      <c r="N1319" s="30"/>
      <c r="O1319" s="30"/>
      <c r="P1319" s="30"/>
      <c r="Q1319" s="31"/>
      <c r="R1319" s="31"/>
      <c r="S1319" s="31"/>
      <c r="T1319" s="32"/>
      <c r="U1319" s="32"/>
      <c r="V1319" s="32"/>
      <c r="W1319" s="32"/>
      <c r="X1319" s="32"/>
      <c r="Y1319" s="33"/>
      <c r="Z1319" s="33"/>
      <c r="AA1319" s="33"/>
    </row>
    <row r="1320" spans="1:27">
      <c r="A1320" s="29"/>
      <c r="B1320" s="19">
        <f t="shared" si="41"/>
        <v>46327</v>
      </c>
      <c r="C1320" s="27">
        <f>I1320+J1320+K1320+L1320+M1320+N1320+O1320+P1320+IF(Q1320="",0,Q1320*サマリー!$B$9)+IF(R1320="",0,IF(R1320=200,サマリー!$B$10,IF(R1320=100,サマリー!$B$11,0)))+IF(S1320="",0,S1320*サマリー!$B$12)</f>
        <v>0</v>
      </c>
      <c r="D1320" s="27">
        <f>T1320+U1320+V1320+W1320+X1320+IF(Y1320="",0,Y1320*サマリー!$B$9)+IF(Z1320="",0,IF(Z1320=200,サマリー!$B$10,IF(Z1320=100,サマリー!$B$11,0)))+IF(AA1320="",0,AA1320*サマリー!$B$12)</f>
        <v>0</v>
      </c>
      <c r="E1320" s="27">
        <f t="shared" si="40"/>
        <v>0</v>
      </c>
      <c r="I1320" s="30"/>
      <c r="J1320" s="30"/>
      <c r="K1320" s="30"/>
      <c r="L1320" s="30"/>
      <c r="M1320" s="30"/>
      <c r="N1320" s="30"/>
      <c r="O1320" s="30"/>
      <c r="P1320" s="30"/>
      <c r="Q1320" s="31"/>
      <c r="R1320" s="31"/>
      <c r="S1320" s="31"/>
      <c r="T1320" s="32"/>
      <c r="U1320" s="32"/>
      <c r="V1320" s="32"/>
      <c r="W1320" s="32"/>
      <c r="X1320" s="32"/>
      <c r="Y1320" s="33"/>
      <c r="Z1320" s="33"/>
      <c r="AA1320" s="33"/>
    </row>
    <row r="1321" spans="1:27">
      <c r="A1321" s="29"/>
      <c r="B1321" s="19">
        <f t="shared" si="41"/>
        <v>46327</v>
      </c>
      <c r="C1321" s="27">
        <f>I1321+J1321+K1321+L1321+M1321+N1321+O1321+P1321+IF(Q1321="",0,Q1321*サマリー!$B$9)+IF(R1321="",0,IF(R1321=200,サマリー!$B$10,IF(R1321=100,サマリー!$B$11,0)))+IF(S1321="",0,S1321*サマリー!$B$12)</f>
        <v>0</v>
      </c>
      <c r="D1321" s="27">
        <f>T1321+U1321+V1321+W1321+X1321+IF(Y1321="",0,Y1321*サマリー!$B$9)+IF(Z1321="",0,IF(Z1321=200,サマリー!$B$10,IF(Z1321=100,サマリー!$B$11,0)))+IF(AA1321="",0,AA1321*サマリー!$B$12)</f>
        <v>0</v>
      </c>
      <c r="E1321" s="27">
        <f t="shared" si="40"/>
        <v>0</v>
      </c>
      <c r="I1321" s="30"/>
      <c r="J1321" s="30"/>
      <c r="K1321" s="30"/>
      <c r="L1321" s="30"/>
      <c r="M1321" s="30"/>
      <c r="N1321" s="30"/>
      <c r="O1321" s="30"/>
      <c r="P1321" s="30"/>
      <c r="Q1321" s="31"/>
      <c r="R1321" s="31"/>
      <c r="S1321" s="31"/>
      <c r="T1321" s="32"/>
      <c r="U1321" s="32"/>
      <c r="V1321" s="32"/>
      <c r="W1321" s="32"/>
      <c r="X1321" s="32"/>
      <c r="Y1321" s="33"/>
      <c r="Z1321" s="33"/>
      <c r="AA1321" s="33"/>
    </row>
    <row r="1322" spans="1:27">
      <c r="A1322" s="29"/>
      <c r="B1322" s="19">
        <f t="shared" si="41"/>
        <v>46327</v>
      </c>
      <c r="C1322" s="27">
        <f>I1322+J1322+K1322+L1322+M1322+N1322+O1322+P1322+IF(Q1322="",0,Q1322*サマリー!$B$9)+IF(R1322="",0,IF(R1322=200,サマリー!$B$10,IF(R1322=100,サマリー!$B$11,0)))+IF(S1322="",0,S1322*サマリー!$B$12)</f>
        <v>0</v>
      </c>
      <c r="D1322" s="27">
        <f>T1322+U1322+V1322+W1322+X1322+IF(Y1322="",0,Y1322*サマリー!$B$9)+IF(Z1322="",0,IF(Z1322=200,サマリー!$B$10,IF(Z1322=100,サマリー!$B$11,0)))+IF(AA1322="",0,AA1322*サマリー!$B$12)</f>
        <v>0</v>
      </c>
      <c r="E1322" s="27">
        <f t="shared" si="40"/>
        <v>0</v>
      </c>
      <c r="I1322" s="30"/>
      <c r="J1322" s="30"/>
      <c r="K1322" s="30"/>
      <c r="L1322" s="30"/>
      <c r="M1322" s="30"/>
      <c r="N1322" s="30"/>
      <c r="O1322" s="30"/>
      <c r="P1322" s="30"/>
      <c r="Q1322" s="31"/>
      <c r="R1322" s="31"/>
      <c r="S1322" s="31"/>
      <c r="T1322" s="32"/>
      <c r="U1322" s="32"/>
      <c r="V1322" s="32"/>
      <c r="W1322" s="32"/>
      <c r="X1322" s="32"/>
      <c r="Y1322" s="33"/>
      <c r="Z1322" s="33"/>
      <c r="AA1322" s="33"/>
    </row>
    <row r="1323" spans="1:27">
      <c r="A1323" s="29"/>
      <c r="B1323" s="19">
        <f t="shared" si="41"/>
        <v>46327</v>
      </c>
      <c r="C1323" s="27">
        <f>I1323+J1323+K1323+L1323+M1323+N1323+O1323+P1323+IF(Q1323="",0,Q1323*サマリー!$B$9)+IF(R1323="",0,IF(R1323=200,サマリー!$B$10,IF(R1323=100,サマリー!$B$11,0)))+IF(S1323="",0,S1323*サマリー!$B$12)</f>
        <v>0</v>
      </c>
      <c r="D1323" s="27">
        <f>T1323+U1323+V1323+W1323+X1323+IF(Y1323="",0,Y1323*サマリー!$B$9)+IF(Z1323="",0,IF(Z1323=200,サマリー!$B$10,IF(Z1323=100,サマリー!$B$11,0)))+IF(AA1323="",0,AA1323*サマリー!$B$12)</f>
        <v>0</v>
      </c>
      <c r="E1323" s="27">
        <f t="shared" si="40"/>
        <v>0</v>
      </c>
      <c r="I1323" s="30"/>
      <c r="J1323" s="30"/>
      <c r="K1323" s="30"/>
      <c r="L1323" s="30"/>
      <c r="M1323" s="30"/>
      <c r="N1323" s="30"/>
      <c r="O1323" s="30"/>
      <c r="P1323" s="30"/>
      <c r="Q1323" s="31"/>
      <c r="R1323" s="31"/>
      <c r="S1323" s="31"/>
      <c r="T1323" s="32"/>
      <c r="U1323" s="32"/>
      <c r="V1323" s="32"/>
      <c r="W1323" s="32"/>
      <c r="X1323" s="32"/>
      <c r="Y1323" s="33"/>
      <c r="Z1323" s="33"/>
      <c r="AA1323" s="33"/>
    </row>
    <row r="1324" spans="1:27">
      <c r="A1324" s="29"/>
      <c r="B1324" s="19">
        <f t="shared" si="41"/>
        <v>46327</v>
      </c>
      <c r="C1324" s="27">
        <f>I1324+J1324+K1324+L1324+M1324+N1324+O1324+P1324+IF(Q1324="",0,Q1324*サマリー!$B$9)+IF(R1324="",0,IF(R1324=200,サマリー!$B$10,IF(R1324=100,サマリー!$B$11,0)))+IF(S1324="",0,S1324*サマリー!$B$12)</f>
        <v>0</v>
      </c>
      <c r="D1324" s="27">
        <f>T1324+U1324+V1324+W1324+X1324+IF(Y1324="",0,Y1324*サマリー!$B$9)+IF(Z1324="",0,IF(Z1324=200,サマリー!$B$10,IF(Z1324=100,サマリー!$B$11,0)))+IF(AA1324="",0,AA1324*サマリー!$B$12)</f>
        <v>0</v>
      </c>
      <c r="E1324" s="27">
        <f t="shared" si="40"/>
        <v>0</v>
      </c>
      <c r="I1324" s="30"/>
      <c r="J1324" s="30"/>
      <c r="K1324" s="30"/>
      <c r="L1324" s="30"/>
      <c r="M1324" s="30"/>
      <c r="N1324" s="30"/>
      <c r="O1324" s="30"/>
      <c r="P1324" s="30"/>
      <c r="Q1324" s="31"/>
      <c r="R1324" s="31"/>
      <c r="S1324" s="31"/>
      <c r="T1324" s="32"/>
      <c r="U1324" s="32"/>
      <c r="V1324" s="32"/>
      <c r="W1324" s="32"/>
      <c r="X1324" s="32"/>
      <c r="Y1324" s="33"/>
      <c r="Z1324" s="33"/>
      <c r="AA1324" s="33"/>
    </row>
    <row r="1325" spans="1:27">
      <c r="A1325" s="29"/>
      <c r="B1325" s="19">
        <f t="shared" si="41"/>
        <v>46327</v>
      </c>
      <c r="C1325" s="27">
        <f>I1325+J1325+K1325+L1325+M1325+N1325+O1325+P1325+IF(Q1325="",0,Q1325*サマリー!$B$9)+IF(R1325="",0,IF(R1325=200,サマリー!$B$10,IF(R1325=100,サマリー!$B$11,0)))+IF(S1325="",0,S1325*サマリー!$B$12)</f>
        <v>0</v>
      </c>
      <c r="D1325" s="27">
        <f>T1325+U1325+V1325+W1325+X1325+IF(Y1325="",0,Y1325*サマリー!$B$9)+IF(Z1325="",0,IF(Z1325=200,サマリー!$B$10,IF(Z1325=100,サマリー!$B$11,0)))+IF(AA1325="",0,AA1325*サマリー!$B$12)</f>
        <v>0</v>
      </c>
      <c r="E1325" s="27">
        <f t="shared" si="40"/>
        <v>0</v>
      </c>
      <c r="I1325" s="30"/>
      <c r="J1325" s="30"/>
      <c r="K1325" s="30"/>
      <c r="L1325" s="30"/>
      <c r="M1325" s="30"/>
      <c r="N1325" s="30"/>
      <c r="O1325" s="30"/>
      <c r="P1325" s="30"/>
      <c r="Q1325" s="31"/>
      <c r="R1325" s="31"/>
      <c r="S1325" s="31"/>
      <c r="T1325" s="32"/>
      <c r="U1325" s="32"/>
      <c r="V1325" s="32"/>
      <c r="W1325" s="32"/>
      <c r="X1325" s="32"/>
      <c r="Y1325" s="33"/>
      <c r="Z1325" s="33"/>
      <c r="AA1325" s="33"/>
    </row>
    <row r="1326" spans="1:27">
      <c r="A1326" s="29"/>
      <c r="B1326" s="19">
        <f t="shared" si="41"/>
        <v>46327</v>
      </c>
      <c r="C1326" s="27">
        <f>I1326+J1326+K1326+L1326+M1326+N1326+O1326+P1326+IF(Q1326="",0,Q1326*サマリー!$B$9)+IF(R1326="",0,IF(R1326=200,サマリー!$B$10,IF(R1326=100,サマリー!$B$11,0)))+IF(S1326="",0,S1326*サマリー!$B$12)</f>
        <v>0</v>
      </c>
      <c r="D1326" s="27">
        <f>T1326+U1326+V1326+W1326+X1326+IF(Y1326="",0,Y1326*サマリー!$B$9)+IF(Z1326="",0,IF(Z1326=200,サマリー!$B$10,IF(Z1326=100,サマリー!$B$11,0)))+IF(AA1326="",0,AA1326*サマリー!$B$12)</f>
        <v>0</v>
      </c>
      <c r="E1326" s="27">
        <f t="shared" si="40"/>
        <v>0</v>
      </c>
      <c r="I1326" s="30"/>
      <c r="J1326" s="30"/>
      <c r="K1326" s="30"/>
      <c r="L1326" s="30"/>
      <c r="M1326" s="30"/>
      <c r="N1326" s="30"/>
      <c r="O1326" s="30"/>
      <c r="P1326" s="30"/>
      <c r="Q1326" s="31"/>
      <c r="R1326" s="31"/>
      <c r="S1326" s="31"/>
      <c r="T1326" s="32"/>
      <c r="U1326" s="32"/>
      <c r="V1326" s="32"/>
      <c r="W1326" s="32"/>
      <c r="X1326" s="32"/>
      <c r="Y1326" s="33"/>
      <c r="Z1326" s="33"/>
      <c r="AA1326" s="33"/>
    </row>
    <row r="1327" spans="1:27">
      <c r="A1327" s="29"/>
      <c r="B1327" s="19">
        <f t="shared" si="41"/>
        <v>46327</v>
      </c>
      <c r="C1327" s="27">
        <f>I1327+J1327+K1327+L1327+M1327+N1327+O1327+P1327+IF(Q1327="",0,Q1327*サマリー!$B$9)+IF(R1327="",0,IF(R1327=200,サマリー!$B$10,IF(R1327=100,サマリー!$B$11,0)))+IF(S1327="",0,S1327*サマリー!$B$12)</f>
        <v>0</v>
      </c>
      <c r="D1327" s="27">
        <f>T1327+U1327+V1327+W1327+X1327+IF(Y1327="",0,Y1327*サマリー!$B$9)+IF(Z1327="",0,IF(Z1327=200,サマリー!$B$10,IF(Z1327=100,サマリー!$B$11,0)))+IF(AA1327="",0,AA1327*サマリー!$B$12)</f>
        <v>0</v>
      </c>
      <c r="E1327" s="27">
        <f t="shared" si="40"/>
        <v>0</v>
      </c>
      <c r="I1327" s="30"/>
      <c r="J1327" s="30"/>
      <c r="K1327" s="30"/>
      <c r="L1327" s="30"/>
      <c r="M1327" s="30"/>
      <c r="N1327" s="30"/>
      <c r="O1327" s="30"/>
      <c r="P1327" s="30"/>
      <c r="Q1327" s="31"/>
      <c r="R1327" s="31"/>
      <c r="S1327" s="31"/>
      <c r="T1327" s="32"/>
      <c r="U1327" s="32"/>
      <c r="V1327" s="32"/>
      <c r="W1327" s="32"/>
      <c r="X1327" s="32"/>
      <c r="Y1327" s="33"/>
      <c r="Z1327" s="33"/>
      <c r="AA1327" s="33"/>
    </row>
    <row r="1328" spans="1:27">
      <c r="A1328" s="29"/>
      <c r="B1328" s="19">
        <f t="shared" si="41"/>
        <v>46327</v>
      </c>
      <c r="C1328" s="27">
        <f>I1328+J1328+K1328+L1328+M1328+N1328+O1328+P1328+IF(Q1328="",0,Q1328*サマリー!$B$9)+IF(R1328="",0,IF(R1328=200,サマリー!$B$10,IF(R1328=100,サマリー!$B$11,0)))+IF(S1328="",0,S1328*サマリー!$B$12)</f>
        <v>0</v>
      </c>
      <c r="D1328" s="27">
        <f>T1328+U1328+V1328+W1328+X1328+IF(Y1328="",0,Y1328*サマリー!$B$9)+IF(Z1328="",0,IF(Z1328=200,サマリー!$B$10,IF(Z1328=100,サマリー!$B$11,0)))+IF(AA1328="",0,AA1328*サマリー!$B$12)</f>
        <v>0</v>
      </c>
      <c r="E1328" s="27">
        <f t="shared" si="40"/>
        <v>0</v>
      </c>
      <c r="I1328" s="30"/>
      <c r="J1328" s="30"/>
      <c r="K1328" s="30"/>
      <c r="L1328" s="30"/>
      <c r="M1328" s="30"/>
      <c r="N1328" s="30"/>
      <c r="O1328" s="30"/>
      <c r="P1328" s="30"/>
      <c r="Q1328" s="31"/>
      <c r="R1328" s="31"/>
      <c r="S1328" s="31"/>
      <c r="T1328" s="32"/>
      <c r="U1328" s="32"/>
      <c r="V1328" s="32"/>
      <c r="W1328" s="32"/>
      <c r="X1328" s="32"/>
      <c r="Y1328" s="33"/>
      <c r="Z1328" s="33"/>
      <c r="AA1328" s="33"/>
    </row>
    <row r="1329" spans="1:27">
      <c r="A1329" s="29"/>
      <c r="B1329" s="19">
        <f t="shared" si="41"/>
        <v>46327</v>
      </c>
      <c r="C1329" s="27">
        <f>I1329+J1329+K1329+L1329+M1329+N1329+O1329+P1329+IF(Q1329="",0,Q1329*サマリー!$B$9)+IF(R1329="",0,IF(R1329=200,サマリー!$B$10,IF(R1329=100,サマリー!$B$11,0)))+IF(S1329="",0,S1329*サマリー!$B$12)</f>
        <v>0</v>
      </c>
      <c r="D1329" s="27">
        <f>T1329+U1329+V1329+W1329+X1329+IF(Y1329="",0,Y1329*サマリー!$B$9)+IF(Z1329="",0,IF(Z1329=200,サマリー!$B$10,IF(Z1329=100,サマリー!$B$11,0)))+IF(AA1329="",0,AA1329*サマリー!$B$12)</f>
        <v>0</v>
      </c>
      <c r="E1329" s="27">
        <f t="shared" si="40"/>
        <v>0</v>
      </c>
      <c r="I1329" s="30"/>
      <c r="J1329" s="30"/>
      <c r="K1329" s="30"/>
      <c r="L1329" s="30"/>
      <c r="M1329" s="30"/>
      <c r="N1329" s="30"/>
      <c r="O1329" s="30"/>
      <c r="P1329" s="30"/>
      <c r="Q1329" s="31"/>
      <c r="R1329" s="31"/>
      <c r="S1329" s="31"/>
      <c r="T1329" s="32"/>
      <c r="U1329" s="32"/>
      <c r="V1329" s="32"/>
      <c r="W1329" s="32"/>
      <c r="X1329" s="32"/>
      <c r="Y1329" s="33"/>
      <c r="Z1329" s="33"/>
      <c r="AA1329" s="33"/>
    </row>
    <row r="1330" spans="1:27">
      <c r="A1330" s="29"/>
      <c r="B1330" s="19">
        <f t="shared" si="41"/>
        <v>46327</v>
      </c>
      <c r="C1330" s="27">
        <f>I1330+J1330+K1330+L1330+M1330+N1330+O1330+P1330+IF(Q1330="",0,Q1330*サマリー!$B$9)+IF(R1330="",0,IF(R1330=200,サマリー!$B$10,IF(R1330=100,サマリー!$B$11,0)))+IF(S1330="",0,S1330*サマリー!$B$12)</f>
        <v>0</v>
      </c>
      <c r="D1330" s="27">
        <f>T1330+U1330+V1330+W1330+X1330+IF(Y1330="",0,Y1330*サマリー!$B$9)+IF(Z1330="",0,IF(Z1330=200,サマリー!$B$10,IF(Z1330=100,サマリー!$B$11,0)))+IF(AA1330="",0,AA1330*サマリー!$B$12)</f>
        <v>0</v>
      </c>
      <c r="E1330" s="27">
        <f t="shared" si="40"/>
        <v>0</v>
      </c>
      <c r="I1330" s="30"/>
      <c r="J1330" s="30"/>
      <c r="K1330" s="30"/>
      <c r="L1330" s="30"/>
      <c r="M1330" s="30"/>
      <c r="N1330" s="30"/>
      <c r="O1330" s="30"/>
      <c r="P1330" s="30"/>
      <c r="Q1330" s="31"/>
      <c r="R1330" s="31"/>
      <c r="S1330" s="31"/>
      <c r="T1330" s="32"/>
      <c r="U1330" s="32"/>
      <c r="V1330" s="32"/>
      <c r="W1330" s="32"/>
      <c r="X1330" s="32"/>
      <c r="Y1330" s="33"/>
      <c r="Z1330" s="33"/>
      <c r="AA1330" s="33"/>
    </row>
    <row r="1331" spans="1:27">
      <c r="A1331" s="29"/>
      <c r="B1331" s="19">
        <f t="shared" si="41"/>
        <v>46327</v>
      </c>
      <c r="C1331" s="27">
        <f>I1331+J1331+K1331+L1331+M1331+N1331+O1331+P1331+IF(Q1331="",0,Q1331*サマリー!$B$9)+IF(R1331="",0,IF(R1331=200,サマリー!$B$10,IF(R1331=100,サマリー!$B$11,0)))+IF(S1331="",0,S1331*サマリー!$B$12)</f>
        <v>0</v>
      </c>
      <c r="D1331" s="27">
        <f>T1331+U1331+V1331+W1331+X1331+IF(Y1331="",0,Y1331*サマリー!$B$9)+IF(Z1331="",0,IF(Z1331=200,サマリー!$B$10,IF(Z1331=100,サマリー!$B$11,0)))+IF(AA1331="",0,AA1331*サマリー!$B$12)</f>
        <v>0</v>
      </c>
      <c r="E1331" s="27">
        <f t="shared" si="40"/>
        <v>0</v>
      </c>
      <c r="I1331" s="30"/>
      <c r="J1331" s="30"/>
      <c r="K1331" s="30"/>
      <c r="L1331" s="30"/>
      <c r="M1331" s="30"/>
      <c r="N1331" s="30"/>
      <c r="O1331" s="30"/>
      <c r="P1331" s="30"/>
      <c r="Q1331" s="31"/>
      <c r="R1331" s="31"/>
      <c r="S1331" s="31"/>
      <c r="T1331" s="32"/>
      <c r="U1331" s="32"/>
      <c r="V1331" s="32"/>
      <c r="W1331" s="32"/>
      <c r="X1331" s="32"/>
      <c r="Y1331" s="33"/>
      <c r="Z1331" s="33"/>
      <c r="AA1331" s="33"/>
    </row>
    <row r="1332" spans="1:27">
      <c r="A1332" s="29"/>
      <c r="B1332" s="19">
        <f t="shared" si="41"/>
        <v>46327</v>
      </c>
      <c r="C1332" s="27">
        <f>I1332+J1332+K1332+L1332+M1332+N1332+O1332+P1332+IF(Q1332="",0,Q1332*サマリー!$B$9)+IF(R1332="",0,IF(R1332=200,サマリー!$B$10,IF(R1332=100,サマリー!$B$11,0)))+IF(S1332="",0,S1332*サマリー!$B$12)</f>
        <v>0</v>
      </c>
      <c r="D1332" s="27">
        <f>T1332+U1332+V1332+W1332+X1332+IF(Y1332="",0,Y1332*サマリー!$B$9)+IF(Z1332="",0,IF(Z1332=200,サマリー!$B$10,IF(Z1332=100,サマリー!$B$11,0)))+IF(AA1332="",0,AA1332*サマリー!$B$12)</f>
        <v>0</v>
      </c>
      <c r="E1332" s="27">
        <f t="shared" si="40"/>
        <v>0</v>
      </c>
      <c r="I1332" s="30"/>
      <c r="J1332" s="30"/>
      <c r="K1332" s="30"/>
      <c r="L1332" s="30"/>
      <c r="M1332" s="30"/>
      <c r="N1332" s="30"/>
      <c r="O1332" s="30"/>
      <c r="P1332" s="30"/>
      <c r="Q1332" s="31"/>
      <c r="R1332" s="31"/>
      <c r="S1332" s="31"/>
      <c r="T1332" s="32"/>
      <c r="U1332" s="32"/>
      <c r="V1332" s="32"/>
      <c r="W1332" s="32"/>
      <c r="X1332" s="32"/>
      <c r="Y1332" s="33"/>
      <c r="Z1332" s="33"/>
      <c r="AA1332" s="33"/>
    </row>
    <row r="1333" spans="1:27">
      <c r="A1333" s="29"/>
      <c r="B1333" s="19">
        <f t="shared" si="41"/>
        <v>46327</v>
      </c>
      <c r="C1333" s="27">
        <f>I1333+J1333+K1333+L1333+M1333+N1333+O1333+P1333+IF(Q1333="",0,Q1333*サマリー!$B$9)+IF(R1333="",0,IF(R1333=200,サマリー!$B$10,IF(R1333=100,サマリー!$B$11,0)))+IF(S1333="",0,S1333*サマリー!$B$12)</f>
        <v>0</v>
      </c>
      <c r="D1333" s="27">
        <f>T1333+U1333+V1333+W1333+X1333+IF(Y1333="",0,Y1333*サマリー!$B$9)+IF(Z1333="",0,IF(Z1333=200,サマリー!$B$10,IF(Z1333=100,サマリー!$B$11,0)))+IF(AA1333="",0,AA1333*サマリー!$B$12)</f>
        <v>0</v>
      </c>
      <c r="E1333" s="27">
        <f t="shared" si="40"/>
        <v>0</v>
      </c>
      <c r="I1333" s="30"/>
      <c r="J1333" s="30"/>
      <c r="K1333" s="30"/>
      <c r="L1333" s="30"/>
      <c r="M1333" s="30"/>
      <c r="N1333" s="30"/>
      <c r="O1333" s="30"/>
      <c r="P1333" s="30"/>
      <c r="Q1333" s="31"/>
      <c r="R1333" s="31"/>
      <c r="S1333" s="31"/>
      <c r="T1333" s="32"/>
      <c r="U1333" s="32"/>
      <c r="V1333" s="32"/>
      <c r="W1333" s="32"/>
      <c r="X1333" s="32"/>
      <c r="Y1333" s="33"/>
      <c r="Z1333" s="33"/>
      <c r="AA1333" s="33"/>
    </row>
    <row r="1334" spans="1:27">
      <c r="A1334" s="29"/>
      <c r="B1334" s="19">
        <f t="shared" si="41"/>
        <v>46327</v>
      </c>
      <c r="C1334" s="27">
        <f>I1334+J1334+K1334+L1334+M1334+N1334+O1334+P1334+IF(Q1334="",0,Q1334*サマリー!$B$9)+IF(R1334="",0,IF(R1334=200,サマリー!$B$10,IF(R1334=100,サマリー!$B$11,0)))+IF(S1334="",0,S1334*サマリー!$B$12)</f>
        <v>0</v>
      </c>
      <c r="D1334" s="27">
        <f>T1334+U1334+V1334+W1334+X1334+IF(Y1334="",0,Y1334*サマリー!$B$9)+IF(Z1334="",0,IF(Z1334=200,サマリー!$B$10,IF(Z1334=100,サマリー!$B$11,0)))+IF(AA1334="",0,AA1334*サマリー!$B$12)</f>
        <v>0</v>
      </c>
      <c r="E1334" s="27">
        <f t="shared" si="40"/>
        <v>0</v>
      </c>
      <c r="I1334" s="30"/>
      <c r="J1334" s="30"/>
      <c r="K1334" s="30"/>
      <c r="L1334" s="30"/>
      <c r="M1334" s="30"/>
      <c r="N1334" s="30"/>
      <c r="O1334" s="30"/>
      <c r="P1334" s="30"/>
      <c r="Q1334" s="31"/>
      <c r="R1334" s="31"/>
      <c r="S1334" s="31"/>
      <c r="T1334" s="32"/>
      <c r="U1334" s="32"/>
      <c r="V1334" s="32"/>
      <c r="W1334" s="32"/>
      <c r="X1334" s="32"/>
      <c r="Y1334" s="33"/>
      <c r="Z1334" s="33"/>
      <c r="AA1334" s="33"/>
    </row>
    <row r="1335" spans="1:27">
      <c r="A1335" s="29"/>
      <c r="B1335" s="19">
        <f t="shared" si="41"/>
        <v>46327</v>
      </c>
      <c r="C1335" s="27">
        <f>I1335+J1335+K1335+L1335+M1335+N1335+O1335+P1335+IF(Q1335="",0,Q1335*サマリー!$B$9)+IF(R1335="",0,IF(R1335=200,サマリー!$B$10,IF(R1335=100,サマリー!$B$11,0)))+IF(S1335="",0,S1335*サマリー!$B$12)</f>
        <v>0</v>
      </c>
      <c r="D1335" s="27">
        <f>T1335+U1335+V1335+W1335+X1335+IF(Y1335="",0,Y1335*サマリー!$B$9)+IF(Z1335="",0,IF(Z1335=200,サマリー!$B$10,IF(Z1335=100,サマリー!$B$11,0)))+IF(AA1335="",0,AA1335*サマリー!$B$12)</f>
        <v>0</v>
      </c>
      <c r="E1335" s="27">
        <f t="shared" si="40"/>
        <v>0</v>
      </c>
      <c r="I1335" s="30"/>
      <c r="J1335" s="30"/>
      <c r="K1335" s="30"/>
      <c r="L1335" s="30"/>
      <c r="M1335" s="30"/>
      <c r="N1335" s="30"/>
      <c r="O1335" s="30"/>
      <c r="P1335" s="30"/>
      <c r="Q1335" s="31"/>
      <c r="R1335" s="31"/>
      <c r="S1335" s="31"/>
      <c r="T1335" s="32"/>
      <c r="U1335" s="32"/>
      <c r="V1335" s="32"/>
      <c r="W1335" s="32"/>
      <c r="X1335" s="32"/>
      <c r="Y1335" s="33"/>
      <c r="Z1335" s="33"/>
      <c r="AA1335" s="33"/>
    </row>
    <row r="1336" spans="1:27">
      <c r="A1336" s="29"/>
      <c r="B1336" s="19">
        <f t="shared" si="41"/>
        <v>46327</v>
      </c>
      <c r="C1336" s="27">
        <f>I1336+J1336+K1336+L1336+M1336+N1336+O1336+P1336+IF(Q1336="",0,Q1336*サマリー!$B$9)+IF(R1336="",0,IF(R1336=200,サマリー!$B$10,IF(R1336=100,サマリー!$B$11,0)))+IF(S1336="",0,S1336*サマリー!$B$12)</f>
        <v>0</v>
      </c>
      <c r="D1336" s="27">
        <f>T1336+U1336+V1336+W1336+X1336+IF(Y1336="",0,Y1336*サマリー!$B$9)+IF(Z1336="",0,IF(Z1336=200,サマリー!$B$10,IF(Z1336=100,サマリー!$B$11,0)))+IF(AA1336="",0,AA1336*サマリー!$B$12)</f>
        <v>0</v>
      </c>
      <c r="E1336" s="27">
        <f t="shared" si="40"/>
        <v>0</v>
      </c>
      <c r="I1336" s="30"/>
      <c r="J1336" s="30"/>
      <c r="K1336" s="30"/>
      <c r="L1336" s="30"/>
      <c r="M1336" s="30"/>
      <c r="N1336" s="30"/>
      <c r="O1336" s="30"/>
      <c r="P1336" s="30"/>
      <c r="Q1336" s="31"/>
      <c r="R1336" s="31"/>
      <c r="S1336" s="31"/>
      <c r="T1336" s="32"/>
      <c r="U1336" s="32"/>
      <c r="V1336" s="32"/>
      <c r="W1336" s="32"/>
      <c r="X1336" s="32"/>
      <c r="Y1336" s="33"/>
      <c r="Z1336" s="33"/>
      <c r="AA1336" s="33"/>
    </row>
    <row r="1337" spans="1:27">
      <c r="A1337" s="29"/>
      <c r="B1337" s="19">
        <f t="shared" si="41"/>
        <v>46327</v>
      </c>
      <c r="C1337" s="27">
        <f>I1337+J1337+K1337+L1337+M1337+N1337+O1337+P1337+IF(Q1337="",0,Q1337*サマリー!$B$9)+IF(R1337="",0,IF(R1337=200,サマリー!$B$10,IF(R1337=100,サマリー!$B$11,0)))+IF(S1337="",0,S1337*サマリー!$B$12)</f>
        <v>0</v>
      </c>
      <c r="D1337" s="27">
        <f>T1337+U1337+V1337+W1337+X1337+IF(Y1337="",0,Y1337*サマリー!$B$9)+IF(Z1337="",0,IF(Z1337=200,サマリー!$B$10,IF(Z1337=100,サマリー!$B$11,0)))+IF(AA1337="",0,AA1337*サマリー!$B$12)</f>
        <v>0</v>
      </c>
      <c r="E1337" s="27">
        <f t="shared" si="40"/>
        <v>0</v>
      </c>
      <c r="I1337" s="30"/>
      <c r="J1337" s="30"/>
      <c r="K1337" s="30"/>
      <c r="L1337" s="30"/>
      <c r="M1337" s="30"/>
      <c r="N1337" s="30"/>
      <c r="O1337" s="30"/>
      <c r="P1337" s="30"/>
      <c r="Q1337" s="31"/>
      <c r="R1337" s="31"/>
      <c r="S1337" s="31"/>
      <c r="T1337" s="32"/>
      <c r="U1337" s="32"/>
      <c r="V1337" s="32"/>
      <c r="W1337" s="32"/>
      <c r="X1337" s="32"/>
      <c r="Y1337" s="33"/>
      <c r="Z1337" s="33"/>
      <c r="AA1337" s="33"/>
    </row>
    <row r="1338" spans="1:27">
      <c r="A1338" s="29"/>
      <c r="B1338" s="19">
        <f t="shared" si="41"/>
        <v>46327</v>
      </c>
      <c r="C1338" s="27">
        <f>I1338+J1338+K1338+L1338+M1338+N1338+O1338+P1338+IF(Q1338="",0,Q1338*サマリー!$B$9)+IF(R1338="",0,IF(R1338=200,サマリー!$B$10,IF(R1338=100,サマリー!$B$11,0)))+IF(S1338="",0,S1338*サマリー!$B$12)</f>
        <v>0</v>
      </c>
      <c r="D1338" s="27">
        <f>T1338+U1338+V1338+W1338+X1338+IF(Y1338="",0,Y1338*サマリー!$B$9)+IF(Z1338="",0,IF(Z1338=200,サマリー!$B$10,IF(Z1338=100,サマリー!$B$11,0)))+IF(AA1338="",0,AA1338*サマリー!$B$12)</f>
        <v>0</v>
      </c>
      <c r="E1338" s="27">
        <f t="shared" si="40"/>
        <v>0</v>
      </c>
      <c r="I1338" s="30"/>
      <c r="J1338" s="30"/>
      <c r="K1338" s="30"/>
      <c r="L1338" s="30"/>
      <c r="M1338" s="30"/>
      <c r="N1338" s="30"/>
      <c r="O1338" s="30"/>
      <c r="P1338" s="30"/>
      <c r="Q1338" s="31"/>
      <c r="R1338" s="31"/>
      <c r="S1338" s="31"/>
      <c r="T1338" s="32"/>
      <c r="U1338" s="32"/>
      <c r="V1338" s="32"/>
      <c r="W1338" s="32"/>
      <c r="X1338" s="32"/>
      <c r="Y1338" s="33"/>
      <c r="Z1338" s="33"/>
      <c r="AA1338" s="33"/>
    </row>
    <row r="1339" spans="1:27">
      <c r="A1339" s="29"/>
      <c r="B1339" s="19">
        <f t="shared" si="41"/>
        <v>46327</v>
      </c>
      <c r="C1339" s="27">
        <f>I1339+J1339+K1339+L1339+M1339+N1339+O1339+P1339+IF(Q1339="",0,Q1339*サマリー!$B$9)+IF(R1339="",0,IF(R1339=200,サマリー!$B$10,IF(R1339=100,サマリー!$B$11,0)))+IF(S1339="",0,S1339*サマリー!$B$12)</f>
        <v>0</v>
      </c>
      <c r="D1339" s="27">
        <f>T1339+U1339+V1339+W1339+X1339+IF(Y1339="",0,Y1339*サマリー!$B$9)+IF(Z1339="",0,IF(Z1339=200,サマリー!$B$10,IF(Z1339=100,サマリー!$B$11,0)))+IF(AA1339="",0,AA1339*サマリー!$B$12)</f>
        <v>0</v>
      </c>
      <c r="E1339" s="27">
        <f t="shared" si="40"/>
        <v>0</v>
      </c>
      <c r="I1339" s="30"/>
      <c r="J1339" s="30"/>
      <c r="K1339" s="30"/>
      <c r="L1339" s="30"/>
      <c r="M1339" s="30"/>
      <c r="N1339" s="30"/>
      <c r="O1339" s="30"/>
      <c r="P1339" s="30"/>
      <c r="Q1339" s="31"/>
      <c r="R1339" s="31"/>
      <c r="S1339" s="31"/>
      <c r="T1339" s="32"/>
      <c r="U1339" s="32"/>
      <c r="V1339" s="32"/>
      <c r="W1339" s="32"/>
      <c r="X1339" s="32"/>
      <c r="Y1339" s="33"/>
      <c r="Z1339" s="33"/>
      <c r="AA1339" s="33"/>
    </row>
    <row r="1340" spans="1:27">
      <c r="A1340" s="29"/>
      <c r="B1340" s="19">
        <f t="shared" si="41"/>
        <v>46327</v>
      </c>
      <c r="C1340" s="27">
        <f>I1340+J1340+K1340+L1340+M1340+N1340+O1340+P1340+IF(Q1340="",0,Q1340*サマリー!$B$9)+IF(R1340="",0,IF(R1340=200,サマリー!$B$10,IF(R1340=100,サマリー!$B$11,0)))+IF(S1340="",0,S1340*サマリー!$B$12)</f>
        <v>0</v>
      </c>
      <c r="D1340" s="27">
        <f>T1340+U1340+V1340+W1340+X1340+IF(Y1340="",0,Y1340*サマリー!$B$9)+IF(Z1340="",0,IF(Z1340=200,サマリー!$B$10,IF(Z1340=100,サマリー!$B$11,0)))+IF(AA1340="",0,AA1340*サマリー!$B$12)</f>
        <v>0</v>
      </c>
      <c r="E1340" s="27">
        <f t="shared" si="40"/>
        <v>0</v>
      </c>
      <c r="I1340" s="30"/>
      <c r="J1340" s="30"/>
      <c r="K1340" s="30"/>
      <c r="L1340" s="30"/>
      <c r="M1340" s="30"/>
      <c r="N1340" s="30"/>
      <c r="O1340" s="30"/>
      <c r="P1340" s="30"/>
      <c r="Q1340" s="31"/>
      <c r="R1340" s="31"/>
      <c r="S1340" s="31"/>
      <c r="T1340" s="32"/>
      <c r="U1340" s="32"/>
      <c r="V1340" s="32"/>
      <c r="W1340" s="32"/>
      <c r="X1340" s="32"/>
      <c r="Y1340" s="33"/>
      <c r="Z1340" s="33"/>
      <c r="AA1340" s="33"/>
    </row>
    <row r="1341" spans="1:27">
      <c r="A1341" s="29"/>
      <c r="B1341" s="19">
        <f t="shared" si="41"/>
        <v>46327</v>
      </c>
      <c r="C1341" s="27">
        <f>I1341+J1341+K1341+L1341+M1341+N1341+O1341+P1341+IF(Q1341="",0,Q1341*サマリー!$B$9)+IF(R1341="",0,IF(R1341=200,サマリー!$B$10,IF(R1341=100,サマリー!$B$11,0)))+IF(S1341="",0,S1341*サマリー!$B$12)</f>
        <v>0</v>
      </c>
      <c r="D1341" s="27">
        <f>T1341+U1341+V1341+W1341+X1341+IF(Y1341="",0,Y1341*サマリー!$B$9)+IF(Z1341="",0,IF(Z1341=200,サマリー!$B$10,IF(Z1341=100,サマリー!$B$11,0)))+IF(AA1341="",0,AA1341*サマリー!$B$12)</f>
        <v>0</v>
      </c>
      <c r="E1341" s="27">
        <f t="shared" si="40"/>
        <v>0</v>
      </c>
      <c r="I1341" s="30"/>
      <c r="J1341" s="30"/>
      <c r="K1341" s="30"/>
      <c r="L1341" s="30"/>
      <c r="M1341" s="30"/>
      <c r="N1341" s="30"/>
      <c r="O1341" s="30"/>
      <c r="P1341" s="30"/>
      <c r="Q1341" s="31"/>
      <c r="R1341" s="31"/>
      <c r="S1341" s="31"/>
      <c r="T1341" s="32"/>
      <c r="U1341" s="32"/>
      <c r="V1341" s="32"/>
      <c r="W1341" s="32"/>
      <c r="X1341" s="32"/>
      <c r="Y1341" s="33"/>
      <c r="Z1341" s="33"/>
      <c r="AA1341" s="33"/>
    </row>
    <row r="1342" spans="1:27">
      <c r="A1342" s="29"/>
      <c r="B1342" s="19">
        <f t="shared" si="41"/>
        <v>46327</v>
      </c>
      <c r="C1342" s="27">
        <f>I1342+J1342+K1342+L1342+M1342+N1342+O1342+P1342+IF(Q1342="",0,Q1342*サマリー!$B$9)+IF(R1342="",0,IF(R1342=200,サマリー!$B$10,IF(R1342=100,サマリー!$B$11,0)))+IF(S1342="",0,S1342*サマリー!$B$12)</f>
        <v>0</v>
      </c>
      <c r="D1342" s="27">
        <f>T1342+U1342+V1342+W1342+X1342+IF(Y1342="",0,Y1342*サマリー!$B$9)+IF(Z1342="",0,IF(Z1342=200,サマリー!$B$10,IF(Z1342=100,サマリー!$B$11,0)))+IF(AA1342="",0,AA1342*サマリー!$B$12)</f>
        <v>0</v>
      </c>
      <c r="E1342" s="27">
        <f t="shared" si="40"/>
        <v>0</v>
      </c>
      <c r="I1342" s="30"/>
      <c r="J1342" s="30"/>
      <c r="K1342" s="30"/>
      <c r="L1342" s="30"/>
      <c r="M1342" s="30"/>
      <c r="N1342" s="30"/>
      <c r="O1342" s="30"/>
      <c r="P1342" s="30"/>
      <c r="Q1342" s="31"/>
      <c r="R1342" s="31"/>
      <c r="S1342" s="31"/>
      <c r="T1342" s="32"/>
      <c r="U1342" s="32"/>
      <c r="V1342" s="32"/>
      <c r="W1342" s="32"/>
      <c r="X1342" s="32"/>
      <c r="Y1342" s="33"/>
      <c r="Z1342" s="33"/>
      <c r="AA1342" s="33"/>
    </row>
    <row r="1343" spans="1:27">
      <c r="A1343" s="29"/>
      <c r="B1343" s="19">
        <f t="shared" si="41"/>
        <v>46327</v>
      </c>
      <c r="C1343" s="27">
        <f>I1343+J1343+K1343+L1343+M1343+N1343+O1343+P1343+IF(Q1343="",0,Q1343*サマリー!$B$9)+IF(R1343="",0,IF(R1343=200,サマリー!$B$10,IF(R1343=100,サマリー!$B$11,0)))+IF(S1343="",0,S1343*サマリー!$B$12)</f>
        <v>0</v>
      </c>
      <c r="D1343" s="27">
        <f>T1343+U1343+V1343+W1343+X1343+IF(Y1343="",0,Y1343*サマリー!$B$9)+IF(Z1343="",0,IF(Z1343=200,サマリー!$B$10,IF(Z1343=100,サマリー!$B$11,0)))+IF(AA1343="",0,AA1343*サマリー!$B$12)</f>
        <v>0</v>
      </c>
      <c r="E1343" s="27">
        <f t="shared" si="40"/>
        <v>0</v>
      </c>
      <c r="I1343" s="30"/>
      <c r="J1343" s="30"/>
      <c r="K1343" s="30"/>
      <c r="L1343" s="30"/>
      <c r="M1343" s="30"/>
      <c r="N1343" s="30"/>
      <c r="O1343" s="30"/>
      <c r="P1343" s="30"/>
      <c r="Q1343" s="31"/>
      <c r="R1343" s="31"/>
      <c r="S1343" s="31"/>
      <c r="T1343" s="32"/>
      <c r="U1343" s="32"/>
      <c r="V1343" s="32"/>
      <c r="W1343" s="32"/>
      <c r="X1343" s="32"/>
      <c r="Y1343" s="33"/>
      <c r="Z1343" s="33"/>
      <c r="AA1343" s="33"/>
    </row>
    <row r="1344" spans="1:27">
      <c r="A1344" s="29"/>
      <c r="B1344" s="19">
        <f t="shared" si="41"/>
        <v>46327</v>
      </c>
      <c r="C1344" s="27">
        <f>I1344+J1344+K1344+L1344+M1344+N1344+O1344+P1344+IF(Q1344="",0,Q1344*サマリー!$B$9)+IF(R1344="",0,IF(R1344=200,サマリー!$B$10,IF(R1344=100,サマリー!$B$11,0)))+IF(S1344="",0,S1344*サマリー!$B$12)</f>
        <v>0</v>
      </c>
      <c r="D1344" s="27">
        <f>T1344+U1344+V1344+W1344+X1344+IF(Y1344="",0,Y1344*サマリー!$B$9)+IF(Z1344="",0,IF(Z1344=200,サマリー!$B$10,IF(Z1344=100,サマリー!$B$11,0)))+IF(AA1344="",0,AA1344*サマリー!$B$12)</f>
        <v>0</v>
      </c>
      <c r="E1344" s="27">
        <f t="shared" si="40"/>
        <v>0</v>
      </c>
      <c r="I1344" s="30"/>
      <c r="J1344" s="30"/>
      <c r="K1344" s="30"/>
      <c r="L1344" s="30"/>
      <c r="M1344" s="30"/>
      <c r="N1344" s="30"/>
      <c r="O1344" s="30"/>
      <c r="P1344" s="30"/>
      <c r="Q1344" s="31"/>
      <c r="R1344" s="31"/>
      <c r="S1344" s="31"/>
      <c r="T1344" s="32"/>
      <c r="U1344" s="32"/>
      <c r="V1344" s="32"/>
      <c r="W1344" s="32"/>
      <c r="X1344" s="32"/>
      <c r="Y1344" s="33"/>
      <c r="Z1344" s="33"/>
      <c r="AA1344" s="33"/>
    </row>
    <row r="1345" spans="1:27">
      <c r="A1345" s="29"/>
      <c r="B1345" s="19">
        <f t="shared" si="41"/>
        <v>46327</v>
      </c>
      <c r="C1345" s="27">
        <f>I1345+J1345+K1345+L1345+M1345+N1345+O1345+P1345+IF(Q1345="",0,Q1345*サマリー!$B$9)+IF(R1345="",0,IF(R1345=200,サマリー!$B$10,IF(R1345=100,サマリー!$B$11,0)))+IF(S1345="",0,S1345*サマリー!$B$12)</f>
        <v>0</v>
      </c>
      <c r="D1345" s="27">
        <f>T1345+U1345+V1345+W1345+X1345+IF(Y1345="",0,Y1345*サマリー!$B$9)+IF(Z1345="",0,IF(Z1345=200,サマリー!$B$10,IF(Z1345=100,サマリー!$B$11,0)))+IF(AA1345="",0,AA1345*サマリー!$B$12)</f>
        <v>0</v>
      </c>
      <c r="E1345" s="27">
        <f t="shared" si="40"/>
        <v>0</v>
      </c>
      <c r="I1345" s="30"/>
      <c r="J1345" s="30"/>
      <c r="K1345" s="30"/>
      <c r="L1345" s="30"/>
      <c r="M1345" s="30"/>
      <c r="N1345" s="30"/>
      <c r="O1345" s="30"/>
      <c r="P1345" s="30"/>
      <c r="Q1345" s="31"/>
      <c r="R1345" s="31"/>
      <c r="S1345" s="31"/>
      <c r="T1345" s="32"/>
      <c r="U1345" s="32"/>
      <c r="V1345" s="32"/>
      <c r="W1345" s="32"/>
      <c r="X1345" s="32"/>
      <c r="Y1345" s="33"/>
      <c r="Z1345" s="33"/>
      <c r="AA1345" s="33"/>
    </row>
    <row r="1346" spans="1:27">
      <c r="A1346" s="29"/>
      <c r="B1346" s="19">
        <f t="shared" si="41"/>
        <v>46327</v>
      </c>
      <c r="C1346" s="27">
        <f>I1346+J1346+K1346+L1346+M1346+N1346+O1346+P1346+IF(Q1346="",0,Q1346*サマリー!$B$9)+IF(R1346="",0,IF(R1346=200,サマリー!$B$10,IF(R1346=100,サマリー!$B$11,0)))+IF(S1346="",0,S1346*サマリー!$B$12)</f>
        <v>0</v>
      </c>
      <c r="D1346" s="27">
        <f>T1346+U1346+V1346+W1346+X1346+IF(Y1346="",0,Y1346*サマリー!$B$9)+IF(Z1346="",0,IF(Z1346=200,サマリー!$B$10,IF(Z1346=100,サマリー!$B$11,0)))+IF(AA1346="",0,AA1346*サマリー!$B$12)</f>
        <v>0</v>
      </c>
      <c r="E1346" s="27">
        <f t="shared" si="40"/>
        <v>0</v>
      </c>
      <c r="I1346" s="30"/>
      <c r="J1346" s="30"/>
      <c r="K1346" s="30"/>
      <c r="L1346" s="30"/>
      <c r="M1346" s="30"/>
      <c r="N1346" s="30"/>
      <c r="O1346" s="30"/>
      <c r="P1346" s="30"/>
      <c r="Q1346" s="31"/>
      <c r="R1346" s="31"/>
      <c r="S1346" s="31"/>
      <c r="T1346" s="32"/>
      <c r="U1346" s="32"/>
      <c r="V1346" s="32"/>
      <c r="W1346" s="32"/>
      <c r="X1346" s="32"/>
      <c r="Y1346" s="33"/>
      <c r="Z1346" s="33"/>
      <c r="AA1346" s="33"/>
    </row>
    <row r="1347" spans="1:27">
      <c r="A1347" s="29"/>
      <c r="B1347" s="19">
        <f t="shared" si="41"/>
        <v>46327</v>
      </c>
      <c r="C1347" s="27">
        <f>I1347+J1347+K1347+L1347+M1347+N1347+O1347+P1347+IF(Q1347="",0,Q1347*サマリー!$B$9)+IF(R1347="",0,IF(R1347=200,サマリー!$B$10,IF(R1347=100,サマリー!$B$11,0)))+IF(S1347="",0,S1347*サマリー!$B$12)</f>
        <v>0</v>
      </c>
      <c r="D1347" s="27">
        <f>T1347+U1347+V1347+W1347+X1347+IF(Y1347="",0,Y1347*サマリー!$B$9)+IF(Z1347="",0,IF(Z1347=200,サマリー!$B$10,IF(Z1347=100,サマリー!$B$11,0)))+IF(AA1347="",0,AA1347*サマリー!$B$12)</f>
        <v>0</v>
      </c>
      <c r="E1347" s="27">
        <f t="shared" si="40"/>
        <v>0</v>
      </c>
      <c r="I1347" s="30"/>
      <c r="J1347" s="30"/>
      <c r="K1347" s="30"/>
      <c r="L1347" s="30"/>
      <c r="M1347" s="30"/>
      <c r="N1347" s="30"/>
      <c r="O1347" s="30"/>
      <c r="P1347" s="30"/>
      <c r="Q1347" s="31"/>
      <c r="R1347" s="31"/>
      <c r="S1347" s="31"/>
      <c r="T1347" s="32"/>
      <c r="U1347" s="32"/>
      <c r="V1347" s="32"/>
      <c r="W1347" s="32"/>
      <c r="X1347" s="32"/>
      <c r="Y1347" s="33"/>
      <c r="Z1347" s="33"/>
      <c r="AA1347" s="33"/>
    </row>
    <row r="1348" spans="1:27">
      <c r="A1348" s="29"/>
      <c r="B1348" s="19">
        <f t="shared" si="41"/>
        <v>46327</v>
      </c>
      <c r="C1348" s="27">
        <f>I1348+J1348+K1348+L1348+M1348+N1348+O1348+P1348+IF(Q1348="",0,Q1348*サマリー!$B$9)+IF(R1348="",0,IF(R1348=200,サマリー!$B$10,IF(R1348=100,サマリー!$B$11,0)))+IF(S1348="",0,S1348*サマリー!$B$12)</f>
        <v>0</v>
      </c>
      <c r="D1348" s="27">
        <f>T1348+U1348+V1348+W1348+X1348+IF(Y1348="",0,Y1348*サマリー!$B$9)+IF(Z1348="",0,IF(Z1348=200,サマリー!$B$10,IF(Z1348=100,サマリー!$B$11,0)))+IF(AA1348="",0,AA1348*サマリー!$B$12)</f>
        <v>0</v>
      </c>
      <c r="E1348" s="27">
        <f t="shared" si="40"/>
        <v>0</v>
      </c>
      <c r="I1348" s="30"/>
      <c r="J1348" s="30"/>
      <c r="K1348" s="30"/>
      <c r="L1348" s="30"/>
      <c r="M1348" s="30"/>
      <c r="N1348" s="30"/>
      <c r="O1348" s="30"/>
      <c r="P1348" s="30"/>
      <c r="Q1348" s="31"/>
      <c r="R1348" s="31"/>
      <c r="S1348" s="31"/>
      <c r="T1348" s="32"/>
      <c r="U1348" s="32"/>
      <c r="V1348" s="32"/>
      <c r="W1348" s="32"/>
      <c r="X1348" s="32"/>
      <c r="Y1348" s="33"/>
      <c r="Z1348" s="33"/>
      <c r="AA1348" s="33"/>
    </row>
    <row r="1349" spans="1:27">
      <c r="A1349" s="29"/>
      <c r="B1349" s="19">
        <f t="shared" si="41"/>
        <v>46327</v>
      </c>
      <c r="C1349" s="27">
        <f>I1349+J1349+K1349+L1349+M1349+N1349+O1349+P1349+IF(Q1349="",0,Q1349*サマリー!$B$9)+IF(R1349="",0,IF(R1349=200,サマリー!$B$10,IF(R1349=100,サマリー!$B$11,0)))+IF(S1349="",0,S1349*サマリー!$B$12)</f>
        <v>0</v>
      </c>
      <c r="D1349" s="27">
        <f>T1349+U1349+V1349+W1349+X1349+IF(Y1349="",0,Y1349*サマリー!$B$9)+IF(Z1349="",0,IF(Z1349=200,サマリー!$B$10,IF(Z1349=100,サマリー!$B$11,0)))+IF(AA1349="",0,AA1349*サマリー!$B$12)</f>
        <v>0</v>
      </c>
      <c r="E1349" s="27">
        <f t="shared" si="40"/>
        <v>0</v>
      </c>
      <c r="I1349" s="30"/>
      <c r="J1349" s="30"/>
      <c r="K1349" s="30"/>
      <c r="L1349" s="30"/>
      <c r="M1349" s="30"/>
      <c r="N1349" s="30"/>
      <c r="O1349" s="30"/>
      <c r="P1349" s="30"/>
      <c r="Q1349" s="31"/>
      <c r="R1349" s="31"/>
      <c r="S1349" s="31"/>
      <c r="T1349" s="32"/>
      <c r="U1349" s="32"/>
      <c r="V1349" s="32"/>
      <c r="W1349" s="32"/>
      <c r="X1349" s="32"/>
      <c r="Y1349" s="33"/>
      <c r="Z1349" s="33"/>
      <c r="AA1349" s="33"/>
    </row>
    <row r="1350" spans="1:27">
      <c r="A1350" s="29"/>
      <c r="B1350" s="19">
        <f t="shared" si="41"/>
        <v>46327</v>
      </c>
      <c r="C1350" s="27">
        <f>I1350+J1350+K1350+L1350+M1350+N1350+O1350+P1350+IF(Q1350="",0,Q1350*サマリー!$B$9)+IF(R1350="",0,IF(R1350=200,サマリー!$B$10,IF(R1350=100,サマリー!$B$11,0)))+IF(S1350="",0,S1350*サマリー!$B$12)</f>
        <v>0</v>
      </c>
      <c r="D1350" s="27">
        <f>T1350+U1350+V1350+W1350+X1350+IF(Y1350="",0,Y1350*サマリー!$B$9)+IF(Z1350="",0,IF(Z1350=200,サマリー!$B$10,IF(Z1350=100,サマリー!$B$11,0)))+IF(AA1350="",0,AA1350*サマリー!$B$12)</f>
        <v>0</v>
      </c>
      <c r="E1350" s="27">
        <f t="shared" ref="E1350:E1413" si="42">C1350+D1350</f>
        <v>0</v>
      </c>
      <c r="I1350" s="30"/>
      <c r="J1350" s="30"/>
      <c r="K1350" s="30"/>
      <c r="L1350" s="30"/>
      <c r="M1350" s="30"/>
      <c r="N1350" s="30"/>
      <c r="O1350" s="30"/>
      <c r="P1350" s="30"/>
      <c r="Q1350" s="31"/>
      <c r="R1350" s="31"/>
      <c r="S1350" s="31"/>
      <c r="T1350" s="32"/>
      <c r="U1350" s="32"/>
      <c r="V1350" s="32"/>
      <c r="W1350" s="32"/>
      <c r="X1350" s="32"/>
      <c r="Y1350" s="33"/>
      <c r="Z1350" s="33"/>
      <c r="AA1350" s="33"/>
    </row>
    <row r="1351" spans="1:27">
      <c r="A1351" s="29"/>
      <c r="B1351" s="19">
        <f t="shared" ref="B1351:B1414" si="43">IF(A1351="",B1350,IF(A1351&lt;DAY(B1350),DATE(YEAR(B1350),MONTH(B1350)+1,A1351),DATE(YEAR(B1350),MONTH(B1350),A1351)))</f>
        <v>46327</v>
      </c>
      <c r="C1351" s="27">
        <f>I1351+J1351+K1351+L1351+M1351+N1351+O1351+P1351+IF(Q1351="",0,Q1351*サマリー!$B$9)+IF(R1351="",0,IF(R1351=200,サマリー!$B$10,IF(R1351=100,サマリー!$B$11,0)))+IF(S1351="",0,S1351*サマリー!$B$12)</f>
        <v>0</v>
      </c>
      <c r="D1351" s="27">
        <f>T1351+U1351+V1351+W1351+X1351+IF(Y1351="",0,Y1351*サマリー!$B$9)+IF(Z1351="",0,IF(Z1351=200,サマリー!$B$10,IF(Z1351=100,サマリー!$B$11,0)))+IF(AA1351="",0,AA1351*サマリー!$B$12)</f>
        <v>0</v>
      </c>
      <c r="E1351" s="27">
        <f t="shared" si="42"/>
        <v>0</v>
      </c>
      <c r="I1351" s="30"/>
      <c r="J1351" s="30"/>
      <c r="K1351" s="30"/>
      <c r="L1351" s="30"/>
      <c r="M1351" s="30"/>
      <c r="N1351" s="30"/>
      <c r="O1351" s="30"/>
      <c r="P1351" s="30"/>
      <c r="Q1351" s="31"/>
      <c r="R1351" s="31"/>
      <c r="S1351" s="31"/>
      <c r="T1351" s="32"/>
      <c r="U1351" s="32"/>
      <c r="V1351" s="32"/>
      <c r="W1351" s="32"/>
      <c r="X1351" s="32"/>
      <c r="Y1351" s="33"/>
      <c r="Z1351" s="33"/>
      <c r="AA1351" s="33"/>
    </row>
    <row r="1352" spans="1:27">
      <c r="A1352" s="29"/>
      <c r="B1352" s="19">
        <f t="shared" si="43"/>
        <v>46327</v>
      </c>
      <c r="C1352" s="27">
        <f>I1352+J1352+K1352+L1352+M1352+N1352+O1352+P1352+IF(Q1352="",0,Q1352*サマリー!$B$9)+IF(R1352="",0,IF(R1352=200,サマリー!$B$10,IF(R1352=100,サマリー!$B$11,0)))+IF(S1352="",0,S1352*サマリー!$B$12)</f>
        <v>0</v>
      </c>
      <c r="D1352" s="27">
        <f>T1352+U1352+V1352+W1352+X1352+IF(Y1352="",0,Y1352*サマリー!$B$9)+IF(Z1352="",0,IF(Z1352=200,サマリー!$B$10,IF(Z1352=100,サマリー!$B$11,0)))+IF(AA1352="",0,AA1352*サマリー!$B$12)</f>
        <v>0</v>
      </c>
      <c r="E1352" s="27">
        <f t="shared" si="42"/>
        <v>0</v>
      </c>
      <c r="I1352" s="30"/>
      <c r="J1352" s="30"/>
      <c r="K1352" s="30"/>
      <c r="L1352" s="30"/>
      <c r="M1352" s="30"/>
      <c r="N1352" s="30"/>
      <c r="O1352" s="30"/>
      <c r="P1352" s="30"/>
      <c r="Q1352" s="31"/>
      <c r="R1352" s="31"/>
      <c r="S1352" s="31"/>
      <c r="T1352" s="32"/>
      <c r="U1352" s="32"/>
      <c r="V1352" s="32"/>
      <c r="W1352" s="32"/>
      <c r="X1352" s="32"/>
      <c r="Y1352" s="33"/>
      <c r="Z1352" s="33"/>
      <c r="AA1352" s="33"/>
    </row>
    <row r="1353" spans="1:27">
      <c r="A1353" s="29"/>
      <c r="B1353" s="19">
        <f t="shared" si="43"/>
        <v>46327</v>
      </c>
      <c r="C1353" s="27">
        <f>I1353+J1353+K1353+L1353+M1353+N1353+O1353+P1353+IF(Q1353="",0,Q1353*サマリー!$B$9)+IF(R1353="",0,IF(R1353=200,サマリー!$B$10,IF(R1353=100,サマリー!$B$11,0)))+IF(S1353="",0,S1353*サマリー!$B$12)</f>
        <v>0</v>
      </c>
      <c r="D1353" s="27">
        <f>T1353+U1353+V1353+W1353+X1353+IF(Y1353="",0,Y1353*サマリー!$B$9)+IF(Z1353="",0,IF(Z1353=200,サマリー!$B$10,IF(Z1353=100,サマリー!$B$11,0)))+IF(AA1353="",0,AA1353*サマリー!$B$12)</f>
        <v>0</v>
      </c>
      <c r="E1353" s="27">
        <f t="shared" si="42"/>
        <v>0</v>
      </c>
      <c r="I1353" s="30"/>
      <c r="J1353" s="30"/>
      <c r="K1353" s="30"/>
      <c r="L1353" s="30"/>
      <c r="M1353" s="30"/>
      <c r="N1353" s="30"/>
      <c r="O1353" s="30"/>
      <c r="P1353" s="30"/>
      <c r="Q1353" s="31"/>
      <c r="R1353" s="31"/>
      <c r="S1353" s="31"/>
      <c r="T1353" s="32"/>
      <c r="U1353" s="32"/>
      <c r="V1353" s="32"/>
      <c r="W1353" s="32"/>
      <c r="X1353" s="32"/>
      <c r="Y1353" s="33"/>
      <c r="Z1353" s="33"/>
      <c r="AA1353" s="33"/>
    </row>
    <row r="1354" spans="1:27">
      <c r="A1354" s="29"/>
      <c r="B1354" s="19">
        <f t="shared" si="43"/>
        <v>46327</v>
      </c>
      <c r="C1354" s="27">
        <f>I1354+J1354+K1354+L1354+M1354+N1354+O1354+P1354+IF(Q1354="",0,Q1354*サマリー!$B$9)+IF(R1354="",0,IF(R1354=200,サマリー!$B$10,IF(R1354=100,サマリー!$B$11,0)))+IF(S1354="",0,S1354*サマリー!$B$12)</f>
        <v>0</v>
      </c>
      <c r="D1354" s="27">
        <f>T1354+U1354+V1354+W1354+X1354+IF(Y1354="",0,Y1354*サマリー!$B$9)+IF(Z1354="",0,IF(Z1354=200,サマリー!$B$10,IF(Z1354=100,サマリー!$B$11,0)))+IF(AA1354="",0,AA1354*サマリー!$B$12)</f>
        <v>0</v>
      </c>
      <c r="E1354" s="27">
        <f t="shared" si="42"/>
        <v>0</v>
      </c>
      <c r="I1354" s="30"/>
      <c r="J1354" s="30"/>
      <c r="K1354" s="30"/>
      <c r="L1354" s="30"/>
      <c r="M1354" s="30"/>
      <c r="N1354" s="30"/>
      <c r="O1354" s="30"/>
      <c r="P1354" s="30"/>
      <c r="Q1354" s="31"/>
      <c r="R1354" s="31"/>
      <c r="S1354" s="31"/>
      <c r="T1354" s="32"/>
      <c r="U1354" s="32"/>
      <c r="V1354" s="32"/>
      <c r="W1354" s="32"/>
      <c r="X1354" s="32"/>
      <c r="Y1354" s="33"/>
      <c r="Z1354" s="33"/>
      <c r="AA1354" s="33"/>
    </row>
    <row r="1355" spans="1:27">
      <c r="A1355" s="29"/>
      <c r="B1355" s="19">
        <f t="shared" si="43"/>
        <v>46327</v>
      </c>
      <c r="C1355" s="27">
        <f>I1355+J1355+K1355+L1355+M1355+N1355+O1355+P1355+IF(Q1355="",0,Q1355*サマリー!$B$9)+IF(R1355="",0,IF(R1355=200,サマリー!$B$10,IF(R1355=100,サマリー!$B$11,0)))+IF(S1355="",0,S1355*サマリー!$B$12)</f>
        <v>0</v>
      </c>
      <c r="D1355" s="27">
        <f>T1355+U1355+V1355+W1355+X1355+IF(Y1355="",0,Y1355*サマリー!$B$9)+IF(Z1355="",0,IF(Z1355=200,サマリー!$B$10,IF(Z1355=100,サマリー!$B$11,0)))+IF(AA1355="",0,AA1355*サマリー!$B$12)</f>
        <v>0</v>
      </c>
      <c r="E1355" s="27">
        <f t="shared" si="42"/>
        <v>0</v>
      </c>
      <c r="I1355" s="30"/>
      <c r="J1355" s="30"/>
      <c r="K1355" s="30"/>
      <c r="L1355" s="30"/>
      <c r="M1355" s="30"/>
      <c r="N1355" s="30"/>
      <c r="O1355" s="30"/>
      <c r="P1355" s="30"/>
      <c r="Q1355" s="31"/>
      <c r="R1355" s="31"/>
      <c r="S1355" s="31"/>
      <c r="T1355" s="32"/>
      <c r="U1355" s="32"/>
      <c r="V1355" s="32"/>
      <c r="W1355" s="32"/>
      <c r="X1355" s="32"/>
      <c r="Y1355" s="33"/>
      <c r="Z1355" s="33"/>
      <c r="AA1355" s="33"/>
    </row>
    <row r="1356" spans="1:27">
      <c r="A1356" s="29"/>
      <c r="B1356" s="19">
        <f t="shared" si="43"/>
        <v>46327</v>
      </c>
      <c r="C1356" s="27">
        <f>I1356+J1356+K1356+L1356+M1356+N1356+O1356+P1356+IF(Q1356="",0,Q1356*サマリー!$B$9)+IF(R1356="",0,IF(R1356=200,サマリー!$B$10,IF(R1356=100,サマリー!$B$11,0)))+IF(S1356="",0,S1356*サマリー!$B$12)</f>
        <v>0</v>
      </c>
      <c r="D1356" s="27">
        <f>T1356+U1356+V1356+W1356+X1356+IF(Y1356="",0,Y1356*サマリー!$B$9)+IF(Z1356="",0,IF(Z1356=200,サマリー!$B$10,IF(Z1356=100,サマリー!$B$11,0)))+IF(AA1356="",0,AA1356*サマリー!$B$12)</f>
        <v>0</v>
      </c>
      <c r="E1356" s="27">
        <f t="shared" si="42"/>
        <v>0</v>
      </c>
      <c r="I1356" s="30"/>
      <c r="J1356" s="30"/>
      <c r="K1356" s="30"/>
      <c r="L1356" s="30"/>
      <c r="M1356" s="30"/>
      <c r="N1356" s="30"/>
      <c r="O1356" s="30"/>
      <c r="P1356" s="30"/>
      <c r="Q1356" s="31"/>
      <c r="R1356" s="31"/>
      <c r="S1356" s="31"/>
      <c r="T1356" s="32"/>
      <c r="U1356" s="32"/>
      <c r="V1356" s="32"/>
      <c r="W1356" s="32"/>
      <c r="X1356" s="32"/>
      <c r="Y1356" s="33"/>
      <c r="Z1356" s="33"/>
      <c r="AA1356" s="33"/>
    </row>
    <row r="1357" spans="1:27">
      <c r="A1357" s="29"/>
      <c r="B1357" s="19">
        <f t="shared" si="43"/>
        <v>46327</v>
      </c>
      <c r="C1357" s="27">
        <f>I1357+J1357+K1357+L1357+M1357+N1357+O1357+P1357+IF(Q1357="",0,Q1357*サマリー!$B$9)+IF(R1357="",0,IF(R1357=200,サマリー!$B$10,IF(R1357=100,サマリー!$B$11,0)))+IF(S1357="",0,S1357*サマリー!$B$12)</f>
        <v>0</v>
      </c>
      <c r="D1357" s="27">
        <f>T1357+U1357+V1357+W1357+X1357+IF(Y1357="",0,Y1357*サマリー!$B$9)+IF(Z1357="",0,IF(Z1357=200,サマリー!$B$10,IF(Z1357=100,サマリー!$B$11,0)))+IF(AA1357="",0,AA1357*サマリー!$B$12)</f>
        <v>0</v>
      </c>
      <c r="E1357" s="27">
        <f t="shared" si="42"/>
        <v>0</v>
      </c>
      <c r="I1357" s="30"/>
      <c r="J1357" s="30"/>
      <c r="K1357" s="30"/>
      <c r="L1357" s="30"/>
      <c r="M1357" s="30"/>
      <c r="N1357" s="30"/>
      <c r="O1357" s="30"/>
      <c r="P1357" s="30"/>
      <c r="Q1357" s="31"/>
      <c r="R1357" s="31"/>
      <c r="S1357" s="31"/>
      <c r="T1357" s="32"/>
      <c r="U1357" s="32"/>
      <c r="V1357" s="32"/>
      <c r="W1357" s="32"/>
      <c r="X1357" s="32"/>
      <c r="Y1357" s="33"/>
      <c r="Z1357" s="33"/>
      <c r="AA1357" s="33"/>
    </row>
    <row r="1358" spans="1:27">
      <c r="A1358" s="29"/>
      <c r="B1358" s="19">
        <f t="shared" si="43"/>
        <v>46327</v>
      </c>
      <c r="C1358" s="27">
        <f>I1358+J1358+K1358+L1358+M1358+N1358+O1358+P1358+IF(Q1358="",0,Q1358*サマリー!$B$9)+IF(R1358="",0,IF(R1358=200,サマリー!$B$10,IF(R1358=100,サマリー!$B$11,0)))+IF(S1358="",0,S1358*サマリー!$B$12)</f>
        <v>0</v>
      </c>
      <c r="D1358" s="27">
        <f>T1358+U1358+V1358+W1358+X1358+IF(Y1358="",0,Y1358*サマリー!$B$9)+IF(Z1358="",0,IF(Z1358=200,サマリー!$B$10,IF(Z1358=100,サマリー!$B$11,0)))+IF(AA1358="",0,AA1358*サマリー!$B$12)</f>
        <v>0</v>
      </c>
      <c r="E1358" s="27">
        <f t="shared" si="42"/>
        <v>0</v>
      </c>
      <c r="I1358" s="30"/>
      <c r="J1358" s="30"/>
      <c r="K1358" s="30"/>
      <c r="L1358" s="30"/>
      <c r="M1358" s="30"/>
      <c r="N1358" s="30"/>
      <c r="O1358" s="30"/>
      <c r="P1358" s="30"/>
      <c r="Q1358" s="31"/>
      <c r="R1358" s="31"/>
      <c r="S1358" s="31"/>
      <c r="T1358" s="32"/>
      <c r="U1358" s="32"/>
      <c r="V1358" s="32"/>
      <c r="W1358" s="32"/>
      <c r="X1358" s="32"/>
      <c r="Y1358" s="33"/>
      <c r="Z1358" s="33"/>
      <c r="AA1358" s="33"/>
    </row>
    <row r="1359" spans="1:27">
      <c r="A1359" s="29"/>
      <c r="B1359" s="19">
        <f t="shared" si="43"/>
        <v>46327</v>
      </c>
      <c r="C1359" s="27">
        <f>I1359+J1359+K1359+L1359+M1359+N1359+O1359+P1359+IF(Q1359="",0,Q1359*サマリー!$B$9)+IF(R1359="",0,IF(R1359=200,サマリー!$B$10,IF(R1359=100,サマリー!$B$11,0)))+IF(S1359="",0,S1359*サマリー!$B$12)</f>
        <v>0</v>
      </c>
      <c r="D1359" s="27">
        <f>T1359+U1359+V1359+W1359+X1359+IF(Y1359="",0,Y1359*サマリー!$B$9)+IF(Z1359="",0,IF(Z1359=200,サマリー!$B$10,IF(Z1359=100,サマリー!$B$11,0)))+IF(AA1359="",0,AA1359*サマリー!$B$12)</f>
        <v>0</v>
      </c>
      <c r="E1359" s="27">
        <f t="shared" si="42"/>
        <v>0</v>
      </c>
      <c r="I1359" s="30"/>
      <c r="J1359" s="30"/>
      <c r="K1359" s="30"/>
      <c r="L1359" s="30"/>
      <c r="M1359" s="30"/>
      <c r="N1359" s="30"/>
      <c r="O1359" s="30"/>
      <c r="P1359" s="30"/>
      <c r="Q1359" s="31"/>
      <c r="R1359" s="31"/>
      <c r="S1359" s="31"/>
      <c r="T1359" s="32"/>
      <c r="U1359" s="32"/>
      <c r="V1359" s="32"/>
      <c r="W1359" s="32"/>
      <c r="X1359" s="32"/>
      <c r="Y1359" s="33"/>
      <c r="Z1359" s="33"/>
      <c r="AA1359" s="33"/>
    </row>
    <row r="1360" spans="1:27">
      <c r="A1360" s="29"/>
      <c r="B1360" s="19">
        <f t="shared" si="43"/>
        <v>46327</v>
      </c>
      <c r="C1360" s="27">
        <f>I1360+J1360+K1360+L1360+M1360+N1360+O1360+P1360+IF(Q1360="",0,Q1360*サマリー!$B$9)+IF(R1360="",0,IF(R1360=200,サマリー!$B$10,IF(R1360=100,サマリー!$B$11,0)))+IF(S1360="",0,S1360*サマリー!$B$12)</f>
        <v>0</v>
      </c>
      <c r="D1360" s="27">
        <f>T1360+U1360+V1360+W1360+X1360+IF(Y1360="",0,Y1360*サマリー!$B$9)+IF(Z1360="",0,IF(Z1360=200,サマリー!$B$10,IF(Z1360=100,サマリー!$B$11,0)))+IF(AA1360="",0,AA1360*サマリー!$B$12)</f>
        <v>0</v>
      </c>
      <c r="E1360" s="27">
        <f t="shared" si="42"/>
        <v>0</v>
      </c>
      <c r="I1360" s="30"/>
      <c r="J1360" s="30"/>
      <c r="K1360" s="30"/>
      <c r="L1360" s="30"/>
      <c r="M1360" s="30"/>
      <c r="N1360" s="30"/>
      <c r="O1360" s="30"/>
      <c r="P1360" s="30"/>
      <c r="Q1360" s="31"/>
      <c r="R1360" s="31"/>
      <c r="S1360" s="31"/>
      <c r="T1360" s="32"/>
      <c r="U1360" s="32"/>
      <c r="V1360" s="32"/>
      <c r="W1360" s="32"/>
      <c r="X1360" s="32"/>
      <c r="Y1360" s="33"/>
      <c r="Z1360" s="33"/>
      <c r="AA1360" s="33"/>
    </row>
    <row r="1361" spans="1:27">
      <c r="A1361" s="29"/>
      <c r="B1361" s="19">
        <f t="shared" si="43"/>
        <v>46327</v>
      </c>
      <c r="C1361" s="27">
        <f>I1361+J1361+K1361+L1361+M1361+N1361+O1361+P1361+IF(Q1361="",0,Q1361*サマリー!$B$9)+IF(R1361="",0,IF(R1361=200,サマリー!$B$10,IF(R1361=100,サマリー!$B$11,0)))+IF(S1361="",0,S1361*サマリー!$B$12)</f>
        <v>0</v>
      </c>
      <c r="D1361" s="27">
        <f>T1361+U1361+V1361+W1361+X1361+IF(Y1361="",0,Y1361*サマリー!$B$9)+IF(Z1361="",0,IF(Z1361=200,サマリー!$B$10,IF(Z1361=100,サマリー!$B$11,0)))+IF(AA1361="",0,AA1361*サマリー!$B$12)</f>
        <v>0</v>
      </c>
      <c r="E1361" s="27">
        <f t="shared" si="42"/>
        <v>0</v>
      </c>
      <c r="I1361" s="30"/>
      <c r="J1361" s="30"/>
      <c r="K1361" s="30"/>
      <c r="L1361" s="30"/>
      <c r="M1361" s="30"/>
      <c r="N1361" s="30"/>
      <c r="O1361" s="30"/>
      <c r="P1361" s="30"/>
      <c r="Q1361" s="31"/>
      <c r="R1361" s="31"/>
      <c r="S1361" s="31"/>
      <c r="T1361" s="32"/>
      <c r="U1361" s="32"/>
      <c r="V1361" s="32"/>
      <c r="W1361" s="32"/>
      <c r="X1361" s="32"/>
      <c r="Y1361" s="33"/>
      <c r="Z1361" s="33"/>
      <c r="AA1361" s="33"/>
    </row>
    <row r="1362" spans="1:27">
      <c r="A1362" s="29"/>
      <c r="B1362" s="19">
        <f t="shared" si="43"/>
        <v>46327</v>
      </c>
      <c r="C1362" s="27">
        <f>I1362+J1362+K1362+L1362+M1362+N1362+O1362+P1362+IF(Q1362="",0,Q1362*サマリー!$B$9)+IF(R1362="",0,IF(R1362=200,サマリー!$B$10,IF(R1362=100,サマリー!$B$11,0)))+IF(S1362="",0,S1362*サマリー!$B$12)</f>
        <v>0</v>
      </c>
      <c r="D1362" s="27">
        <f>T1362+U1362+V1362+W1362+X1362+IF(Y1362="",0,Y1362*サマリー!$B$9)+IF(Z1362="",0,IF(Z1362=200,サマリー!$B$10,IF(Z1362=100,サマリー!$B$11,0)))+IF(AA1362="",0,AA1362*サマリー!$B$12)</f>
        <v>0</v>
      </c>
      <c r="E1362" s="27">
        <f t="shared" si="42"/>
        <v>0</v>
      </c>
      <c r="I1362" s="30"/>
      <c r="J1362" s="30"/>
      <c r="K1362" s="30"/>
      <c r="L1362" s="30"/>
      <c r="M1362" s="30"/>
      <c r="N1362" s="30"/>
      <c r="O1362" s="30"/>
      <c r="P1362" s="30"/>
      <c r="Q1362" s="31"/>
      <c r="R1362" s="31"/>
      <c r="S1362" s="31"/>
      <c r="T1362" s="32"/>
      <c r="U1362" s="32"/>
      <c r="V1362" s="32"/>
      <c r="W1362" s="32"/>
      <c r="X1362" s="32"/>
      <c r="Y1362" s="33"/>
      <c r="Z1362" s="33"/>
      <c r="AA1362" s="33"/>
    </row>
    <row r="1363" spans="1:27">
      <c r="A1363" s="29"/>
      <c r="B1363" s="19">
        <f t="shared" si="43"/>
        <v>46327</v>
      </c>
      <c r="C1363" s="27">
        <f>I1363+J1363+K1363+L1363+M1363+N1363+O1363+P1363+IF(Q1363="",0,Q1363*サマリー!$B$9)+IF(R1363="",0,IF(R1363=200,サマリー!$B$10,IF(R1363=100,サマリー!$B$11,0)))+IF(S1363="",0,S1363*サマリー!$B$12)</f>
        <v>0</v>
      </c>
      <c r="D1363" s="27">
        <f>T1363+U1363+V1363+W1363+X1363+IF(Y1363="",0,Y1363*サマリー!$B$9)+IF(Z1363="",0,IF(Z1363=200,サマリー!$B$10,IF(Z1363=100,サマリー!$B$11,0)))+IF(AA1363="",0,AA1363*サマリー!$B$12)</f>
        <v>0</v>
      </c>
      <c r="E1363" s="27">
        <f t="shared" si="42"/>
        <v>0</v>
      </c>
      <c r="I1363" s="30"/>
      <c r="J1363" s="30"/>
      <c r="K1363" s="30"/>
      <c r="L1363" s="30"/>
      <c r="M1363" s="30"/>
      <c r="N1363" s="30"/>
      <c r="O1363" s="30"/>
      <c r="P1363" s="30"/>
      <c r="Q1363" s="31"/>
      <c r="R1363" s="31"/>
      <c r="S1363" s="31"/>
      <c r="T1363" s="32"/>
      <c r="U1363" s="32"/>
      <c r="V1363" s="32"/>
      <c r="W1363" s="32"/>
      <c r="X1363" s="32"/>
      <c r="Y1363" s="33"/>
      <c r="Z1363" s="33"/>
      <c r="AA1363" s="33"/>
    </row>
    <row r="1364" spans="1:27">
      <c r="A1364" s="29"/>
      <c r="B1364" s="19">
        <f t="shared" si="43"/>
        <v>46327</v>
      </c>
      <c r="C1364" s="27">
        <f>I1364+J1364+K1364+L1364+M1364+N1364+O1364+P1364+IF(Q1364="",0,Q1364*サマリー!$B$9)+IF(R1364="",0,IF(R1364=200,サマリー!$B$10,IF(R1364=100,サマリー!$B$11,0)))+IF(S1364="",0,S1364*サマリー!$B$12)</f>
        <v>0</v>
      </c>
      <c r="D1364" s="27">
        <f>T1364+U1364+V1364+W1364+X1364+IF(Y1364="",0,Y1364*サマリー!$B$9)+IF(Z1364="",0,IF(Z1364=200,サマリー!$B$10,IF(Z1364=100,サマリー!$B$11,0)))+IF(AA1364="",0,AA1364*サマリー!$B$12)</f>
        <v>0</v>
      </c>
      <c r="E1364" s="27">
        <f t="shared" si="42"/>
        <v>0</v>
      </c>
      <c r="I1364" s="30"/>
      <c r="J1364" s="30"/>
      <c r="K1364" s="30"/>
      <c r="L1364" s="30"/>
      <c r="M1364" s="30"/>
      <c r="N1364" s="30"/>
      <c r="O1364" s="30"/>
      <c r="P1364" s="30"/>
      <c r="Q1364" s="31"/>
      <c r="R1364" s="31"/>
      <c r="S1364" s="31"/>
      <c r="T1364" s="32"/>
      <c r="U1364" s="32"/>
      <c r="V1364" s="32"/>
      <c r="W1364" s="32"/>
      <c r="X1364" s="32"/>
      <c r="Y1364" s="33"/>
      <c r="Z1364" s="33"/>
      <c r="AA1364" s="33"/>
    </row>
    <row r="1365" spans="1:27">
      <c r="A1365" s="29"/>
      <c r="B1365" s="19">
        <f t="shared" si="43"/>
        <v>46327</v>
      </c>
      <c r="C1365" s="27">
        <f>I1365+J1365+K1365+L1365+M1365+N1365+O1365+P1365+IF(Q1365="",0,Q1365*サマリー!$B$9)+IF(R1365="",0,IF(R1365=200,サマリー!$B$10,IF(R1365=100,サマリー!$B$11,0)))+IF(S1365="",0,S1365*サマリー!$B$12)</f>
        <v>0</v>
      </c>
      <c r="D1365" s="27">
        <f>T1365+U1365+V1365+W1365+X1365+IF(Y1365="",0,Y1365*サマリー!$B$9)+IF(Z1365="",0,IF(Z1365=200,サマリー!$B$10,IF(Z1365=100,サマリー!$B$11,0)))+IF(AA1365="",0,AA1365*サマリー!$B$12)</f>
        <v>0</v>
      </c>
      <c r="E1365" s="27">
        <f t="shared" si="42"/>
        <v>0</v>
      </c>
      <c r="I1365" s="30"/>
      <c r="J1365" s="30"/>
      <c r="K1365" s="30"/>
      <c r="L1365" s="30"/>
      <c r="M1365" s="30"/>
      <c r="N1365" s="30"/>
      <c r="O1365" s="30"/>
      <c r="P1365" s="30"/>
      <c r="Q1365" s="31"/>
      <c r="R1365" s="31"/>
      <c r="S1365" s="31"/>
      <c r="T1365" s="32"/>
      <c r="U1365" s="32"/>
      <c r="V1365" s="32"/>
      <c r="W1365" s="32"/>
      <c r="X1365" s="32"/>
      <c r="Y1365" s="33"/>
      <c r="Z1365" s="33"/>
      <c r="AA1365" s="33"/>
    </row>
    <row r="1366" spans="1:27">
      <c r="A1366" s="29"/>
      <c r="B1366" s="19">
        <f t="shared" si="43"/>
        <v>46327</v>
      </c>
      <c r="C1366" s="27">
        <f>I1366+J1366+K1366+L1366+M1366+N1366+O1366+P1366+IF(Q1366="",0,Q1366*サマリー!$B$9)+IF(R1366="",0,IF(R1366=200,サマリー!$B$10,IF(R1366=100,サマリー!$B$11,0)))+IF(S1366="",0,S1366*サマリー!$B$12)</f>
        <v>0</v>
      </c>
      <c r="D1366" s="27">
        <f>T1366+U1366+V1366+W1366+X1366+IF(Y1366="",0,Y1366*サマリー!$B$9)+IF(Z1366="",0,IF(Z1366=200,サマリー!$B$10,IF(Z1366=100,サマリー!$B$11,0)))+IF(AA1366="",0,AA1366*サマリー!$B$12)</f>
        <v>0</v>
      </c>
      <c r="E1366" s="27">
        <f t="shared" si="42"/>
        <v>0</v>
      </c>
      <c r="I1366" s="30"/>
      <c r="J1366" s="30"/>
      <c r="K1366" s="30"/>
      <c r="L1366" s="30"/>
      <c r="M1366" s="30"/>
      <c r="N1366" s="30"/>
      <c r="O1366" s="30"/>
      <c r="P1366" s="30"/>
      <c r="Q1366" s="31"/>
      <c r="R1366" s="31"/>
      <c r="S1366" s="31"/>
      <c r="T1366" s="32"/>
      <c r="U1366" s="32"/>
      <c r="V1366" s="32"/>
      <c r="W1366" s="32"/>
      <c r="X1366" s="32"/>
      <c r="Y1366" s="33"/>
      <c r="Z1366" s="33"/>
      <c r="AA1366" s="33"/>
    </row>
    <row r="1367" spans="1:27">
      <c r="A1367" s="29"/>
      <c r="B1367" s="19">
        <f t="shared" si="43"/>
        <v>46327</v>
      </c>
      <c r="C1367" s="27">
        <f>I1367+J1367+K1367+L1367+M1367+N1367+O1367+P1367+IF(Q1367="",0,Q1367*サマリー!$B$9)+IF(R1367="",0,IF(R1367=200,サマリー!$B$10,IF(R1367=100,サマリー!$B$11,0)))+IF(S1367="",0,S1367*サマリー!$B$12)</f>
        <v>0</v>
      </c>
      <c r="D1367" s="27">
        <f>T1367+U1367+V1367+W1367+X1367+IF(Y1367="",0,Y1367*サマリー!$B$9)+IF(Z1367="",0,IF(Z1367=200,サマリー!$B$10,IF(Z1367=100,サマリー!$B$11,0)))+IF(AA1367="",0,AA1367*サマリー!$B$12)</f>
        <v>0</v>
      </c>
      <c r="E1367" s="27">
        <f t="shared" si="42"/>
        <v>0</v>
      </c>
      <c r="I1367" s="30"/>
      <c r="J1367" s="30"/>
      <c r="K1367" s="30"/>
      <c r="L1367" s="30"/>
      <c r="M1367" s="30"/>
      <c r="N1367" s="30"/>
      <c r="O1367" s="30"/>
      <c r="P1367" s="30"/>
      <c r="Q1367" s="31"/>
      <c r="R1367" s="31"/>
      <c r="S1367" s="31"/>
      <c r="T1367" s="32"/>
      <c r="U1367" s="32"/>
      <c r="V1367" s="32"/>
      <c r="W1367" s="32"/>
      <c r="X1367" s="32"/>
      <c r="Y1367" s="33"/>
      <c r="Z1367" s="33"/>
      <c r="AA1367" s="33"/>
    </row>
    <row r="1368" spans="1:27">
      <c r="A1368" s="29"/>
      <c r="B1368" s="19">
        <f t="shared" si="43"/>
        <v>46327</v>
      </c>
      <c r="C1368" s="27">
        <f>I1368+J1368+K1368+L1368+M1368+N1368+O1368+P1368+IF(Q1368="",0,Q1368*サマリー!$B$9)+IF(R1368="",0,IF(R1368=200,サマリー!$B$10,IF(R1368=100,サマリー!$B$11,0)))+IF(S1368="",0,S1368*サマリー!$B$12)</f>
        <v>0</v>
      </c>
      <c r="D1368" s="27">
        <f>T1368+U1368+V1368+W1368+X1368+IF(Y1368="",0,Y1368*サマリー!$B$9)+IF(Z1368="",0,IF(Z1368=200,サマリー!$B$10,IF(Z1368=100,サマリー!$B$11,0)))+IF(AA1368="",0,AA1368*サマリー!$B$12)</f>
        <v>0</v>
      </c>
      <c r="E1368" s="27">
        <f t="shared" si="42"/>
        <v>0</v>
      </c>
      <c r="I1368" s="30"/>
      <c r="J1368" s="30"/>
      <c r="K1368" s="30"/>
      <c r="L1368" s="30"/>
      <c r="M1368" s="30"/>
      <c r="N1368" s="30"/>
      <c r="O1368" s="30"/>
      <c r="P1368" s="30"/>
      <c r="Q1368" s="31"/>
      <c r="R1368" s="31"/>
      <c r="S1368" s="31"/>
      <c r="T1368" s="32"/>
      <c r="U1368" s="32"/>
      <c r="V1368" s="32"/>
      <c r="W1368" s="32"/>
      <c r="X1368" s="32"/>
      <c r="Y1368" s="33"/>
      <c r="Z1368" s="33"/>
      <c r="AA1368" s="33"/>
    </row>
    <row r="1369" spans="1:27">
      <c r="A1369" s="29"/>
      <c r="B1369" s="19">
        <f t="shared" si="43"/>
        <v>46327</v>
      </c>
      <c r="C1369" s="27">
        <f>I1369+J1369+K1369+L1369+M1369+N1369+O1369+P1369+IF(Q1369="",0,Q1369*サマリー!$B$9)+IF(R1369="",0,IF(R1369=200,サマリー!$B$10,IF(R1369=100,サマリー!$B$11,0)))+IF(S1369="",0,S1369*サマリー!$B$12)</f>
        <v>0</v>
      </c>
      <c r="D1369" s="27">
        <f>T1369+U1369+V1369+W1369+X1369+IF(Y1369="",0,Y1369*サマリー!$B$9)+IF(Z1369="",0,IF(Z1369=200,サマリー!$B$10,IF(Z1369=100,サマリー!$B$11,0)))+IF(AA1369="",0,AA1369*サマリー!$B$12)</f>
        <v>0</v>
      </c>
      <c r="E1369" s="27">
        <f t="shared" si="42"/>
        <v>0</v>
      </c>
      <c r="I1369" s="30"/>
      <c r="J1369" s="30"/>
      <c r="K1369" s="30"/>
      <c r="L1369" s="30"/>
      <c r="M1369" s="30"/>
      <c r="N1369" s="30"/>
      <c r="O1369" s="30"/>
      <c r="P1369" s="30"/>
      <c r="Q1369" s="31"/>
      <c r="R1369" s="31"/>
      <c r="S1369" s="31"/>
      <c r="T1369" s="32"/>
      <c r="U1369" s="32"/>
      <c r="V1369" s="32"/>
      <c r="W1369" s="32"/>
      <c r="X1369" s="32"/>
      <c r="Y1369" s="33"/>
      <c r="Z1369" s="33"/>
      <c r="AA1369" s="33"/>
    </row>
    <row r="1370" spans="1:27">
      <c r="A1370" s="29"/>
      <c r="B1370" s="19">
        <f t="shared" si="43"/>
        <v>46327</v>
      </c>
      <c r="C1370" s="27">
        <f>I1370+J1370+K1370+L1370+M1370+N1370+O1370+P1370+IF(Q1370="",0,Q1370*サマリー!$B$9)+IF(R1370="",0,IF(R1370=200,サマリー!$B$10,IF(R1370=100,サマリー!$B$11,0)))+IF(S1370="",0,S1370*サマリー!$B$12)</f>
        <v>0</v>
      </c>
      <c r="D1370" s="27">
        <f>T1370+U1370+V1370+W1370+X1370+IF(Y1370="",0,Y1370*サマリー!$B$9)+IF(Z1370="",0,IF(Z1370=200,サマリー!$B$10,IF(Z1370=100,サマリー!$B$11,0)))+IF(AA1370="",0,AA1370*サマリー!$B$12)</f>
        <v>0</v>
      </c>
      <c r="E1370" s="27">
        <f t="shared" si="42"/>
        <v>0</v>
      </c>
      <c r="I1370" s="30"/>
      <c r="J1370" s="30"/>
      <c r="K1370" s="30"/>
      <c r="L1370" s="30"/>
      <c r="M1370" s="30"/>
      <c r="N1370" s="30"/>
      <c r="O1370" s="30"/>
      <c r="P1370" s="30"/>
      <c r="Q1370" s="31"/>
      <c r="R1370" s="31"/>
      <c r="S1370" s="31"/>
      <c r="T1370" s="32"/>
      <c r="U1370" s="32"/>
      <c r="V1370" s="32"/>
      <c r="W1370" s="32"/>
      <c r="X1370" s="32"/>
      <c r="Y1370" s="33"/>
      <c r="Z1370" s="33"/>
      <c r="AA1370" s="33"/>
    </row>
    <row r="1371" spans="1:27">
      <c r="A1371" s="29"/>
      <c r="B1371" s="19">
        <f t="shared" si="43"/>
        <v>46327</v>
      </c>
      <c r="C1371" s="27">
        <f>I1371+J1371+K1371+L1371+M1371+N1371+O1371+P1371+IF(Q1371="",0,Q1371*サマリー!$B$9)+IF(R1371="",0,IF(R1371=200,サマリー!$B$10,IF(R1371=100,サマリー!$B$11,0)))+IF(S1371="",0,S1371*サマリー!$B$12)</f>
        <v>0</v>
      </c>
      <c r="D1371" s="27">
        <f>T1371+U1371+V1371+W1371+X1371+IF(Y1371="",0,Y1371*サマリー!$B$9)+IF(Z1371="",0,IF(Z1371=200,サマリー!$B$10,IF(Z1371=100,サマリー!$B$11,0)))+IF(AA1371="",0,AA1371*サマリー!$B$12)</f>
        <v>0</v>
      </c>
      <c r="E1371" s="27">
        <f t="shared" si="42"/>
        <v>0</v>
      </c>
      <c r="I1371" s="30"/>
      <c r="J1371" s="30"/>
      <c r="K1371" s="30"/>
      <c r="L1371" s="30"/>
      <c r="M1371" s="30"/>
      <c r="N1371" s="30"/>
      <c r="O1371" s="30"/>
      <c r="P1371" s="30"/>
      <c r="Q1371" s="31"/>
      <c r="R1371" s="31"/>
      <c r="S1371" s="31"/>
      <c r="T1371" s="32"/>
      <c r="U1371" s="32"/>
      <c r="V1371" s="32"/>
      <c r="W1371" s="32"/>
      <c r="X1371" s="32"/>
      <c r="Y1371" s="33"/>
      <c r="Z1371" s="33"/>
      <c r="AA1371" s="33"/>
    </row>
    <row r="1372" spans="1:27">
      <c r="A1372" s="29"/>
      <c r="B1372" s="19">
        <f t="shared" si="43"/>
        <v>46327</v>
      </c>
      <c r="C1372" s="27">
        <f>I1372+J1372+K1372+L1372+M1372+N1372+O1372+P1372+IF(Q1372="",0,Q1372*サマリー!$B$9)+IF(R1372="",0,IF(R1372=200,サマリー!$B$10,IF(R1372=100,サマリー!$B$11,0)))+IF(S1372="",0,S1372*サマリー!$B$12)</f>
        <v>0</v>
      </c>
      <c r="D1372" s="27">
        <f>T1372+U1372+V1372+W1372+X1372+IF(Y1372="",0,Y1372*サマリー!$B$9)+IF(Z1372="",0,IF(Z1372=200,サマリー!$B$10,IF(Z1372=100,サマリー!$B$11,0)))+IF(AA1372="",0,AA1372*サマリー!$B$12)</f>
        <v>0</v>
      </c>
      <c r="E1372" s="27">
        <f t="shared" si="42"/>
        <v>0</v>
      </c>
      <c r="I1372" s="30"/>
      <c r="J1372" s="30"/>
      <c r="K1372" s="30"/>
      <c r="L1372" s="30"/>
      <c r="M1372" s="30"/>
      <c r="N1372" s="30"/>
      <c r="O1372" s="30"/>
      <c r="P1372" s="30"/>
      <c r="Q1372" s="31"/>
      <c r="R1372" s="31"/>
      <c r="S1372" s="31"/>
      <c r="T1372" s="32"/>
      <c r="U1372" s="32"/>
      <c r="V1372" s="32"/>
      <c r="W1372" s="32"/>
      <c r="X1372" s="32"/>
      <c r="Y1372" s="33"/>
      <c r="Z1372" s="33"/>
      <c r="AA1372" s="33"/>
    </row>
    <row r="1373" spans="1:27">
      <c r="A1373" s="29"/>
      <c r="B1373" s="19">
        <f t="shared" si="43"/>
        <v>46327</v>
      </c>
      <c r="C1373" s="27">
        <f>I1373+J1373+K1373+L1373+M1373+N1373+O1373+P1373+IF(Q1373="",0,Q1373*サマリー!$B$9)+IF(R1373="",0,IF(R1373=200,サマリー!$B$10,IF(R1373=100,サマリー!$B$11,0)))+IF(S1373="",0,S1373*サマリー!$B$12)</f>
        <v>0</v>
      </c>
      <c r="D1373" s="27">
        <f>T1373+U1373+V1373+W1373+X1373+IF(Y1373="",0,Y1373*サマリー!$B$9)+IF(Z1373="",0,IF(Z1373=200,サマリー!$B$10,IF(Z1373=100,サマリー!$B$11,0)))+IF(AA1373="",0,AA1373*サマリー!$B$12)</f>
        <v>0</v>
      </c>
      <c r="E1373" s="27">
        <f t="shared" si="42"/>
        <v>0</v>
      </c>
      <c r="I1373" s="30"/>
      <c r="J1373" s="30"/>
      <c r="K1373" s="30"/>
      <c r="L1373" s="30"/>
      <c r="M1373" s="30"/>
      <c r="N1373" s="30"/>
      <c r="O1373" s="30"/>
      <c r="P1373" s="30"/>
      <c r="Q1373" s="31"/>
      <c r="R1373" s="31"/>
      <c r="S1373" s="31"/>
      <c r="T1373" s="32"/>
      <c r="U1373" s="32"/>
      <c r="V1373" s="32"/>
      <c r="W1373" s="32"/>
      <c r="X1373" s="32"/>
      <c r="Y1373" s="33"/>
      <c r="Z1373" s="33"/>
      <c r="AA1373" s="33"/>
    </row>
    <row r="1374" spans="1:27">
      <c r="A1374" s="29"/>
      <c r="B1374" s="19">
        <f t="shared" si="43"/>
        <v>46327</v>
      </c>
      <c r="C1374" s="27">
        <f>I1374+J1374+K1374+L1374+M1374+N1374+O1374+P1374+IF(Q1374="",0,Q1374*サマリー!$B$9)+IF(R1374="",0,IF(R1374=200,サマリー!$B$10,IF(R1374=100,サマリー!$B$11,0)))+IF(S1374="",0,S1374*サマリー!$B$12)</f>
        <v>0</v>
      </c>
      <c r="D1374" s="27">
        <f>T1374+U1374+V1374+W1374+X1374+IF(Y1374="",0,Y1374*サマリー!$B$9)+IF(Z1374="",0,IF(Z1374=200,サマリー!$B$10,IF(Z1374=100,サマリー!$B$11,0)))+IF(AA1374="",0,AA1374*サマリー!$B$12)</f>
        <v>0</v>
      </c>
      <c r="E1374" s="27">
        <f t="shared" si="42"/>
        <v>0</v>
      </c>
      <c r="I1374" s="30"/>
      <c r="J1374" s="30"/>
      <c r="K1374" s="30"/>
      <c r="L1374" s="30"/>
      <c r="M1374" s="30"/>
      <c r="N1374" s="30"/>
      <c r="O1374" s="30"/>
      <c r="P1374" s="30"/>
      <c r="Q1374" s="31"/>
      <c r="R1374" s="31"/>
      <c r="S1374" s="31"/>
      <c r="T1374" s="32"/>
      <c r="U1374" s="32"/>
      <c r="V1374" s="32"/>
      <c r="W1374" s="32"/>
      <c r="X1374" s="32"/>
      <c r="Y1374" s="33"/>
      <c r="Z1374" s="33"/>
      <c r="AA1374" s="33"/>
    </row>
    <row r="1375" spans="1:27">
      <c r="A1375" s="29"/>
      <c r="B1375" s="19">
        <f t="shared" si="43"/>
        <v>46327</v>
      </c>
      <c r="C1375" s="27">
        <f>I1375+J1375+K1375+L1375+M1375+N1375+O1375+P1375+IF(Q1375="",0,Q1375*サマリー!$B$9)+IF(R1375="",0,IF(R1375=200,サマリー!$B$10,IF(R1375=100,サマリー!$B$11,0)))+IF(S1375="",0,S1375*サマリー!$B$12)</f>
        <v>0</v>
      </c>
      <c r="D1375" s="27">
        <f>T1375+U1375+V1375+W1375+X1375+IF(Y1375="",0,Y1375*サマリー!$B$9)+IF(Z1375="",0,IF(Z1375=200,サマリー!$B$10,IF(Z1375=100,サマリー!$B$11,0)))+IF(AA1375="",0,AA1375*サマリー!$B$12)</f>
        <v>0</v>
      </c>
      <c r="E1375" s="27">
        <f t="shared" si="42"/>
        <v>0</v>
      </c>
      <c r="I1375" s="30"/>
      <c r="J1375" s="30"/>
      <c r="K1375" s="30"/>
      <c r="L1375" s="30"/>
      <c r="M1375" s="30"/>
      <c r="N1375" s="30"/>
      <c r="O1375" s="30"/>
      <c r="P1375" s="30"/>
      <c r="Q1375" s="31"/>
      <c r="R1375" s="31"/>
      <c r="S1375" s="31"/>
      <c r="T1375" s="32"/>
      <c r="U1375" s="32"/>
      <c r="V1375" s="32"/>
      <c r="W1375" s="32"/>
      <c r="X1375" s="32"/>
      <c r="Y1375" s="33"/>
      <c r="Z1375" s="33"/>
      <c r="AA1375" s="33"/>
    </row>
    <row r="1376" spans="1:27">
      <c r="A1376" s="29"/>
      <c r="B1376" s="19">
        <f t="shared" si="43"/>
        <v>46327</v>
      </c>
      <c r="C1376" s="27">
        <f>I1376+J1376+K1376+L1376+M1376+N1376+O1376+P1376+IF(Q1376="",0,Q1376*サマリー!$B$9)+IF(R1376="",0,IF(R1376=200,サマリー!$B$10,IF(R1376=100,サマリー!$B$11,0)))+IF(S1376="",0,S1376*サマリー!$B$12)</f>
        <v>0</v>
      </c>
      <c r="D1376" s="27">
        <f>T1376+U1376+V1376+W1376+X1376+IF(Y1376="",0,Y1376*サマリー!$B$9)+IF(Z1376="",0,IF(Z1376=200,サマリー!$B$10,IF(Z1376=100,サマリー!$B$11,0)))+IF(AA1376="",0,AA1376*サマリー!$B$12)</f>
        <v>0</v>
      </c>
      <c r="E1376" s="27">
        <f t="shared" si="42"/>
        <v>0</v>
      </c>
      <c r="I1376" s="30"/>
      <c r="J1376" s="30"/>
      <c r="K1376" s="30"/>
      <c r="L1376" s="30"/>
      <c r="M1376" s="30"/>
      <c r="N1376" s="30"/>
      <c r="O1376" s="30"/>
      <c r="P1376" s="30"/>
      <c r="Q1376" s="31"/>
      <c r="R1376" s="31"/>
      <c r="S1376" s="31"/>
      <c r="T1376" s="32"/>
      <c r="U1376" s="32"/>
      <c r="V1376" s="32"/>
      <c r="W1376" s="32"/>
      <c r="X1376" s="32"/>
      <c r="Y1376" s="33"/>
      <c r="Z1376" s="33"/>
      <c r="AA1376" s="33"/>
    </row>
    <row r="1377" spans="1:27">
      <c r="A1377" s="29"/>
      <c r="B1377" s="19">
        <f t="shared" si="43"/>
        <v>46327</v>
      </c>
      <c r="C1377" s="27">
        <f>I1377+J1377+K1377+L1377+M1377+N1377+O1377+P1377+IF(Q1377="",0,Q1377*サマリー!$B$9)+IF(R1377="",0,IF(R1377=200,サマリー!$B$10,IF(R1377=100,サマリー!$B$11,0)))+IF(S1377="",0,S1377*サマリー!$B$12)</f>
        <v>0</v>
      </c>
      <c r="D1377" s="27">
        <f>T1377+U1377+V1377+W1377+X1377+IF(Y1377="",0,Y1377*サマリー!$B$9)+IF(Z1377="",0,IF(Z1377=200,サマリー!$B$10,IF(Z1377=100,サマリー!$B$11,0)))+IF(AA1377="",0,AA1377*サマリー!$B$12)</f>
        <v>0</v>
      </c>
      <c r="E1377" s="27">
        <f t="shared" si="42"/>
        <v>0</v>
      </c>
      <c r="I1377" s="30"/>
      <c r="J1377" s="30"/>
      <c r="K1377" s="30"/>
      <c r="L1377" s="30"/>
      <c r="M1377" s="30"/>
      <c r="N1377" s="30"/>
      <c r="O1377" s="30"/>
      <c r="P1377" s="30"/>
      <c r="Q1377" s="31"/>
      <c r="R1377" s="31"/>
      <c r="S1377" s="31"/>
      <c r="T1377" s="32"/>
      <c r="U1377" s="32"/>
      <c r="V1377" s="32"/>
      <c r="W1377" s="32"/>
      <c r="X1377" s="32"/>
      <c r="Y1377" s="33"/>
      <c r="Z1377" s="33"/>
      <c r="AA1377" s="33"/>
    </row>
    <row r="1378" spans="1:27">
      <c r="A1378" s="29"/>
      <c r="B1378" s="19">
        <f t="shared" si="43"/>
        <v>46327</v>
      </c>
      <c r="C1378" s="27">
        <f>I1378+J1378+K1378+L1378+M1378+N1378+O1378+P1378+IF(Q1378="",0,Q1378*サマリー!$B$9)+IF(R1378="",0,IF(R1378=200,サマリー!$B$10,IF(R1378=100,サマリー!$B$11,0)))+IF(S1378="",0,S1378*サマリー!$B$12)</f>
        <v>0</v>
      </c>
      <c r="D1378" s="27">
        <f>T1378+U1378+V1378+W1378+X1378+IF(Y1378="",0,Y1378*サマリー!$B$9)+IF(Z1378="",0,IF(Z1378=200,サマリー!$B$10,IF(Z1378=100,サマリー!$B$11,0)))+IF(AA1378="",0,AA1378*サマリー!$B$12)</f>
        <v>0</v>
      </c>
      <c r="E1378" s="27">
        <f t="shared" si="42"/>
        <v>0</v>
      </c>
      <c r="I1378" s="30"/>
      <c r="J1378" s="30"/>
      <c r="K1378" s="30"/>
      <c r="L1378" s="30"/>
      <c r="M1378" s="30"/>
      <c r="N1378" s="30"/>
      <c r="O1378" s="30"/>
      <c r="P1378" s="30"/>
      <c r="Q1378" s="31"/>
      <c r="R1378" s="31"/>
      <c r="S1378" s="31"/>
      <c r="T1378" s="32"/>
      <c r="U1378" s="32"/>
      <c r="V1378" s="32"/>
      <c r="W1378" s="32"/>
      <c r="X1378" s="32"/>
      <c r="Y1378" s="33"/>
      <c r="Z1378" s="33"/>
      <c r="AA1378" s="33"/>
    </row>
    <row r="1379" spans="1:27">
      <c r="A1379" s="29"/>
      <c r="B1379" s="19">
        <f t="shared" si="43"/>
        <v>46327</v>
      </c>
      <c r="C1379" s="27">
        <f>I1379+J1379+K1379+L1379+M1379+N1379+O1379+P1379+IF(Q1379="",0,Q1379*サマリー!$B$9)+IF(R1379="",0,IF(R1379=200,サマリー!$B$10,IF(R1379=100,サマリー!$B$11,0)))+IF(S1379="",0,S1379*サマリー!$B$12)</f>
        <v>0</v>
      </c>
      <c r="D1379" s="27">
        <f>T1379+U1379+V1379+W1379+X1379+IF(Y1379="",0,Y1379*サマリー!$B$9)+IF(Z1379="",0,IF(Z1379=200,サマリー!$B$10,IF(Z1379=100,サマリー!$B$11,0)))+IF(AA1379="",0,AA1379*サマリー!$B$12)</f>
        <v>0</v>
      </c>
      <c r="E1379" s="27">
        <f t="shared" si="42"/>
        <v>0</v>
      </c>
      <c r="I1379" s="30"/>
      <c r="J1379" s="30"/>
      <c r="K1379" s="30"/>
      <c r="L1379" s="30"/>
      <c r="M1379" s="30"/>
      <c r="N1379" s="30"/>
      <c r="O1379" s="30"/>
      <c r="P1379" s="30"/>
      <c r="Q1379" s="31"/>
      <c r="R1379" s="31"/>
      <c r="S1379" s="31"/>
      <c r="T1379" s="32"/>
      <c r="U1379" s="32"/>
      <c r="V1379" s="32"/>
      <c r="W1379" s="32"/>
      <c r="X1379" s="32"/>
      <c r="Y1379" s="33"/>
      <c r="Z1379" s="33"/>
      <c r="AA1379" s="33"/>
    </row>
    <row r="1380" spans="1:27">
      <c r="A1380" s="29"/>
      <c r="B1380" s="19">
        <f t="shared" si="43"/>
        <v>46327</v>
      </c>
      <c r="C1380" s="27">
        <f>I1380+J1380+K1380+L1380+M1380+N1380+O1380+P1380+IF(Q1380="",0,Q1380*サマリー!$B$9)+IF(R1380="",0,IF(R1380=200,サマリー!$B$10,IF(R1380=100,サマリー!$B$11,0)))+IF(S1380="",0,S1380*サマリー!$B$12)</f>
        <v>0</v>
      </c>
      <c r="D1380" s="27">
        <f>T1380+U1380+V1380+W1380+X1380+IF(Y1380="",0,Y1380*サマリー!$B$9)+IF(Z1380="",0,IF(Z1380=200,サマリー!$B$10,IF(Z1380=100,サマリー!$B$11,0)))+IF(AA1380="",0,AA1380*サマリー!$B$12)</f>
        <v>0</v>
      </c>
      <c r="E1380" s="27">
        <f t="shared" si="42"/>
        <v>0</v>
      </c>
      <c r="I1380" s="30"/>
      <c r="J1380" s="30"/>
      <c r="K1380" s="30"/>
      <c r="L1380" s="30"/>
      <c r="M1380" s="30"/>
      <c r="N1380" s="30"/>
      <c r="O1380" s="30"/>
      <c r="P1380" s="30"/>
      <c r="Q1380" s="31"/>
      <c r="R1380" s="31"/>
      <c r="S1380" s="31"/>
      <c r="T1380" s="32"/>
      <c r="U1380" s="32"/>
      <c r="V1380" s="32"/>
      <c r="W1380" s="32"/>
      <c r="X1380" s="32"/>
      <c r="Y1380" s="33"/>
      <c r="Z1380" s="33"/>
      <c r="AA1380" s="33"/>
    </row>
    <row r="1381" spans="1:27">
      <c r="A1381" s="29"/>
      <c r="B1381" s="19">
        <f t="shared" si="43"/>
        <v>46327</v>
      </c>
      <c r="C1381" s="27">
        <f>I1381+J1381+K1381+L1381+M1381+N1381+O1381+P1381+IF(Q1381="",0,Q1381*サマリー!$B$9)+IF(R1381="",0,IF(R1381=200,サマリー!$B$10,IF(R1381=100,サマリー!$B$11,0)))+IF(S1381="",0,S1381*サマリー!$B$12)</f>
        <v>0</v>
      </c>
      <c r="D1381" s="27">
        <f>T1381+U1381+V1381+W1381+X1381+IF(Y1381="",0,Y1381*サマリー!$B$9)+IF(Z1381="",0,IF(Z1381=200,サマリー!$B$10,IF(Z1381=100,サマリー!$B$11,0)))+IF(AA1381="",0,AA1381*サマリー!$B$12)</f>
        <v>0</v>
      </c>
      <c r="E1381" s="27">
        <f t="shared" si="42"/>
        <v>0</v>
      </c>
      <c r="I1381" s="30"/>
      <c r="J1381" s="30"/>
      <c r="K1381" s="30"/>
      <c r="L1381" s="30"/>
      <c r="M1381" s="30"/>
      <c r="N1381" s="30"/>
      <c r="O1381" s="30"/>
      <c r="P1381" s="30"/>
      <c r="Q1381" s="31"/>
      <c r="R1381" s="31"/>
      <c r="S1381" s="31"/>
      <c r="T1381" s="32"/>
      <c r="U1381" s="32"/>
      <c r="V1381" s="32"/>
      <c r="W1381" s="32"/>
      <c r="X1381" s="32"/>
      <c r="Y1381" s="33"/>
      <c r="Z1381" s="33"/>
      <c r="AA1381" s="33"/>
    </row>
    <row r="1382" spans="1:27">
      <c r="A1382" s="29"/>
      <c r="B1382" s="19">
        <f t="shared" si="43"/>
        <v>46327</v>
      </c>
      <c r="C1382" s="27">
        <f>I1382+J1382+K1382+L1382+M1382+N1382+O1382+P1382+IF(Q1382="",0,Q1382*サマリー!$B$9)+IF(R1382="",0,IF(R1382=200,サマリー!$B$10,IF(R1382=100,サマリー!$B$11,0)))+IF(S1382="",0,S1382*サマリー!$B$12)</f>
        <v>0</v>
      </c>
      <c r="D1382" s="27">
        <f>T1382+U1382+V1382+W1382+X1382+IF(Y1382="",0,Y1382*サマリー!$B$9)+IF(Z1382="",0,IF(Z1382=200,サマリー!$B$10,IF(Z1382=100,サマリー!$B$11,0)))+IF(AA1382="",0,AA1382*サマリー!$B$12)</f>
        <v>0</v>
      </c>
      <c r="E1382" s="27">
        <f t="shared" si="42"/>
        <v>0</v>
      </c>
      <c r="I1382" s="30"/>
      <c r="J1382" s="30"/>
      <c r="K1382" s="30"/>
      <c r="L1382" s="30"/>
      <c r="M1382" s="30"/>
      <c r="N1382" s="30"/>
      <c r="O1382" s="30"/>
      <c r="P1382" s="30"/>
      <c r="Q1382" s="31"/>
      <c r="R1382" s="31"/>
      <c r="S1382" s="31"/>
      <c r="T1382" s="32"/>
      <c r="U1382" s="32"/>
      <c r="V1382" s="32"/>
      <c r="W1382" s="32"/>
      <c r="X1382" s="32"/>
      <c r="Y1382" s="33"/>
      <c r="Z1382" s="33"/>
      <c r="AA1382" s="33"/>
    </row>
    <row r="1383" spans="1:27">
      <c r="A1383" s="29"/>
      <c r="B1383" s="19">
        <f t="shared" si="43"/>
        <v>46327</v>
      </c>
      <c r="C1383" s="27">
        <f>I1383+J1383+K1383+L1383+M1383+N1383+O1383+P1383+IF(Q1383="",0,Q1383*サマリー!$B$9)+IF(R1383="",0,IF(R1383=200,サマリー!$B$10,IF(R1383=100,サマリー!$B$11,0)))+IF(S1383="",0,S1383*サマリー!$B$12)</f>
        <v>0</v>
      </c>
      <c r="D1383" s="27">
        <f>T1383+U1383+V1383+W1383+X1383+IF(Y1383="",0,Y1383*サマリー!$B$9)+IF(Z1383="",0,IF(Z1383=200,サマリー!$B$10,IF(Z1383=100,サマリー!$B$11,0)))+IF(AA1383="",0,AA1383*サマリー!$B$12)</f>
        <v>0</v>
      </c>
      <c r="E1383" s="27">
        <f t="shared" si="42"/>
        <v>0</v>
      </c>
      <c r="I1383" s="30"/>
      <c r="J1383" s="30"/>
      <c r="K1383" s="30"/>
      <c r="L1383" s="30"/>
      <c r="M1383" s="30"/>
      <c r="N1383" s="30"/>
      <c r="O1383" s="30"/>
      <c r="P1383" s="30"/>
      <c r="Q1383" s="31"/>
      <c r="R1383" s="31"/>
      <c r="S1383" s="31"/>
      <c r="T1383" s="32"/>
      <c r="U1383" s="32"/>
      <c r="V1383" s="32"/>
      <c r="W1383" s="32"/>
      <c r="X1383" s="32"/>
      <c r="Y1383" s="33"/>
      <c r="Z1383" s="33"/>
      <c r="AA1383" s="33"/>
    </row>
    <row r="1384" spans="1:27">
      <c r="A1384" s="29"/>
      <c r="B1384" s="19">
        <f t="shared" si="43"/>
        <v>46327</v>
      </c>
      <c r="C1384" s="27">
        <f>I1384+J1384+K1384+L1384+M1384+N1384+O1384+P1384+IF(Q1384="",0,Q1384*サマリー!$B$9)+IF(R1384="",0,IF(R1384=200,サマリー!$B$10,IF(R1384=100,サマリー!$B$11,0)))+IF(S1384="",0,S1384*サマリー!$B$12)</f>
        <v>0</v>
      </c>
      <c r="D1384" s="27">
        <f>T1384+U1384+V1384+W1384+X1384+IF(Y1384="",0,Y1384*サマリー!$B$9)+IF(Z1384="",0,IF(Z1384=200,サマリー!$B$10,IF(Z1384=100,サマリー!$B$11,0)))+IF(AA1384="",0,AA1384*サマリー!$B$12)</f>
        <v>0</v>
      </c>
      <c r="E1384" s="27">
        <f t="shared" si="42"/>
        <v>0</v>
      </c>
      <c r="I1384" s="30"/>
      <c r="J1384" s="30"/>
      <c r="K1384" s="30"/>
      <c r="L1384" s="30"/>
      <c r="M1384" s="30"/>
      <c r="N1384" s="30"/>
      <c r="O1384" s="30"/>
      <c r="P1384" s="30"/>
      <c r="Q1384" s="31"/>
      <c r="R1384" s="31"/>
      <c r="S1384" s="31"/>
      <c r="T1384" s="32"/>
      <c r="U1384" s="32"/>
      <c r="V1384" s="32"/>
      <c r="W1384" s="32"/>
      <c r="X1384" s="32"/>
      <c r="Y1384" s="33"/>
      <c r="Z1384" s="33"/>
      <c r="AA1384" s="33"/>
    </row>
    <row r="1385" spans="1:27">
      <c r="A1385" s="29"/>
      <c r="B1385" s="19">
        <f t="shared" si="43"/>
        <v>46327</v>
      </c>
      <c r="C1385" s="27">
        <f>I1385+J1385+K1385+L1385+M1385+N1385+O1385+P1385+IF(Q1385="",0,Q1385*サマリー!$B$9)+IF(R1385="",0,IF(R1385=200,サマリー!$B$10,IF(R1385=100,サマリー!$B$11,0)))+IF(S1385="",0,S1385*サマリー!$B$12)</f>
        <v>0</v>
      </c>
      <c r="D1385" s="27">
        <f>T1385+U1385+V1385+W1385+X1385+IF(Y1385="",0,Y1385*サマリー!$B$9)+IF(Z1385="",0,IF(Z1385=200,サマリー!$B$10,IF(Z1385=100,サマリー!$B$11,0)))+IF(AA1385="",0,AA1385*サマリー!$B$12)</f>
        <v>0</v>
      </c>
      <c r="E1385" s="27">
        <f t="shared" si="42"/>
        <v>0</v>
      </c>
      <c r="I1385" s="30"/>
      <c r="J1385" s="30"/>
      <c r="K1385" s="30"/>
      <c r="L1385" s="30"/>
      <c r="M1385" s="30"/>
      <c r="N1385" s="30"/>
      <c r="O1385" s="30"/>
      <c r="P1385" s="30"/>
      <c r="Q1385" s="31"/>
      <c r="R1385" s="31"/>
      <c r="S1385" s="31"/>
      <c r="T1385" s="32"/>
      <c r="U1385" s="32"/>
      <c r="V1385" s="32"/>
      <c r="W1385" s="32"/>
      <c r="X1385" s="32"/>
      <c r="Y1385" s="33"/>
      <c r="Z1385" s="33"/>
      <c r="AA1385" s="33"/>
    </row>
    <row r="1386" spans="1:27">
      <c r="A1386" s="29"/>
      <c r="B1386" s="19">
        <f t="shared" si="43"/>
        <v>46327</v>
      </c>
      <c r="C1386" s="27">
        <f>I1386+J1386+K1386+L1386+M1386+N1386+O1386+P1386+IF(Q1386="",0,Q1386*サマリー!$B$9)+IF(R1386="",0,IF(R1386=200,サマリー!$B$10,IF(R1386=100,サマリー!$B$11,0)))+IF(S1386="",0,S1386*サマリー!$B$12)</f>
        <v>0</v>
      </c>
      <c r="D1386" s="27">
        <f>T1386+U1386+V1386+W1386+X1386+IF(Y1386="",0,Y1386*サマリー!$B$9)+IF(Z1386="",0,IF(Z1386=200,サマリー!$B$10,IF(Z1386=100,サマリー!$B$11,0)))+IF(AA1386="",0,AA1386*サマリー!$B$12)</f>
        <v>0</v>
      </c>
      <c r="E1386" s="27">
        <f t="shared" si="42"/>
        <v>0</v>
      </c>
      <c r="I1386" s="30"/>
      <c r="J1386" s="30"/>
      <c r="K1386" s="30"/>
      <c r="L1386" s="30"/>
      <c r="M1386" s="30"/>
      <c r="N1386" s="30"/>
      <c r="O1386" s="30"/>
      <c r="P1386" s="30"/>
      <c r="Q1386" s="31"/>
      <c r="R1386" s="31"/>
      <c r="S1386" s="31"/>
      <c r="T1386" s="32"/>
      <c r="U1386" s="32"/>
      <c r="V1386" s="32"/>
      <c r="W1386" s="32"/>
      <c r="X1386" s="32"/>
      <c r="Y1386" s="33"/>
      <c r="Z1386" s="33"/>
      <c r="AA1386" s="33"/>
    </row>
    <row r="1387" spans="1:27">
      <c r="A1387" s="29"/>
      <c r="B1387" s="19">
        <f t="shared" si="43"/>
        <v>46327</v>
      </c>
      <c r="C1387" s="27">
        <f>I1387+J1387+K1387+L1387+M1387+N1387+O1387+P1387+IF(Q1387="",0,Q1387*サマリー!$B$9)+IF(R1387="",0,IF(R1387=200,サマリー!$B$10,IF(R1387=100,サマリー!$B$11,0)))+IF(S1387="",0,S1387*サマリー!$B$12)</f>
        <v>0</v>
      </c>
      <c r="D1387" s="27">
        <f>T1387+U1387+V1387+W1387+X1387+IF(Y1387="",0,Y1387*サマリー!$B$9)+IF(Z1387="",0,IF(Z1387=200,サマリー!$B$10,IF(Z1387=100,サマリー!$B$11,0)))+IF(AA1387="",0,AA1387*サマリー!$B$12)</f>
        <v>0</v>
      </c>
      <c r="E1387" s="27">
        <f t="shared" si="42"/>
        <v>0</v>
      </c>
      <c r="I1387" s="30"/>
      <c r="J1387" s="30"/>
      <c r="K1387" s="30"/>
      <c r="L1387" s="30"/>
      <c r="M1387" s="30"/>
      <c r="N1387" s="30"/>
      <c r="O1387" s="30"/>
      <c r="P1387" s="30"/>
      <c r="Q1387" s="31"/>
      <c r="R1387" s="31"/>
      <c r="S1387" s="31"/>
      <c r="T1387" s="32"/>
      <c r="U1387" s="32"/>
      <c r="V1387" s="32"/>
      <c r="W1387" s="32"/>
      <c r="X1387" s="32"/>
      <c r="Y1387" s="33"/>
      <c r="Z1387" s="33"/>
      <c r="AA1387" s="33"/>
    </row>
    <row r="1388" spans="1:27">
      <c r="A1388" s="29"/>
      <c r="B1388" s="19">
        <f t="shared" si="43"/>
        <v>46327</v>
      </c>
      <c r="C1388" s="27">
        <f>I1388+J1388+K1388+L1388+M1388+N1388+O1388+P1388+IF(Q1388="",0,Q1388*サマリー!$B$9)+IF(R1388="",0,IF(R1388=200,サマリー!$B$10,IF(R1388=100,サマリー!$B$11,0)))+IF(S1388="",0,S1388*サマリー!$B$12)</f>
        <v>0</v>
      </c>
      <c r="D1388" s="27">
        <f>T1388+U1388+V1388+W1388+X1388+IF(Y1388="",0,Y1388*サマリー!$B$9)+IF(Z1388="",0,IF(Z1388=200,サマリー!$B$10,IF(Z1388=100,サマリー!$B$11,0)))+IF(AA1388="",0,AA1388*サマリー!$B$12)</f>
        <v>0</v>
      </c>
      <c r="E1388" s="27">
        <f t="shared" si="42"/>
        <v>0</v>
      </c>
      <c r="I1388" s="30"/>
      <c r="J1388" s="30"/>
      <c r="K1388" s="30"/>
      <c r="L1388" s="30"/>
      <c r="M1388" s="30"/>
      <c r="N1388" s="30"/>
      <c r="O1388" s="30"/>
      <c r="P1388" s="30"/>
      <c r="Q1388" s="31"/>
      <c r="R1388" s="31"/>
      <c r="S1388" s="31"/>
      <c r="T1388" s="32"/>
      <c r="U1388" s="32"/>
      <c r="V1388" s="32"/>
      <c r="W1388" s="32"/>
      <c r="X1388" s="32"/>
      <c r="Y1388" s="33"/>
      <c r="Z1388" s="33"/>
      <c r="AA1388" s="33"/>
    </row>
    <row r="1389" spans="1:27">
      <c r="A1389" s="29"/>
      <c r="B1389" s="19">
        <f t="shared" si="43"/>
        <v>46327</v>
      </c>
      <c r="C1389" s="27">
        <f>I1389+J1389+K1389+L1389+M1389+N1389+O1389+P1389+IF(Q1389="",0,Q1389*サマリー!$B$9)+IF(R1389="",0,IF(R1389=200,サマリー!$B$10,IF(R1389=100,サマリー!$B$11,0)))+IF(S1389="",0,S1389*サマリー!$B$12)</f>
        <v>0</v>
      </c>
      <c r="D1389" s="27">
        <f>T1389+U1389+V1389+W1389+X1389+IF(Y1389="",0,Y1389*サマリー!$B$9)+IF(Z1389="",0,IF(Z1389=200,サマリー!$B$10,IF(Z1389=100,サマリー!$B$11,0)))+IF(AA1389="",0,AA1389*サマリー!$B$12)</f>
        <v>0</v>
      </c>
      <c r="E1389" s="27">
        <f t="shared" si="42"/>
        <v>0</v>
      </c>
      <c r="I1389" s="30"/>
      <c r="J1389" s="30"/>
      <c r="K1389" s="30"/>
      <c r="L1389" s="30"/>
      <c r="M1389" s="30"/>
      <c r="N1389" s="30"/>
      <c r="O1389" s="30"/>
      <c r="P1389" s="30"/>
      <c r="Q1389" s="31"/>
      <c r="R1389" s="31"/>
      <c r="S1389" s="31"/>
      <c r="T1389" s="32"/>
      <c r="U1389" s="32"/>
      <c r="V1389" s="32"/>
      <c r="W1389" s="32"/>
      <c r="X1389" s="32"/>
      <c r="Y1389" s="33"/>
      <c r="Z1389" s="33"/>
      <c r="AA1389" s="33"/>
    </row>
    <row r="1390" spans="1:27">
      <c r="A1390" s="29"/>
      <c r="B1390" s="19">
        <f t="shared" si="43"/>
        <v>46327</v>
      </c>
      <c r="C1390" s="27">
        <f>I1390+J1390+K1390+L1390+M1390+N1390+O1390+P1390+IF(Q1390="",0,Q1390*サマリー!$B$9)+IF(R1390="",0,IF(R1390=200,サマリー!$B$10,IF(R1390=100,サマリー!$B$11,0)))+IF(S1390="",0,S1390*サマリー!$B$12)</f>
        <v>0</v>
      </c>
      <c r="D1390" s="27">
        <f>T1390+U1390+V1390+W1390+X1390+IF(Y1390="",0,Y1390*サマリー!$B$9)+IF(Z1390="",0,IF(Z1390=200,サマリー!$B$10,IF(Z1390=100,サマリー!$B$11,0)))+IF(AA1390="",0,AA1390*サマリー!$B$12)</f>
        <v>0</v>
      </c>
      <c r="E1390" s="27">
        <f t="shared" si="42"/>
        <v>0</v>
      </c>
      <c r="I1390" s="30"/>
      <c r="J1390" s="30"/>
      <c r="K1390" s="30"/>
      <c r="L1390" s="30"/>
      <c r="M1390" s="30"/>
      <c r="N1390" s="30"/>
      <c r="O1390" s="30"/>
      <c r="P1390" s="30"/>
      <c r="Q1390" s="31"/>
      <c r="R1390" s="31"/>
      <c r="S1390" s="31"/>
      <c r="T1390" s="32"/>
      <c r="U1390" s="32"/>
      <c r="V1390" s="32"/>
      <c r="W1390" s="32"/>
      <c r="X1390" s="32"/>
      <c r="Y1390" s="33"/>
      <c r="Z1390" s="33"/>
      <c r="AA1390" s="33"/>
    </row>
    <row r="1391" spans="1:27">
      <c r="A1391" s="29"/>
      <c r="B1391" s="19">
        <f t="shared" si="43"/>
        <v>46327</v>
      </c>
      <c r="C1391" s="27">
        <f>I1391+J1391+K1391+L1391+M1391+N1391+O1391+P1391+IF(Q1391="",0,Q1391*サマリー!$B$9)+IF(R1391="",0,IF(R1391=200,サマリー!$B$10,IF(R1391=100,サマリー!$B$11,0)))+IF(S1391="",0,S1391*サマリー!$B$12)</f>
        <v>0</v>
      </c>
      <c r="D1391" s="27">
        <f>T1391+U1391+V1391+W1391+X1391+IF(Y1391="",0,Y1391*サマリー!$B$9)+IF(Z1391="",0,IF(Z1391=200,サマリー!$B$10,IF(Z1391=100,サマリー!$B$11,0)))+IF(AA1391="",0,AA1391*サマリー!$B$12)</f>
        <v>0</v>
      </c>
      <c r="E1391" s="27">
        <f t="shared" si="42"/>
        <v>0</v>
      </c>
      <c r="I1391" s="30"/>
      <c r="J1391" s="30"/>
      <c r="K1391" s="30"/>
      <c r="L1391" s="30"/>
      <c r="M1391" s="30"/>
      <c r="N1391" s="30"/>
      <c r="O1391" s="30"/>
      <c r="P1391" s="30"/>
      <c r="Q1391" s="31"/>
      <c r="R1391" s="31"/>
      <c r="S1391" s="31"/>
      <c r="T1391" s="32"/>
      <c r="U1391" s="32"/>
      <c r="V1391" s="32"/>
      <c r="W1391" s="32"/>
      <c r="X1391" s="32"/>
      <c r="Y1391" s="33"/>
      <c r="Z1391" s="33"/>
      <c r="AA1391" s="33"/>
    </row>
    <row r="1392" spans="1:27">
      <c r="A1392" s="29"/>
      <c r="B1392" s="19">
        <f t="shared" si="43"/>
        <v>46327</v>
      </c>
      <c r="C1392" s="27">
        <f>I1392+J1392+K1392+L1392+M1392+N1392+O1392+P1392+IF(Q1392="",0,Q1392*サマリー!$B$9)+IF(R1392="",0,IF(R1392=200,サマリー!$B$10,IF(R1392=100,サマリー!$B$11,0)))+IF(S1392="",0,S1392*サマリー!$B$12)</f>
        <v>0</v>
      </c>
      <c r="D1392" s="27">
        <f>T1392+U1392+V1392+W1392+X1392+IF(Y1392="",0,Y1392*サマリー!$B$9)+IF(Z1392="",0,IF(Z1392=200,サマリー!$B$10,IF(Z1392=100,サマリー!$B$11,0)))+IF(AA1392="",0,AA1392*サマリー!$B$12)</f>
        <v>0</v>
      </c>
      <c r="E1392" s="27">
        <f t="shared" si="42"/>
        <v>0</v>
      </c>
      <c r="I1392" s="30"/>
      <c r="J1392" s="30"/>
      <c r="K1392" s="30"/>
      <c r="L1392" s="30"/>
      <c r="M1392" s="30"/>
      <c r="N1392" s="30"/>
      <c r="O1392" s="30"/>
      <c r="P1392" s="30"/>
      <c r="Q1392" s="31"/>
      <c r="R1392" s="31"/>
      <c r="S1392" s="31"/>
      <c r="T1392" s="32"/>
      <c r="U1392" s="32"/>
      <c r="V1392" s="32"/>
      <c r="W1392" s="32"/>
      <c r="X1392" s="32"/>
      <c r="Y1392" s="33"/>
      <c r="Z1392" s="33"/>
      <c r="AA1392" s="33"/>
    </row>
    <row r="1393" spans="1:27">
      <c r="A1393" s="29"/>
      <c r="B1393" s="19">
        <f t="shared" si="43"/>
        <v>46327</v>
      </c>
      <c r="C1393" s="27">
        <f>I1393+J1393+K1393+L1393+M1393+N1393+O1393+P1393+IF(Q1393="",0,Q1393*サマリー!$B$9)+IF(R1393="",0,IF(R1393=200,サマリー!$B$10,IF(R1393=100,サマリー!$B$11,0)))+IF(S1393="",0,S1393*サマリー!$B$12)</f>
        <v>0</v>
      </c>
      <c r="D1393" s="27">
        <f>T1393+U1393+V1393+W1393+X1393+IF(Y1393="",0,Y1393*サマリー!$B$9)+IF(Z1393="",0,IF(Z1393=200,サマリー!$B$10,IF(Z1393=100,サマリー!$B$11,0)))+IF(AA1393="",0,AA1393*サマリー!$B$12)</f>
        <v>0</v>
      </c>
      <c r="E1393" s="27">
        <f t="shared" si="42"/>
        <v>0</v>
      </c>
      <c r="I1393" s="30"/>
      <c r="J1393" s="30"/>
      <c r="K1393" s="30"/>
      <c r="L1393" s="30"/>
      <c r="M1393" s="30"/>
      <c r="N1393" s="30"/>
      <c r="O1393" s="30"/>
      <c r="P1393" s="30"/>
      <c r="Q1393" s="31"/>
      <c r="R1393" s="31"/>
      <c r="S1393" s="31"/>
      <c r="T1393" s="32"/>
      <c r="U1393" s="32"/>
      <c r="V1393" s="32"/>
      <c r="W1393" s="32"/>
      <c r="X1393" s="32"/>
      <c r="Y1393" s="33"/>
      <c r="Z1393" s="33"/>
      <c r="AA1393" s="33"/>
    </row>
    <row r="1394" spans="1:27">
      <c r="A1394" s="29"/>
      <c r="B1394" s="19">
        <f t="shared" si="43"/>
        <v>46327</v>
      </c>
      <c r="C1394" s="27">
        <f>I1394+J1394+K1394+L1394+M1394+N1394+O1394+P1394+IF(Q1394="",0,Q1394*サマリー!$B$9)+IF(R1394="",0,IF(R1394=200,サマリー!$B$10,IF(R1394=100,サマリー!$B$11,0)))+IF(S1394="",0,S1394*サマリー!$B$12)</f>
        <v>0</v>
      </c>
      <c r="D1394" s="27">
        <f>T1394+U1394+V1394+W1394+X1394+IF(Y1394="",0,Y1394*サマリー!$B$9)+IF(Z1394="",0,IF(Z1394=200,サマリー!$B$10,IF(Z1394=100,サマリー!$B$11,0)))+IF(AA1394="",0,AA1394*サマリー!$B$12)</f>
        <v>0</v>
      </c>
      <c r="E1394" s="27">
        <f t="shared" si="42"/>
        <v>0</v>
      </c>
      <c r="I1394" s="30"/>
      <c r="J1394" s="30"/>
      <c r="K1394" s="30"/>
      <c r="L1394" s="30"/>
      <c r="M1394" s="30"/>
      <c r="N1394" s="30"/>
      <c r="O1394" s="30"/>
      <c r="P1394" s="30"/>
      <c r="Q1394" s="31"/>
      <c r="R1394" s="31"/>
      <c r="S1394" s="31"/>
      <c r="T1394" s="32"/>
      <c r="U1394" s="32"/>
      <c r="V1394" s="32"/>
      <c r="W1394" s="32"/>
      <c r="X1394" s="32"/>
      <c r="Y1394" s="33"/>
      <c r="Z1394" s="33"/>
      <c r="AA1394" s="33"/>
    </row>
    <row r="1395" spans="1:27">
      <c r="A1395" s="29"/>
      <c r="B1395" s="19">
        <f t="shared" si="43"/>
        <v>46327</v>
      </c>
      <c r="C1395" s="27">
        <f>I1395+J1395+K1395+L1395+M1395+N1395+O1395+P1395+IF(Q1395="",0,Q1395*サマリー!$B$9)+IF(R1395="",0,IF(R1395=200,サマリー!$B$10,IF(R1395=100,サマリー!$B$11,0)))+IF(S1395="",0,S1395*サマリー!$B$12)</f>
        <v>0</v>
      </c>
      <c r="D1395" s="27">
        <f>T1395+U1395+V1395+W1395+X1395+IF(Y1395="",0,Y1395*サマリー!$B$9)+IF(Z1395="",0,IF(Z1395=200,サマリー!$B$10,IF(Z1395=100,サマリー!$B$11,0)))+IF(AA1395="",0,AA1395*サマリー!$B$12)</f>
        <v>0</v>
      </c>
      <c r="E1395" s="27">
        <f t="shared" si="42"/>
        <v>0</v>
      </c>
      <c r="I1395" s="30"/>
      <c r="J1395" s="30"/>
      <c r="K1395" s="30"/>
      <c r="L1395" s="30"/>
      <c r="M1395" s="30"/>
      <c r="N1395" s="30"/>
      <c r="O1395" s="30"/>
      <c r="P1395" s="30"/>
      <c r="Q1395" s="31"/>
      <c r="R1395" s="31"/>
      <c r="S1395" s="31"/>
      <c r="T1395" s="32"/>
      <c r="U1395" s="32"/>
      <c r="V1395" s="32"/>
      <c r="W1395" s="32"/>
      <c r="X1395" s="32"/>
      <c r="Y1395" s="33"/>
      <c r="Z1395" s="33"/>
      <c r="AA1395" s="33"/>
    </row>
    <row r="1396" spans="1:27">
      <c r="A1396" s="29"/>
      <c r="B1396" s="19">
        <f t="shared" si="43"/>
        <v>46327</v>
      </c>
      <c r="C1396" s="27">
        <f>I1396+J1396+K1396+L1396+M1396+N1396+O1396+P1396+IF(Q1396="",0,Q1396*サマリー!$B$9)+IF(R1396="",0,IF(R1396=200,サマリー!$B$10,IF(R1396=100,サマリー!$B$11,0)))+IF(S1396="",0,S1396*サマリー!$B$12)</f>
        <v>0</v>
      </c>
      <c r="D1396" s="27">
        <f>T1396+U1396+V1396+W1396+X1396+IF(Y1396="",0,Y1396*サマリー!$B$9)+IF(Z1396="",0,IF(Z1396=200,サマリー!$B$10,IF(Z1396=100,サマリー!$B$11,0)))+IF(AA1396="",0,AA1396*サマリー!$B$12)</f>
        <v>0</v>
      </c>
      <c r="E1396" s="27">
        <f t="shared" si="42"/>
        <v>0</v>
      </c>
      <c r="I1396" s="30"/>
      <c r="J1396" s="30"/>
      <c r="K1396" s="30"/>
      <c r="L1396" s="30"/>
      <c r="M1396" s="30"/>
      <c r="N1396" s="30"/>
      <c r="O1396" s="30"/>
      <c r="P1396" s="30"/>
      <c r="Q1396" s="31"/>
      <c r="R1396" s="31"/>
      <c r="S1396" s="31"/>
      <c r="T1396" s="32"/>
      <c r="U1396" s="32"/>
      <c r="V1396" s="32"/>
      <c r="W1396" s="32"/>
      <c r="X1396" s="32"/>
      <c r="Y1396" s="33"/>
      <c r="Z1396" s="33"/>
      <c r="AA1396" s="33"/>
    </row>
    <row r="1397" spans="1:27">
      <c r="A1397" s="29"/>
      <c r="B1397" s="19">
        <f t="shared" si="43"/>
        <v>46327</v>
      </c>
      <c r="C1397" s="27">
        <f>I1397+J1397+K1397+L1397+M1397+N1397+O1397+P1397+IF(Q1397="",0,Q1397*サマリー!$B$9)+IF(R1397="",0,IF(R1397=200,サマリー!$B$10,IF(R1397=100,サマリー!$B$11,0)))+IF(S1397="",0,S1397*サマリー!$B$12)</f>
        <v>0</v>
      </c>
      <c r="D1397" s="27">
        <f>T1397+U1397+V1397+W1397+X1397+IF(Y1397="",0,Y1397*サマリー!$B$9)+IF(Z1397="",0,IF(Z1397=200,サマリー!$B$10,IF(Z1397=100,サマリー!$B$11,0)))+IF(AA1397="",0,AA1397*サマリー!$B$12)</f>
        <v>0</v>
      </c>
      <c r="E1397" s="27">
        <f t="shared" si="42"/>
        <v>0</v>
      </c>
      <c r="I1397" s="30"/>
      <c r="J1397" s="30"/>
      <c r="K1397" s="30"/>
      <c r="L1397" s="30"/>
      <c r="M1397" s="30"/>
      <c r="N1397" s="30"/>
      <c r="O1397" s="30"/>
      <c r="P1397" s="30"/>
      <c r="Q1397" s="31"/>
      <c r="R1397" s="31"/>
      <c r="S1397" s="31"/>
      <c r="T1397" s="32"/>
      <c r="U1397" s="32"/>
      <c r="V1397" s="32"/>
      <c r="W1397" s="32"/>
      <c r="X1397" s="32"/>
      <c r="Y1397" s="33"/>
      <c r="Z1397" s="33"/>
      <c r="AA1397" s="33"/>
    </row>
    <row r="1398" spans="1:27">
      <c r="A1398" s="29"/>
      <c r="B1398" s="19">
        <f t="shared" si="43"/>
        <v>46327</v>
      </c>
      <c r="C1398" s="27">
        <f>I1398+J1398+K1398+L1398+M1398+N1398+O1398+P1398+IF(Q1398="",0,Q1398*サマリー!$B$9)+IF(R1398="",0,IF(R1398=200,サマリー!$B$10,IF(R1398=100,サマリー!$B$11,0)))+IF(S1398="",0,S1398*サマリー!$B$12)</f>
        <v>0</v>
      </c>
      <c r="D1398" s="27">
        <f>T1398+U1398+V1398+W1398+X1398+IF(Y1398="",0,Y1398*サマリー!$B$9)+IF(Z1398="",0,IF(Z1398=200,サマリー!$B$10,IF(Z1398=100,サマリー!$B$11,0)))+IF(AA1398="",0,AA1398*サマリー!$B$12)</f>
        <v>0</v>
      </c>
      <c r="E1398" s="27">
        <f t="shared" si="42"/>
        <v>0</v>
      </c>
      <c r="I1398" s="30"/>
      <c r="J1398" s="30"/>
      <c r="K1398" s="30"/>
      <c r="L1398" s="30"/>
      <c r="M1398" s="30"/>
      <c r="N1398" s="30"/>
      <c r="O1398" s="30"/>
      <c r="P1398" s="30"/>
      <c r="Q1398" s="31"/>
      <c r="R1398" s="31"/>
      <c r="S1398" s="31"/>
      <c r="T1398" s="32"/>
      <c r="U1398" s="32"/>
      <c r="V1398" s="32"/>
      <c r="W1398" s="32"/>
      <c r="X1398" s="32"/>
      <c r="Y1398" s="33"/>
      <c r="Z1398" s="33"/>
      <c r="AA1398" s="33"/>
    </row>
    <row r="1399" spans="1:27">
      <c r="A1399" s="29"/>
      <c r="B1399" s="19">
        <f t="shared" si="43"/>
        <v>46327</v>
      </c>
      <c r="C1399" s="27">
        <f>I1399+J1399+K1399+L1399+M1399+N1399+O1399+P1399+IF(Q1399="",0,Q1399*サマリー!$B$9)+IF(R1399="",0,IF(R1399=200,サマリー!$B$10,IF(R1399=100,サマリー!$B$11,0)))+IF(S1399="",0,S1399*サマリー!$B$12)</f>
        <v>0</v>
      </c>
      <c r="D1399" s="27">
        <f>T1399+U1399+V1399+W1399+X1399+IF(Y1399="",0,Y1399*サマリー!$B$9)+IF(Z1399="",0,IF(Z1399=200,サマリー!$B$10,IF(Z1399=100,サマリー!$B$11,0)))+IF(AA1399="",0,AA1399*サマリー!$B$12)</f>
        <v>0</v>
      </c>
      <c r="E1399" s="27">
        <f t="shared" si="42"/>
        <v>0</v>
      </c>
      <c r="I1399" s="30"/>
      <c r="J1399" s="30"/>
      <c r="K1399" s="30"/>
      <c r="L1399" s="30"/>
      <c r="M1399" s="30"/>
      <c r="N1399" s="30"/>
      <c r="O1399" s="30"/>
      <c r="P1399" s="30"/>
      <c r="Q1399" s="31"/>
      <c r="R1399" s="31"/>
      <c r="S1399" s="31"/>
      <c r="T1399" s="32"/>
      <c r="U1399" s="32"/>
      <c r="V1399" s="32"/>
      <c r="W1399" s="32"/>
      <c r="X1399" s="32"/>
      <c r="Y1399" s="33"/>
      <c r="Z1399" s="33"/>
      <c r="AA1399" s="33"/>
    </row>
    <row r="1400" spans="1:27">
      <c r="A1400" s="29"/>
      <c r="B1400" s="19">
        <f t="shared" si="43"/>
        <v>46327</v>
      </c>
      <c r="C1400" s="27">
        <f>I1400+J1400+K1400+L1400+M1400+N1400+O1400+P1400+IF(Q1400="",0,Q1400*サマリー!$B$9)+IF(R1400="",0,IF(R1400=200,サマリー!$B$10,IF(R1400=100,サマリー!$B$11,0)))+IF(S1400="",0,S1400*サマリー!$B$12)</f>
        <v>0</v>
      </c>
      <c r="D1400" s="27">
        <f>T1400+U1400+V1400+W1400+X1400+IF(Y1400="",0,Y1400*サマリー!$B$9)+IF(Z1400="",0,IF(Z1400=200,サマリー!$B$10,IF(Z1400=100,サマリー!$B$11,0)))+IF(AA1400="",0,AA1400*サマリー!$B$12)</f>
        <v>0</v>
      </c>
      <c r="E1400" s="27">
        <f t="shared" si="42"/>
        <v>0</v>
      </c>
      <c r="I1400" s="30"/>
      <c r="J1400" s="30"/>
      <c r="K1400" s="30"/>
      <c r="L1400" s="30"/>
      <c r="M1400" s="30"/>
      <c r="N1400" s="30"/>
      <c r="O1400" s="30"/>
      <c r="P1400" s="30"/>
      <c r="Q1400" s="31"/>
      <c r="R1400" s="31"/>
      <c r="S1400" s="31"/>
      <c r="T1400" s="32"/>
      <c r="U1400" s="32"/>
      <c r="V1400" s="32"/>
      <c r="W1400" s="32"/>
      <c r="X1400" s="32"/>
      <c r="Y1400" s="33"/>
      <c r="Z1400" s="33"/>
      <c r="AA1400" s="33"/>
    </row>
    <row r="1401" spans="1:27">
      <c r="A1401" s="29"/>
      <c r="B1401" s="19">
        <f t="shared" si="43"/>
        <v>46327</v>
      </c>
      <c r="C1401" s="27">
        <f>I1401+J1401+K1401+L1401+M1401+N1401+O1401+P1401+IF(Q1401="",0,Q1401*サマリー!$B$9)+IF(R1401="",0,IF(R1401=200,サマリー!$B$10,IF(R1401=100,サマリー!$B$11,0)))+IF(S1401="",0,S1401*サマリー!$B$12)</f>
        <v>0</v>
      </c>
      <c r="D1401" s="27">
        <f>T1401+U1401+V1401+W1401+X1401+IF(Y1401="",0,Y1401*サマリー!$B$9)+IF(Z1401="",0,IF(Z1401=200,サマリー!$B$10,IF(Z1401=100,サマリー!$B$11,0)))+IF(AA1401="",0,AA1401*サマリー!$B$12)</f>
        <v>0</v>
      </c>
      <c r="E1401" s="27">
        <f t="shared" si="42"/>
        <v>0</v>
      </c>
      <c r="I1401" s="30"/>
      <c r="J1401" s="30"/>
      <c r="K1401" s="30"/>
      <c r="L1401" s="30"/>
      <c r="M1401" s="30"/>
      <c r="N1401" s="30"/>
      <c r="O1401" s="30"/>
      <c r="P1401" s="30"/>
      <c r="Q1401" s="31"/>
      <c r="R1401" s="31"/>
      <c r="S1401" s="31"/>
      <c r="T1401" s="32"/>
      <c r="U1401" s="32"/>
      <c r="V1401" s="32"/>
      <c r="W1401" s="32"/>
      <c r="X1401" s="32"/>
      <c r="Y1401" s="33"/>
      <c r="Z1401" s="33"/>
      <c r="AA1401" s="33"/>
    </row>
    <row r="1402" spans="1:27">
      <c r="A1402" s="29"/>
      <c r="B1402" s="19">
        <f t="shared" si="43"/>
        <v>46327</v>
      </c>
      <c r="C1402" s="27">
        <f>I1402+J1402+K1402+L1402+M1402+N1402+O1402+P1402+IF(Q1402="",0,Q1402*サマリー!$B$9)+IF(R1402="",0,IF(R1402=200,サマリー!$B$10,IF(R1402=100,サマリー!$B$11,0)))+IF(S1402="",0,S1402*サマリー!$B$12)</f>
        <v>0</v>
      </c>
      <c r="D1402" s="27">
        <f>T1402+U1402+V1402+W1402+X1402+IF(Y1402="",0,Y1402*サマリー!$B$9)+IF(Z1402="",0,IF(Z1402=200,サマリー!$B$10,IF(Z1402=100,サマリー!$B$11,0)))+IF(AA1402="",0,AA1402*サマリー!$B$12)</f>
        <v>0</v>
      </c>
      <c r="E1402" s="27">
        <f t="shared" si="42"/>
        <v>0</v>
      </c>
      <c r="I1402" s="30"/>
      <c r="J1402" s="30"/>
      <c r="K1402" s="30"/>
      <c r="L1402" s="30"/>
      <c r="M1402" s="30"/>
      <c r="N1402" s="30"/>
      <c r="O1402" s="30"/>
      <c r="P1402" s="30"/>
      <c r="Q1402" s="31"/>
      <c r="R1402" s="31"/>
      <c r="S1402" s="31"/>
      <c r="T1402" s="32"/>
      <c r="U1402" s="32"/>
      <c r="V1402" s="32"/>
      <c r="W1402" s="32"/>
      <c r="X1402" s="32"/>
      <c r="Y1402" s="33"/>
      <c r="Z1402" s="33"/>
      <c r="AA1402" s="33"/>
    </row>
    <row r="1403" spans="1:27">
      <c r="A1403" s="29"/>
      <c r="B1403" s="19">
        <f t="shared" si="43"/>
        <v>46327</v>
      </c>
      <c r="C1403" s="27">
        <f>I1403+J1403+K1403+L1403+M1403+N1403+O1403+P1403+IF(Q1403="",0,Q1403*サマリー!$B$9)+IF(R1403="",0,IF(R1403=200,サマリー!$B$10,IF(R1403=100,サマリー!$B$11,0)))+IF(S1403="",0,S1403*サマリー!$B$12)</f>
        <v>0</v>
      </c>
      <c r="D1403" s="27">
        <f>T1403+U1403+V1403+W1403+X1403+IF(Y1403="",0,Y1403*サマリー!$B$9)+IF(Z1403="",0,IF(Z1403=200,サマリー!$B$10,IF(Z1403=100,サマリー!$B$11,0)))+IF(AA1403="",0,AA1403*サマリー!$B$12)</f>
        <v>0</v>
      </c>
      <c r="E1403" s="27">
        <f t="shared" si="42"/>
        <v>0</v>
      </c>
      <c r="I1403" s="30"/>
      <c r="J1403" s="30"/>
      <c r="K1403" s="30"/>
      <c r="L1403" s="30"/>
      <c r="M1403" s="30"/>
      <c r="N1403" s="30"/>
      <c r="O1403" s="30"/>
      <c r="P1403" s="30"/>
      <c r="Q1403" s="31"/>
      <c r="R1403" s="31"/>
      <c r="S1403" s="31"/>
      <c r="T1403" s="32"/>
      <c r="U1403" s="32"/>
      <c r="V1403" s="32"/>
      <c r="W1403" s="32"/>
      <c r="X1403" s="32"/>
      <c r="Y1403" s="33"/>
      <c r="Z1403" s="33"/>
      <c r="AA1403" s="33"/>
    </row>
    <row r="1404" spans="1:27">
      <c r="A1404" s="29"/>
      <c r="B1404" s="19">
        <f t="shared" si="43"/>
        <v>46327</v>
      </c>
      <c r="C1404" s="27">
        <f>I1404+J1404+K1404+L1404+M1404+N1404+O1404+P1404+IF(Q1404="",0,Q1404*サマリー!$B$9)+IF(R1404="",0,IF(R1404=200,サマリー!$B$10,IF(R1404=100,サマリー!$B$11,0)))+IF(S1404="",0,S1404*サマリー!$B$12)</f>
        <v>0</v>
      </c>
      <c r="D1404" s="27">
        <f>T1404+U1404+V1404+W1404+X1404+IF(Y1404="",0,Y1404*サマリー!$B$9)+IF(Z1404="",0,IF(Z1404=200,サマリー!$B$10,IF(Z1404=100,サマリー!$B$11,0)))+IF(AA1404="",0,AA1404*サマリー!$B$12)</f>
        <v>0</v>
      </c>
      <c r="E1404" s="27">
        <f t="shared" si="42"/>
        <v>0</v>
      </c>
      <c r="I1404" s="30"/>
      <c r="J1404" s="30"/>
      <c r="K1404" s="30"/>
      <c r="L1404" s="30"/>
      <c r="M1404" s="30"/>
      <c r="N1404" s="30"/>
      <c r="O1404" s="30"/>
      <c r="P1404" s="30"/>
      <c r="Q1404" s="31"/>
      <c r="R1404" s="31"/>
      <c r="S1404" s="31"/>
      <c r="T1404" s="32"/>
      <c r="U1404" s="32"/>
      <c r="V1404" s="32"/>
      <c r="W1404" s="32"/>
      <c r="X1404" s="32"/>
      <c r="Y1404" s="33"/>
      <c r="Z1404" s="33"/>
      <c r="AA1404" s="33"/>
    </row>
    <row r="1405" spans="1:27">
      <c r="A1405" s="29"/>
      <c r="B1405" s="19">
        <f t="shared" si="43"/>
        <v>46327</v>
      </c>
      <c r="C1405" s="27">
        <f>I1405+J1405+K1405+L1405+M1405+N1405+O1405+P1405+IF(Q1405="",0,Q1405*サマリー!$B$9)+IF(R1405="",0,IF(R1405=200,サマリー!$B$10,IF(R1405=100,サマリー!$B$11,0)))+IF(S1405="",0,S1405*サマリー!$B$12)</f>
        <v>0</v>
      </c>
      <c r="D1405" s="27">
        <f>T1405+U1405+V1405+W1405+X1405+IF(Y1405="",0,Y1405*サマリー!$B$9)+IF(Z1405="",0,IF(Z1405=200,サマリー!$B$10,IF(Z1405=100,サマリー!$B$11,0)))+IF(AA1405="",0,AA1405*サマリー!$B$12)</f>
        <v>0</v>
      </c>
      <c r="E1405" s="27">
        <f t="shared" si="42"/>
        <v>0</v>
      </c>
      <c r="I1405" s="30"/>
      <c r="J1405" s="30"/>
      <c r="K1405" s="30"/>
      <c r="L1405" s="30"/>
      <c r="M1405" s="30"/>
      <c r="N1405" s="30"/>
      <c r="O1405" s="30"/>
      <c r="P1405" s="30"/>
      <c r="Q1405" s="31"/>
      <c r="R1405" s="31"/>
      <c r="S1405" s="31"/>
      <c r="T1405" s="32"/>
      <c r="U1405" s="32"/>
      <c r="V1405" s="32"/>
      <c r="W1405" s="32"/>
      <c r="X1405" s="32"/>
      <c r="Y1405" s="33"/>
      <c r="Z1405" s="33"/>
      <c r="AA1405" s="33"/>
    </row>
    <row r="1406" spans="1:27">
      <c r="A1406" s="29"/>
      <c r="B1406" s="19">
        <f t="shared" si="43"/>
        <v>46327</v>
      </c>
      <c r="C1406" s="27">
        <f>I1406+J1406+K1406+L1406+M1406+N1406+O1406+P1406+IF(Q1406="",0,Q1406*サマリー!$B$9)+IF(R1406="",0,IF(R1406=200,サマリー!$B$10,IF(R1406=100,サマリー!$B$11,0)))+IF(S1406="",0,S1406*サマリー!$B$12)</f>
        <v>0</v>
      </c>
      <c r="D1406" s="27">
        <f>T1406+U1406+V1406+W1406+X1406+IF(Y1406="",0,Y1406*サマリー!$B$9)+IF(Z1406="",0,IF(Z1406=200,サマリー!$B$10,IF(Z1406=100,サマリー!$B$11,0)))+IF(AA1406="",0,AA1406*サマリー!$B$12)</f>
        <v>0</v>
      </c>
      <c r="E1406" s="27">
        <f t="shared" si="42"/>
        <v>0</v>
      </c>
      <c r="I1406" s="30"/>
      <c r="J1406" s="30"/>
      <c r="K1406" s="30"/>
      <c r="L1406" s="30"/>
      <c r="M1406" s="30"/>
      <c r="N1406" s="30"/>
      <c r="O1406" s="30"/>
      <c r="P1406" s="30"/>
      <c r="Q1406" s="31"/>
      <c r="R1406" s="31"/>
      <c r="S1406" s="31"/>
      <c r="T1406" s="32"/>
      <c r="U1406" s="32"/>
      <c r="V1406" s="32"/>
      <c r="W1406" s="32"/>
      <c r="X1406" s="32"/>
      <c r="Y1406" s="33"/>
      <c r="Z1406" s="33"/>
      <c r="AA1406" s="33"/>
    </row>
    <row r="1407" spans="1:27">
      <c r="A1407" s="29"/>
      <c r="B1407" s="19">
        <f t="shared" si="43"/>
        <v>46327</v>
      </c>
      <c r="C1407" s="27">
        <f>I1407+J1407+K1407+L1407+M1407+N1407+O1407+P1407+IF(Q1407="",0,Q1407*サマリー!$B$9)+IF(R1407="",0,IF(R1407=200,サマリー!$B$10,IF(R1407=100,サマリー!$B$11,0)))+IF(S1407="",0,S1407*サマリー!$B$12)</f>
        <v>0</v>
      </c>
      <c r="D1407" s="27">
        <f>T1407+U1407+V1407+W1407+X1407+IF(Y1407="",0,Y1407*サマリー!$B$9)+IF(Z1407="",0,IF(Z1407=200,サマリー!$B$10,IF(Z1407=100,サマリー!$B$11,0)))+IF(AA1407="",0,AA1407*サマリー!$B$12)</f>
        <v>0</v>
      </c>
      <c r="E1407" s="27">
        <f t="shared" si="42"/>
        <v>0</v>
      </c>
      <c r="I1407" s="30"/>
      <c r="J1407" s="30"/>
      <c r="K1407" s="30"/>
      <c r="L1407" s="30"/>
      <c r="M1407" s="30"/>
      <c r="N1407" s="30"/>
      <c r="O1407" s="30"/>
      <c r="P1407" s="30"/>
      <c r="Q1407" s="31"/>
      <c r="R1407" s="31"/>
      <c r="S1407" s="31"/>
      <c r="T1407" s="32"/>
      <c r="U1407" s="32"/>
      <c r="V1407" s="32"/>
      <c r="W1407" s="32"/>
      <c r="X1407" s="32"/>
      <c r="Y1407" s="33"/>
      <c r="Z1407" s="33"/>
      <c r="AA1407" s="33"/>
    </row>
    <row r="1408" spans="1:27">
      <c r="A1408" s="29"/>
      <c r="B1408" s="19">
        <f t="shared" si="43"/>
        <v>46327</v>
      </c>
      <c r="C1408" s="27">
        <f>I1408+J1408+K1408+L1408+M1408+N1408+O1408+P1408+IF(Q1408="",0,Q1408*サマリー!$B$9)+IF(R1408="",0,IF(R1408=200,サマリー!$B$10,IF(R1408=100,サマリー!$B$11,0)))+IF(S1408="",0,S1408*サマリー!$B$12)</f>
        <v>0</v>
      </c>
      <c r="D1408" s="27">
        <f>T1408+U1408+V1408+W1408+X1408+IF(Y1408="",0,Y1408*サマリー!$B$9)+IF(Z1408="",0,IF(Z1408=200,サマリー!$B$10,IF(Z1408=100,サマリー!$B$11,0)))+IF(AA1408="",0,AA1408*サマリー!$B$12)</f>
        <v>0</v>
      </c>
      <c r="E1408" s="27">
        <f t="shared" si="42"/>
        <v>0</v>
      </c>
      <c r="I1408" s="30"/>
      <c r="J1408" s="30"/>
      <c r="K1408" s="30"/>
      <c r="L1408" s="30"/>
      <c r="M1408" s="30"/>
      <c r="N1408" s="30"/>
      <c r="O1408" s="30"/>
      <c r="P1408" s="30"/>
      <c r="Q1408" s="31"/>
      <c r="R1408" s="31"/>
      <c r="S1408" s="31"/>
      <c r="T1408" s="32"/>
      <c r="U1408" s="32"/>
      <c r="V1408" s="32"/>
      <c r="W1408" s="32"/>
      <c r="X1408" s="32"/>
      <c r="Y1408" s="33"/>
      <c r="Z1408" s="33"/>
      <c r="AA1408" s="33"/>
    </row>
    <row r="1409" spans="1:27">
      <c r="A1409" s="29"/>
      <c r="B1409" s="19">
        <f t="shared" si="43"/>
        <v>46327</v>
      </c>
      <c r="C1409" s="27">
        <f>I1409+J1409+K1409+L1409+M1409+N1409+O1409+P1409+IF(Q1409="",0,Q1409*サマリー!$B$9)+IF(R1409="",0,IF(R1409=200,サマリー!$B$10,IF(R1409=100,サマリー!$B$11,0)))+IF(S1409="",0,S1409*サマリー!$B$12)</f>
        <v>0</v>
      </c>
      <c r="D1409" s="27">
        <f>T1409+U1409+V1409+W1409+X1409+IF(Y1409="",0,Y1409*サマリー!$B$9)+IF(Z1409="",0,IF(Z1409=200,サマリー!$B$10,IF(Z1409=100,サマリー!$B$11,0)))+IF(AA1409="",0,AA1409*サマリー!$B$12)</f>
        <v>0</v>
      </c>
      <c r="E1409" s="27">
        <f t="shared" si="42"/>
        <v>0</v>
      </c>
      <c r="I1409" s="30"/>
      <c r="J1409" s="30"/>
      <c r="K1409" s="30"/>
      <c r="L1409" s="30"/>
      <c r="M1409" s="30"/>
      <c r="N1409" s="30"/>
      <c r="O1409" s="30"/>
      <c r="P1409" s="30"/>
      <c r="Q1409" s="31"/>
      <c r="R1409" s="31"/>
      <c r="S1409" s="31"/>
      <c r="T1409" s="32"/>
      <c r="U1409" s="32"/>
      <c r="V1409" s="32"/>
      <c r="W1409" s="32"/>
      <c r="X1409" s="32"/>
      <c r="Y1409" s="33"/>
      <c r="Z1409" s="33"/>
      <c r="AA1409" s="33"/>
    </row>
    <row r="1410" spans="1:27">
      <c r="A1410" s="29"/>
      <c r="B1410" s="19">
        <f t="shared" si="43"/>
        <v>46327</v>
      </c>
      <c r="C1410" s="27">
        <f>I1410+J1410+K1410+L1410+M1410+N1410+O1410+P1410+IF(Q1410="",0,Q1410*サマリー!$B$9)+IF(R1410="",0,IF(R1410=200,サマリー!$B$10,IF(R1410=100,サマリー!$B$11,0)))+IF(S1410="",0,S1410*サマリー!$B$12)</f>
        <v>0</v>
      </c>
      <c r="D1410" s="27">
        <f>T1410+U1410+V1410+W1410+X1410+IF(Y1410="",0,Y1410*サマリー!$B$9)+IF(Z1410="",0,IF(Z1410=200,サマリー!$B$10,IF(Z1410=100,サマリー!$B$11,0)))+IF(AA1410="",0,AA1410*サマリー!$B$12)</f>
        <v>0</v>
      </c>
      <c r="E1410" s="27">
        <f t="shared" si="42"/>
        <v>0</v>
      </c>
      <c r="I1410" s="30"/>
      <c r="J1410" s="30"/>
      <c r="K1410" s="30"/>
      <c r="L1410" s="30"/>
      <c r="M1410" s="30"/>
      <c r="N1410" s="30"/>
      <c r="O1410" s="30"/>
      <c r="P1410" s="30"/>
      <c r="Q1410" s="31"/>
      <c r="R1410" s="31"/>
      <c r="S1410" s="31"/>
      <c r="T1410" s="32"/>
      <c r="U1410" s="32"/>
      <c r="V1410" s="32"/>
      <c r="W1410" s="32"/>
      <c r="X1410" s="32"/>
      <c r="Y1410" s="33"/>
      <c r="Z1410" s="33"/>
      <c r="AA1410" s="33"/>
    </row>
    <row r="1411" spans="1:27">
      <c r="A1411" s="29"/>
      <c r="B1411" s="19">
        <f t="shared" si="43"/>
        <v>46327</v>
      </c>
      <c r="C1411" s="27">
        <f>I1411+J1411+K1411+L1411+M1411+N1411+O1411+P1411+IF(Q1411="",0,Q1411*サマリー!$B$9)+IF(R1411="",0,IF(R1411=200,サマリー!$B$10,IF(R1411=100,サマリー!$B$11,0)))+IF(S1411="",0,S1411*サマリー!$B$12)</f>
        <v>0</v>
      </c>
      <c r="D1411" s="27">
        <f>T1411+U1411+V1411+W1411+X1411+IF(Y1411="",0,Y1411*サマリー!$B$9)+IF(Z1411="",0,IF(Z1411=200,サマリー!$B$10,IF(Z1411=100,サマリー!$B$11,0)))+IF(AA1411="",0,AA1411*サマリー!$B$12)</f>
        <v>0</v>
      </c>
      <c r="E1411" s="27">
        <f t="shared" si="42"/>
        <v>0</v>
      </c>
      <c r="I1411" s="30"/>
      <c r="J1411" s="30"/>
      <c r="K1411" s="30"/>
      <c r="L1411" s="30"/>
      <c r="M1411" s="30"/>
      <c r="N1411" s="30"/>
      <c r="O1411" s="30"/>
      <c r="P1411" s="30"/>
      <c r="Q1411" s="31"/>
      <c r="R1411" s="31"/>
      <c r="S1411" s="31"/>
      <c r="T1411" s="32"/>
      <c r="U1411" s="32"/>
      <c r="V1411" s="32"/>
      <c r="W1411" s="32"/>
      <c r="X1411" s="32"/>
      <c r="Y1411" s="33"/>
      <c r="Z1411" s="33"/>
      <c r="AA1411" s="33"/>
    </row>
    <row r="1412" spans="1:27">
      <c r="A1412" s="29"/>
      <c r="B1412" s="19">
        <f t="shared" si="43"/>
        <v>46327</v>
      </c>
      <c r="C1412" s="27">
        <f>I1412+J1412+K1412+L1412+M1412+N1412+O1412+P1412+IF(Q1412="",0,Q1412*サマリー!$B$9)+IF(R1412="",0,IF(R1412=200,サマリー!$B$10,IF(R1412=100,サマリー!$B$11,0)))+IF(S1412="",0,S1412*サマリー!$B$12)</f>
        <v>0</v>
      </c>
      <c r="D1412" s="27">
        <f>T1412+U1412+V1412+W1412+X1412+IF(Y1412="",0,Y1412*サマリー!$B$9)+IF(Z1412="",0,IF(Z1412=200,サマリー!$B$10,IF(Z1412=100,サマリー!$B$11,0)))+IF(AA1412="",0,AA1412*サマリー!$B$12)</f>
        <v>0</v>
      </c>
      <c r="E1412" s="27">
        <f t="shared" si="42"/>
        <v>0</v>
      </c>
      <c r="I1412" s="30"/>
      <c r="J1412" s="30"/>
      <c r="K1412" s="30"/>
      <c r="L1412" s="30"/>
      <c r="M1412" s="30"/>
      <c r="N1412" s="30"/>
      <c r="O1412" s="30"/>
      <c r="P1412" s="30"/>
      <c r="Q1412" s="31"/>
      <c r="R1412" s="31"/>
      <c r="S1412" s="31"/>
      <c r="T1412" s="32"/>
      <c r="U1412" s="32"/>
      <c r="V1412" s="32"/>
      <c r="W1412" s="32"/>
      <c r="X1412" s="32"/>
      <c r="Y1412" s="33"/>
      <c r="Z1412" s="33"/>
      <c r="AA1412" s="33"/>
    </row>
    <row r="1413" spans="1:27">
      <c r="A1413" s="29"/>
      <c r="B1413" s="19">
        <f t="shared" si="43"/>
        <v>46327</v>
      </c>
      <c r="C1413" s="27">
        <f>I1413+J1413+K1413+L1413+M1413+N1413+O1413+P1413+IF(Q1413="",0,Q1413*サマリー!$B$9)+IF(R1413="",0,IF(R1413=200,サマリー!$B$10,IF(R1413=100,サマリー!$B$11,0)))+IF(S1413="",0,S1413*サマリー!$B$12)</f>
        <v>0</v>
      </c>
      <c r="D1413" s="27">
        <f>T1413+U1413+V1413+W1413+X1413+IF(Y1413="",0,Y1413*サマリー!$B$9)+IF(Z1413="",0,IF(Z1413=200,サマリー!$B$10,IF(Z1413=100,サマリー!$B$11,0)))+IF(AA1413="",0,AA1413*サマリー!$B$12)</f>
        <v>0</v>
      </c>
      <c r="E1413" s="27">
        <f t="shared" si="42"/>
        <v>0</v>
      </c>
      <c r="I1413" s="30"/>
      <c r="J1413" s="30"/>
      <c r="K1413" s="30"/>
      <c r="L1413" s="30"/>
      <c r="M1413" s="30"/>
      <c r="N1413" s="30"/>
      <c r="O1413" s="30"/>
      <c r="P1413" s="30"/>
      <c r="Q1413" s="31"/>
      <c r="R1413" s="31"/>
      <c r="S1413" s="31"/>
      <c r="T1413" s="32"/>
      <c r="U1413" s="32"/>
      <c r="V1413" s="32"/>
      <c r="W1413" s="32"/>
      <c r="X1413" s="32"/>
      <c r="Y1413" s="33"/>
      <c r="Z1413" s="33"/>
      <c r="AA1413" s="33"/>
    </row>
    <row r="1414" spans="1:27">
      <c r="A1414" s="29"/>
      <c r="B1414" s="19">
        <f t="shared" si="43"/>
        <v>46327</v>
      </c>
      <c r="C1414" s="27">
        <f>I1414+J1414+K1414+L1414+M1414+N1414+O1414+P1414+IF(Q1414="",0,Q1414*サマリー!$B$9)+IF(R1414="",0,IF(R1414=200,サマリー!$B$10,IF(R1414=100,サマリー!$B$11,0)))+IF(S1414="",0,S1414*サマリー!$B$12)</f>
        <v>0</v>
      </c>
      <c r="D1414" s="27">
        <f>T1414+U1414+V1414+W1414+X1414+IF(Y1414="",0,Y1414*サマリー!$B$9)+IF(Z1414="",0,IF(Z1414=200,サマリー!$B$10,IF(Z1414=100,サマリー!$B$11,0)))+IF(AA1414="",0,AA1414*サマリー!$B$12)</f>
        <v>0</v>
      </c>
      <c r="E1414" s="27">
        <f t="shared" ref="E1414:E1477" si="44">C1414+D1414</f>
        <v>0</v>
      </c>
      <c r="I1414" s="30"/>
      <c r="J1414" s="30"/>
      <c r="K1414" s="30"/>
      <c r="L1414" s="30"/>
      <c r="M1414" s="30"/>
      <c r="N1414" s="30"/>
      <c r="O1414" s="30"/>
      <c r="P1414" s="30"/>
      <c r="Q1414" s="31"/>
      <c r="R1414" s="31"/>
      <c r="S1414" s="31"/>
      <c r="T1414" s="32"/>
      <c r="U1414" s="32"/>
      <c r="V1414" s="32"/>
      <c r="W1414" s="32"/>
      <c r="X1414" s="32"/>
      <c r="Y1414" s="33"/>
      <c r="Z1414" s="33"/>
      <c r="AA1414" s="33"/>
    </row>
    <row r="1415" spans="1:27">
      <c r="A1415" s="29"/>
      <c r="B1415" s="19">
        <f t="shared" ref="B1415:B1478" si="45">IF(A1415="",B1414,IF(A1415&lt;DAY(B1414),DATE(YEAR(B1414),MONTH(B1414)+1,A1415),DATE(YEAR(B1414),MONTH(B1414),A1415)))</f>
        <v>46327</v>
      </c>
      <c r="C1415" s="27">
        <f>I1415+J1415+K1415+L1415+M1415+N1415+O1415+P1415+IF(Q1415="",0,Q1415*サマリー!$B$9)+IF(R1415="",0,IF(R1415=200,サマリー!$B$10,IF(R1415=100,サマリー!$B$11,0)))+IF(S1415="",0,S1415*サマリー!$B$12)</f>
        <v>0</v>
      </c>
      <c r="D1415" s="27">
        <f>T1415+U1415+V1415+W1415+X1415+IF(Y1415="",0,Y1415*サマリー!$B$9)+IF(Z1415="",0,IF(Z1415=200,サマリー!$B$10,IF(Z1415=100,サマリー!$B$11,0)))+IF(AA1415="",0,AA1415*サマリー!$B$12)</f>
        <v>0</v>
      </c>
      <c r="E1415" s="27">
        <f t="shared" si="44"/>
        <v>0</v>
      </c>
      <c r="I1415" s="30"/>
      <c r="J1415" s="30"/>
      <c r="K1415" s="30"/>
      <c r="L1415" s="30"/>
      <c r="M1415" s="30"/>
      <c r="N1415" s="30"/>
      <c r="O1415" s="30"/>
      <c r="P1415" s="30"/>
      <c r="Q1415" s="31"/>
      <c r="R1415" s="31"/>
      <c r="S1415" s="31"/>
      <c r="T1415" s="32"/>
      <c r="U1415" s="32"/>
      <c r="V1415" s="32"/>
      <c r="W1415" s="32"/>
      <c r="X1415" s="32"/>
      <c r="Y1415" s="33"/>
      <c r="Z1415" s="33"/>
      <c r="AA1415" s="33"/>
    </row>
    <row r="1416" spans="1:27">
      <c r="A1416" s="29"/>
      <c r="B1416" s="19">
        <f t="shared" si="45"/>
        <v>46327</v>
      </c>
      <c r="C1416" s="27">
        <f>I1416+J1416+K1416+L1416+M1416+N1416+O1416+P1416+IF(Q1416="",0,Q1416*サマリー!$B$9)+IF(R1416="",0,IF(R1416=200,サマリー!$B$10,IF(R1416=100,サマリー!$B$11,0)))+IF(S1416="",0,S1416*サマリー!$B$12)</f>
        <v>0</v>
      </c>
      <c r="D1416" s="27">
        <f>T1416+U1416+V1416+W1416+X1416+IF(Y1416="",0,Y1416*サマリー!$B$9)+IF(Z1416="",0,IF(Z1416=200,サマリー!$B$10,IF(Z1416=100,サマリー!$B$11,0)))+IF(AA1416="",0,AA1416*サマリー!$B$12)</f>
        <v>0</v>
      </c>
      <c r="E1416" s="27">
        <f t="shared" si="44"/>
        <v>0</v>
      </c>
      <c r="I1416" s="30"/>
      <c r="J1416" s="30"/>
      <c r="K1416" s="30"/>
      <c r="L1416" s="30"/>
      <c r="M1416" s="30"/>
      <c r="N1416" s="30"/>
      <c r="O1416" s="30"/>
      <c r="P1416" s="30"/>
      <c r="Q1416" s="31"/>
      <c r="R1416" s="31"/>
      <c r="S1416" s="31"/>
      <c r="T1416" s="32"/>
      <c r="U1416" s="32"/>
      <c r="V1416" s="32"/>
      <c r="W1416" s="32"/>
      <c r="X1416" s="32"/>
      <c r="Y1416" s="33"/>
      <c r="Z1416" s="33"/>
      <c r="AA1416" s="33"/>
    </row>
    <row r="1417" spans="1:27">
      <c r="A1417" s="29"/>
      <c r="B1417" s="19">
        <f t="shared" si="45"/>
        <v>46327</v>
      </c>
      <c r="C1417" s="27">
        <f>I1417+J1417+K1417+L1417+M1417+N1417+O1417+P1417+IF(Q1417="",0,Q1417*サマリー!$B$9)+IF(R1417="",0,IF(R1417=200,サマリー!$B$10,IF(R1417=100,サマリー!$B$11,0)))+IF(S1417="",0,S1417*サマリー!$B$12)</f>
        <v>0</v>
      </c>
      <c r="D1417" s="27">
        <f>T1417+U1417+V1417+W1417+X1417+IF(Y1417="",0,Y1417*サマリー!$B$9)+IF(Z1417="",0,IF(Z1417=200,サマリー!$B$10,IF(Z1417=100,サマリー!$B$11,0)))+IF(AA1417="",0,AA1417*サマリー!$B$12)</f>
        <v>0</v>
      </c>
      <c r="E1417" s="27">
        <f t="shared" si="44"/>
        <v>0</v>
      </c>
      <c r="I1417" s="30"/>
      <c r="J1417" s="30"/>
      <c r="K1417" s="30"/>
      <c r="L1417" s="30"/>
      <c r="M1417" s="30"/>
      <c r="N1417" s="30"/>
      <c r="O1417" s="30"/>
      <c r="P1417" s="30"/>
      <c r="Q1417" s="31"/>
      <c r="R1417" s="31"/>
      <c r="S1417" s="31"/>
      <c r="T1417" s="32"/>
      <c r="U1417" s="32"/>
      <c r="V1417" s="32"/>
      <c r="W1417" s="32"/>
      <c r="X1417" s="32"/>
      <c r="Y1417" s="33"/>
      <c r="Z1417" s="33"/>
      <c r="AA1417" s="33"/>
    </row>
    <row r="1418" spans="1:27">
      <c r="A1418" s="29"/>
      <c r="B1418" s="19">
        <f t="shared" si="45"/>
        <v>46327</v>
      </c>
      <c r="C1418" s="27">
        <f>I1418+J1418+K1418+L1418+M1418+N1418+O1418+P1418+IF(Q1418="",0,Q1418*サマリー!$B$9)+IF(R1418="",0,IF(R1418=200,サマリー!$B$10,IF(R1418=100,サマリー!$B$11,0)))+IF(S1418="",0,S1418*サマリー!$B$12)</f>
        <v>0</v>
      </c>
      <c r="D1418" s="27">
        <f>T1418+U1418+V1418+W1418+X1418+IF(Y1418="",0,Y1418*サマリー!$B$9)+IF(Z1418="",0,IF(Z1418=200,サマリー!$B$10,IF(Z1418=100,サマリー!$B$11,0)))+IF(AA1418="",0,AA1418*サマリー!$B$12)</f>
        <v>0</v>
      </c>
      <c r="E1418" s="27">
        <f t="shared" si="44"/>
        <v>0</v>
      </c>
      <c r="I1418" s="30"/>
      <c r="J1418" s="30"/>
      <c r="K1418" s="30"/>
      <c r="L1418" s="30"/>
      <c r="M1418" s="30"/>
      <c r="N1418" s="30"/>
      <c r="O1418" s="30"/>
      <c r="P1418" s="30"/>
      <c r="Q1418" s="31"/>
      <c r="R1418" s="31"/>
      <c r="S1418" s="31"/>
      <c r="T1418" s="32"/>
      <c r="U1418" s="32"/>
      <c r="V1418" s="32"/>
      <c r="W1418" s="32"/>
      <c r="X1418" s="32"/>
      <c r="Y1418" s="33"/>
      <c r="Z1418" s="33"/>
      <c r="AA1418" s="33"/>
    </row>
    <row r="1419" spans="1:27">
      <c r="A1419" s="29"/>
      <c r="B1419" s="19">
        <f t="shared" si="45"/>
        <v>46327</v>
      </c>
      <c r="C1419" s="27">
        <f>I1419+J1419+K1419+L1419+M1419+N1419+O1419+P1419+IF(Q1419="",0,Q1419*サマリー!$B$9)+IF(R1419="",0,IF(R1419=200,サマリー!$B$10,IF(R1419=100,サマリー!$B$11,0)))+IF(S1419="",0,S1419*サマリー!$B$12)</f>
        <v>0</v>
      </c>
      <c r="D1419" s="27">
        <f>T1419+U1419+V1419+W1419+X1419+IF(Y1419="",0,Y1419*サマリー!$B$9)+IF(Z1419="",0,IF(Z1419=200,サマリー!$B$10,IF(Z1419=100,サマリー!$B$11,0)))+IF(AA1419="",0,AA1419*サマリー!$B$12)</f>
        <v>0</v>
      </c>
      <c r="E1419" s="27">
        <f t="shared" si="44"/>
        <v>0</v>
      </c>
      <c r="I1419" s="30"/>
      <c r="J1419" s="30"/>
      <c r="K1419" s="30"/>
      <c r="L1419" s="30"/>
      <c r="M1419" s="30"/>
      <c r="N1419" s="30"/>
      <c r="O1419" s="30"/>
      <c r="P1419" s="30"/>
      <c r="Q1419" s="31"/>
      <c r="R1419" s="31"/>
      <c r="S1419" s="31"/>
      <c r="T1419" s="32"/>
      <c r="U1419" s="32"/>
      <c r="V1419" s="32"/>
      <c r="W1419" s="32"/>
      <c r="X1419" s="32"/>
      <c r="Y1419" s="33"/>
      <c r="Z1419" s="33"/>
      <c r="AA1419" s="33"/>
    </row>
    <row r="1420" spans="1:27">
      <c r="A1420" s="29"/>
      <c r="B1420" s="19">
        <f t="shared" si="45"/>
        <v>46327</v>
      </c>
      <c r="C1420" s="27">
        <f>I1420+J1420+K1420+L1420+M1420+N1420+O1420+P1420+IF(Q1420="",0,Q1420*サマリー!$B$9)+IF(R1420="",0,IF(R1420=200,サマリー!$B$10,IF(R1420=100,サマリー!$B$11,0)))+IF(S1420="",0,S1420*サマリー!$B$12)</f>
        <v>0</v>
      </c>
      <c r="D1420" s="27">
        <f>T1420+U1420+V1420+W1420+X1420+IF(Y1420="",0,Y1420*サマリー!$B$9)+IF(Z1420="",0,IF(Z1420=200,サマリー!$B$10,IF(Z1420=100,サマリー!$B$11,0)))+IF(AA1420="",0,AA1420*サマリー!$B$12)</f>
        <v>0</v>
      </c>
      <c r="E1420" s="27">
        <f t="shared" si="44"/>
        <v>0</v>
      </c>
      <c r="I1420" s="30"/>
      <c r="J1420" s="30"/>
      <c r="K1420" s="30"/>
      <c r="L1420" s="30"/>
      <c r="M1420" s="30"/>
      <c r="N1420" s="30"/>
      <c r="O1420" s="30"/>
      <c r="P1420" s="30"/>
      <c r="Q1420" s="31"/>
      <c r="R1420" s="31"/>
      <c r="S1420" s="31"/>
      <c r="T1420" s="32"/>
      <c r="U1420" s="32"/>
      <c r="V1420" s="32"/>
      <c r="W1420" s="32"/>
      <c r="X1420" s="32"/>
      <c r="Y1420" s="33"/>
      <c r="Z1420" s="33"/>
      <c r="AA1420" s="33"/>
    </row>
    <row r="1421" spans="1:27">
      <c r="A1421" s="29"/>
      <c r="B1421" s="19">
        <f t="shared" si="45"/>
        <v>46327</v>
      </c>
      <c r="C1421" s="27">
        <f>I1421+J1421+K1421+L1421+M1421+N1421+O1421+P1421+IF(Q1421="",0,Q1421*サマリー!$B$9)+IF(R1421="",0,IF(R1421=200,サマリー!$B$10,IF(R1421=100,サマリー!$B$11,0)))+IF(S1421="",0,S1421*サマリー!$B$12)</f>
        <v>0</v>
      </c>
      <c r="D1421" s="27">
        <f>T1421+U1421+V1421+W1421+X1421+IF(Y1421="",0,Y1421*サマリー!$B$9)+IF(Z1421="",0,IF(Z1421=200,サマリー!$B$10,IF(Z1421=100,サマリー!$B$11,0)))+IF(AA1421="",0,AA1421*サマリー!$B$12)</f>
        <v>0</v>
      </c>
      <c r="E1421" s="27">
        <f t="shared" si="44"/>
        <v>0</v>
      </c>
      <c r="I1421" s="30"/>
      <c r="J1421" s="30"/>
      <c r="K1421" s="30"/>
      <c r="L1421" s="30"/>
      <c r="M1421" s="30"/>
      <c r="N1421" s="30"/>
      <c r="O1421" s="30"/>
      <c r="P1421" s="30"/>
      <c r="Q1421" s="31"/>
      <c r="R1421" s="31"/>
      <c r="S1421" s="31"/>
      <c r="T1421" s="32"/>
      <c r="U1421" s="32"/>
      <c r="V1421" s="32"/>
      <c r="W1421" s="32"/>
      <c r="X1421" s="32"/>
      <c r="Y1421" s="33"/>
      <c r="Z1421" s="33"/>
      <c r="AA1421" s="33"/>
    </row>
    <row r="1422" spans="1:27">
      <c r="A1422" s="29"/>
      <c r="B1422" s="19">
        <f t="shared" si="45"/>
        <v>46327</v>
      </c>
      <c r="C1422" s="27">
        <f>I1422+J1422+K1422+L1422+M1422+N1422+O1422+P1422+IF(Q1422="",0,Q1422*サマリー!$B$9)+IF(R1422="",0,IF(R1422=200,サマリー!$B$10,IF(R1422=100,サマリー!$B$11,0)))+IF(S1422="",0,S1422*サマリー!$B$12)</f>
        <v>0</v>
      </c>
      <c r="D1422" s="27">
        <f>T1422+U1422+V1422+W1422+X1422+IF(Y1422="",0,Y1422*サマリー!$B$9)+IF(Z1422="",0,IF(Z1422=200,サマリー!$B$10,IF(Z1422=100,サマリー!$B$11,0)))+IF(AA1422="",0,AA1422*サマリー!$B$12)</f>
        <v>0</v>
      </c>
      <c r="E1422" s="27">
        <f t="shared" si="44"/>
        <v>0</v>
      </c>
      <c r="I1422" s="30"/>
      <c r="J1422" s="30"/>
      <c r="K1422" s="30"/>
      <c r="L1422" s="30"/>
      <c r="M1422" s="30"/>
      <c r="N1422" s="30"/>
      <c r="O1422" s="30"/>
      <c r="P1422" s="30"/>
      <c r="Q1422" s="31"/>
      <c r="R1422" s="31"/>
      <c r="S1422" s="31"/>
      <c r="T1422" s="32"/>
      <c r="U1422" s="32"/>
      <c r="V1422" s="32"/>
      <c r="W1422" s="32"/>
      <c r="X1422" s="32"/>
      <c r="Y1422" s="33"/>
      <c r="Z1422" s="33"/>
      <c r="AA1422" s="33"/>
    </row>
    <row r="1423" spans="1:27">
      <c r="A1423" s="29"/>
      <c r="B1423" s="19">
        <f t="shared" si="45"/>
        <v>46327</v>
      </c>
      <c r="C1423" s="27">
        <f>I1423+J1423+K1423+L1423+M1423+N1423+O1423+P1423+IF(Q1423="",0,Q1423*サマリー!$B$9)+IF(R1423="",0,IF(R1423=200,サマリー!$B$10,IF(R1423=100,サマリー!$B$11,0)))+IF(S1423="",0,S1423*サマリー!$B$12)</f>
        <v>0</v>
      </c>
      <c r="D1423" s="27">
        <f>T1423+U1423+V1423+W1423+X1423+IF(Y1423="",0,Y1423*サマリー!$B$9)+IF(Z1423="",0,IF(Z1423=200,サマリー!$B$10,IF(Z1423=100,サマリー!$B$11,0)))+IF(AA1423="",0,AA1423*サマリー!$B$12)</f>
        <v>0</v>
      </c>
      <c r="E1423" s="27">
        <f t="shared" si="44"/>
        <v>0</v>
      </c>
      <c r="I1423" s="30"/>
      <c r="J1423" s="30"/>
      <c r="K1423" s="30"/>
      <c r="L1423" s="30"/>
      <c r="M1423" s="30"/>
      <c r="N1423" s="30"/>
      <c r="O1423" s="30"/>
      <c r="P1423" s="30"/>
      <c r="Q1423" s="31"/>
      <c r="R1423" s="31"/>
      <c r="S1423" s="31"/>
      <c r="T1423" s="32"/>
      <c r="U1423" s="32"/>
      <c r="V1423" s="32"/>
      <c r="W1423" s="32"/>
      <c r="X1423" s="32"/>
      <c r="Y1423" s="33"/>
      <c r="Z1423" s="33"/>
      <c r="AA1423" s="33"/>
    </row>
    <row r="1424" spans="1:27">
      <c r="A1424" s="29"/>
      <c r="B1424" s="19">
        <f t="shared" si="45"/>
        <v>46327</v>
      </c>
      <c r="C1424" s="27">
        <f>I1424+J1424+K1424+L1424+M1424+N1424+O1424+P1424+IF(Q1424="",0,Q1424*サマリー!$B$9)+IF(R1424="",0,IF(R1424=200,サマリー!$B$10,IF(R1424=100,サマリー!$B$11,0)))+IF(S1424="",0,S1424*サマリー!$B$12)</f>
        <v>0</v>
      </c>
      <c r="D1424" s="27">
        <f>T1424+U1424+V1424+W1424+X1424+IF(Y1424="",0,Y1424*サマリー!$B$9)+IF(Z1424="",0,IF(Z1424=200,サマリー!$B$10,IF(Z1424=100,サマリー!$B$11,0)))+IF(AA1424="",0,AA1424*サマリー!$B$12)</f>
        <v>0</v>
      </c>
      <c r="E1424" s="27">
        <f t="shared" si="44"/>
        <v>0</v>
      </c>
      <c r="I1424" s="30"/>
      <c r="J1424" s="30"/>
      <c r="K1424" s="30"/>
      <c r="L1424" s="30"/>
      <c r="M1424" s="30"/>
      <c r="N1424" s="30"/>
      <c r="O1424" s="30"/>
      <c r="P1424" s="30"/>
      <c r="Q1424" s="31"/>
      <c r="R1424" s="31"/>
      <c r="S1424" s="31"/>
      <c r="T1424" s="32"/>
      <c r="U1424" s="32"/>
      <c r="V1424" s="32"/>
      <c r="W1424" s="32"/>
      <c r="X1424" s="32"/>
      <c r="Y1424" s="33"/>
      <c r="Z1424" s="33"/>
      <c r="AA1424" s="33"/>
    </row>
    <row r="1425" spans="1:27">
      <c r="A1425" s="29"/>
      <c r="B1425" s="19">
        <f t="shared" si="45"/>
        <v>46327</v>
      </c>
      <c r="C1425" s="27">
        <f>I1425+J1425+K1425+L1425+M1425+N1425+O1425+P1425+IF(Q1425="",0,Q1425*サマリー!$B$9)+IF(R1425="",0,IF(R1425=200,サマリー!$B$10,IF(R1425=100,サマリー!$B$11,0)))+IF(S1425="",0,S1425*サマリー!$B$12)</f>
        <v>0</v>
      </c>
      <c r="D1425" s="27">
        <f>T1425+U1425+V1425+W1425+X1425+IF(Y1425="",0,Y1425*サマリー!$B$9)+IF(Z1425="",0,IF(Z1425=200,サマリー!$B$10,IF(Z1425=100,サマリー!$B$11,0)))+IF(AA1425="",0,AA1425*サマリー!$B$12)</f>
        <v>0</v>
      </c>
      <c r="E1425" s="27">
        <f t="shared" si="44"/>
        <v>0</v>
      </c>
      <c r="I1425" s="30"/>
      <c r="J1425" s="30"/>
      <c r="K1425" s="30"/>
      <c r="L1425" s="30"/>
      <c r="M1425" s="30"/>
      <c r="N1425" s="30"/>
      <c r="O1425" s="30"/>
      <c r="P1425" s="30"/>
      <c r="Q1425" s="31"/>
      <c r="R1425" s="31"/>
      <c r="S1425" s="31"/>
      <c r="T1425" s="32"/>
      <c r="U1425" s="32"/>
      <c r="V1425" s="32"/>
      <c r="W1425" s="32"/>
      <c r="X1425" s="32"/>
      <c r="Y1425" s="33"/>
      <c r="Z1425" s="33"/>
      <c r="AA1425" s="33"/>
    </row>
    <row r="1426" spans="1:27">
      <c r="A1426" s="29"/>
      <c r="B1426" s="19">
        <f t="shared" si="45"/>
        <v>46327</v>
      </c>
      <c r="C1426" s="27">
        <f>I1426+J1426+K1426+L1426+M1426+N1426+O1426+P1426+IF(Q1426="",0,Q1426*サマリー!$B$9)+IF(R1426="",0,IF(R1426=200,サマリー!$B$10,IF(R1426=100,サマリー!$B$11,0)))+IF(S1426="",0,S1426*サマリー!$B$12)</f>
        <v>0</v>
      </c>
      <c r="D1426" s="27">
        <f>T1426+U1426+V1426+W1426+X1426+IF(Y1426="",0,Y1426*サマリー!$B$9)+IF(Z1426="",0,IF(Z1426=200,サマリー!$B$10,IF(Z1426=100,サマリー!$B$11,0)))+IF(AA1426="",0,AA1426*サマリー!$B$12)</f>
        <v>0</v>
      </c>
      <c r="E1426" s="27">
        <f t="shared" si="44"/>
        <v>0</v>
      </c>
      <c r="I1426" s="30"/>
      <c r="J1426" s="30"/>
      <c r="K1426" s="30"/>
      <c r="L1426" s="30"/>
      <c r="M1426" s="30"/>
      <c r="N1426" s="30"/>
      <c r="O1426" s="30"/>
      <c r="P1426" s="30"/>
      <c r="Q1426" s="31"/>
      <c r="R1426" s="31"/>
      <c r="S1426" s="31"/>
      <c r="T1426" s="32"/>
      <c r="U1426" s="32"/>
      <c r="V1426" s="32"/>
      <c r="W1426" s="32"/>
      <c r="X1426" s="32"/>
      <c r="Y1426" s="33"/>
      <c r="Z1426" s="33"/>
      <c r="AA1426" s="33"/>
    </row>
    <row r="1427" spans="1:27">
      <c r="A1427" s="29"/>
      <c r="B1427" s="19">
        <f t="shared" si="45"/>
        <v>46327</v>
      </c>
      <c r="C1427" s="27">
        <f>I1427+J1427+K1427+L1427+M1427+N1427+O1427+P1427+IF(Q1427="",0,Q1427*サマリー!$B$9)+IF(R1427="",0,IF(R1427=200,サマリー!$B$10,IF(R1427=100,サマリー!$B$11,0)))+IF(S1427="",0,S1427*サマリー!$B$12)</f>
        <v>0</v>
      </c>
      <c r="D1427" s="27">
        <f>T1427+U1427+V1427+W1427+X1427+IF(Y1427="",0,Y1427*サマリー!$B$9)+IF(Z1427="",0,IF(Z1427=200,サマリー!$B$10,IF(Z1427=100,サマリー!$B$11,0)))+IF(AA1427="",0,AA1427*サマリー!$B$12)</f>
        <v>0</v>
      </c>
      <c r="E1427" s="27">
        <f t="shared" si="44"/>
        <v>0</v>
      </c>
      <c r="I1427" s="30"/>
      <c r="J1427" s="30"/>
      <c r="K1427" s="30"/>
      <c r="L1427" s="30"/>
      <c r="M1427" s="30"/>
      <c r="N1427" s="30"/>
      <c r="O1427" s="30"/>
      <c r="P1427" s="30"/>
      <c r="Q1427" s="31"/>
      <c r="R1427" s="31"/>
      <c r="S1427" s="31"/>
      <c r="T1427" s="32"/>
      <c r="U1427" s="32"/>
      <c r="V1427" s="32"/>
      <c r="W1427" s="32"/>
      <c r="X1427" s="32"/>
      <c r="Y1427" s="33"/>
      <c r="Z1427" s="33"/>
      <c r="AA1427" s="33"/>
    </row>
    <row r="1428" spans="1:27">
      <c r="A1428" s="29"/>
      <c r="B1428" s="19">
        <f t="shared" si="45"/>
        <v>46327</v>
      </c>
      <c r="C1428" s="27">
        <f>I1428+J1428+K1428+L1428+M1428+N1428+O1428+P1428+IF(Q1428="",0,Q1428*サマリー!$B$9)+IF(R1428="",0,IF(R1428=200,サマリー!$B$10,IF(R1428=100,サマリー!$B$11,0)))+IF(S1428="",0,S1428*サマリー!$B$12)</f>
        <v>0</v>
      </c>
      <c r="D1428" s="27">
        <f>T1428+U1428+V1428+W1428+X1428+IF(Y1428="",0,Y1428*サマリー!$B$9)+IF(Z1428="",0,IF(Z1428=200,サマリー!$B$10,IF(Z1428=100,サマリー!$B$11,0)))+IF(AA1428="",0,AA1428*サマリー!$B$12)</f>
        <v>0</v>
      </c>
      <c r="E1428" s="27">
        <f t="shared" si="44"/>
        <v>0</v>
      </c>
      <c r="I1428" s="30"/>
      <c r="J1428" s="30"/>
      <c r="K1428" s="30"/>
      <c r="L1428" s="30"/>
      <c r="M1428" s="30"/>
      <c r="N1428" s="30"/>
      <c r="O1428" s="30"/>
      <c r="P1428" s="30"/>
      <c r="Q1428" s="31"/>
      <c r="R1428" s="31"/>
      <c r="S1428" s="31"/>
      <c r="T1428" s="32"/>
      <c r="U1428" s="32"/>
      <c r="V1428" s="32"/>
      <c r="W1428" s="32"/>
      <c r="X1428" s="32"/>
      <c r="Y1428" s="33"/>
      <c r="Z1428" s="33"/>
      <c r="AA1428" s="33"/>
    </row>
    <row r="1429" spans="1:27">
      <c r="A1429" s="29"/>
      <c r="B1429" s="19">
        <f t="shared" si="45"/>
        <v>46327</v>
      </c>
      <c r="C1429" s="27">
        <f>I1429+J1429+K1429+L1429+M1429+N1429+O1429+P1429+IF(Q1429="",0,Q1429*サマリー!$B$9)+IF(R1429="",0,IF(R1429=200,サマリー!$B$10,IF(R1429=100,サマリー!$B$11,0)))+IF(S1429="",0,S1429*サマリー!$B$12)</f>
        <v>0</v>
      </c>
      <c r="D1429" s="27">
        <f>T1429+U1429+V1429+W1429+X1429+IF(Y1429="",0,Y1429*サマリー!$B$9)+IF(Z1429="",0,IF(Z1429=200,サマリー!$B$10,IF(Z1429=100,サマリー!$B$11,0)))+IF(AA1429="",0,AA1429*サマリー!$B$12)</f>
        <v>0</v>
      </c>
      <c r="E1429" s="27">
        <f t="shared" si="44"/>
        <v>0</v>
      </c>
      <c r="I1429" s="30"/>
      <c r="J1429" s="30"/>
      <c r="K1429" s="30"/>
      <c r="L1429" s="30"/>
      <c r="M1429" s="30"/>
      <c r="N1429" s="30"/>
      <c r="O1429" s="30"/>
      <c r="P1429" s="30"/>
      <c r="Q1429" s="31"/>
      <c r="R1429" s="31"/>
      <c r="S1429" s="31"/>
      <c r="T1429" s="32"/>
      <c r="U1429" s="32"/>
      <c r="V1429" s="32"/>
      <c r="W1429" s="32"/>
      <c r="X1429" s="32"/>
      <c r="Y1429" s="33"/>
      <c r="Z1429" s="33"/>
      <c r="AA1429" s="33"/>
    </row>
    <row r="1430" spans="1:27">
      <c r="A1430" s="29"/>
      <c r="B1430" s="19">
        <f t="shared" si="45"/>
        <v>46327</v>
      </c>
      <c r="C1430" s="27">
        <f>I1430+J1430+K1430+L1430+M1430+N1430+O1430+P1430+IF(Q1430="",0,Q1430*サマリー!$B$9)+IF(R1430="",0,IF(R1430=200,サマリー!$B$10,IF(R1430=100,サマリー!$B$11,0)))+IF(S1430="",0,S1430*サマリー!$B$12)</f>
        <v>0</v>
      </c>
      <c r="D1430" s="27">
        <f>T1430+U1430+V1430+W1430+X1430+IF(Y1430="",0,Y1430*サマリー!$B$9)+IF(Z1430="",0,IF(Z1430=200,サマリー!$B$10,IF(Z1430=100,サマリー!$B$11,0)))+IF(AA1430="",0,AA1430*サマリー!$B$12)</f>
        <v>0</v>
      </c>
      <c r="E1430" s="27">
        <f t="shared" si="44"/>
        <v>0</v>
      </c>
      <c r="I1430" s="30"/>
      <c r="J1430" s="30"/>
      <c r="K1430" s="30"/>
      <c r="L1430" s="30"/>
      <c r="M1430" s="30"/>
      <c r="N1430" s="30"/>
      <c r="O1430" s="30"/>
      <c r="P1430" s="30"/>
      <c r="Q1430" s="31"/>
      <c r="R1430" s="31"/>
      <c r="S1430" s="31"/>
      <c r="T1430" s="32"/>
      <c r="U1430" s="32"/>
      <c r="V1430" s="32"/>
      <c r="W1430" s="32"/>
      <c r="X1430" s="32"/>
      <c r="Y1430" s="33"/>
      <c r="Z1430" s="33"/>
      <c r="AA1430" s="33"/>
    </row>
    <row r="1431" spans="1:27">
      <c r="A1431" s="29"/>
      <c r="B1431" s="19">
        <f t="shared" si="45"/>
        <v>46327</v>
      </c>
      <c r="C1431" s="27">
        <f>I1431+J1431+K1431+L1431+M1431+N1431+O1431+P1431+IF(Q1431="",0,Q1431*サマリー!$B$9)+IF(R1431="",0,IF(R1431=200,サマリー!$B$10,IF(R1431=100,サマリー!$B$11,0)))+IF(S1431="",0,S1431*サマリー!$B$12)</f>
        <v>0</v>
      </c>
      <c r="D1431" s="27">
        <f>T1431+U1431+V1431+W1431+X1431+IF(Y1431="",0,Y1431*サマリー!$B$9)+IF(Z1431="",0,IF(Z1431=200,サマリー!$B$10,IF(Z1431=100,サマリー!$B$11,0)))+IF(AA1431="",0,AA1431*サマリー!$B$12)</f>
        <v>0</v>
      </c>
      <c r="E1431" s="27">
        <f t="shared" si="44"/>
        <v>0</v>
      </c>
      <c r="I1431" s="30"/>
      <c r="J1431" s="30"/>
      <c r="K1431" s="30"/>
      <c r="L1431" s="30"/>
      <c r="M1431" s="30"/>
      <c r="N1431" s="30"/>
      <c r="O1431" s="30"/>
      <c r="P1431" s="30"/>
      <c r="Q1431" s="31"/>
      <c r="R1431" s="31"/>
      <c r="S1431" s="31"/>
      <c r="T1431" s="32"/>
      <c r="U1431" s="32"/>
      <c r="V1431" s="32"/>
      <c r="W1431" s="32"/>
      <c r="X1431" s="32"/>
      <c r="Y1431" s="33"/>
      <c r="Z1431" s="33"/>
      <c r="AA1431" s="33"/>
    </row>
    <row r="1432" spans="1:27">
      <c r="A1432" s="29"/>
      <c r="B1432" s="19">
        <f t="shared" si="45"/>
        <v>46327</v>
      </c>
      <c r="C1432" s="27">
        <f>I1432+J1432+K1432+L1432+M1432+N1432+O1432+P1432+IF(Q1432="",0,Q1432*サマリー!$B$9)+IF(R1432="",0,IF(R1432=200,サマリー!$B$10,IF(R1432=100,サマリー!$B$11,0)))+IF(S1432="",0,S1432*サマリー!$B$12)</f>
        <v>0</v>
      </c>
      <c r="D1432" s="27">
        <f>T1432+U1432+V1432+W1432+X1432+IF(Y1432="",0,Y1432*サマリー!$B$9)+IF(Z1432="",0,IF(Z1432=200,サマリー!$B$10,IF(Z1432=100,サマリー!$B$11,0)))+IF(AA1432="",0,AA1432*サマリー!$B$12)</f>
        <v>0</v>
      </c>
      <c r="E1432" s="27">
        <f t="shared" si="44"/>
        <v>0</v>
      </c>
      <c r="I1432" s="30"/>
      <c r="J1432" s="30"/>
      <c r="K1432" s="30"/>
      <c r="L1432" s="30"/>
      <c r="M1432" s="30"/>
      <c r="N1432" s="30"/>
      <c r="O1432" s="30"/>
      <c r="P1432" s="30"/>
      <c r="Q1432" s="31"/>
      <c r="R1432" s="31"/>
      <c r="S1432" s="31"/>
      <c r="T1432" s="32"/>
      <c r="U1432" s="32"/>
      <c r="V1432" s="32"/>
      <c r="W1432" s="32"/>
      <c r="X1432" s="32"/>
      <c r="Y1432" s="33"/>
      <c r="Z1432" s="33"/>
      <c r="AA1432" s="33"/>
    </row>
    <row r="1433" spans="1:27">
      <c r="A1433" s="29"/>
      <c r="B1433" s="19">
        <f t="shared" si="45"/>
        <v>46327</v>
      </c>
      <c r="C1433" s="27">
        <f>I1433+J1433+K1433+L1433+M1433+N1433+O1433+P1433+IF(Q1433="",0,Q1433*サマリー!$B$9)+IF(R1433="",0,IF(R1433=200,サマリー!$B$10,IF(R1433=100,サマリー!$B$11,0)))+IF(S1433="",0,S1433*サマリー!$B$12)</f>
        <v>0</v>
      </c>
      <c r="D1433" s="27">
        <f>T1433+U1433+V1433+W1433+X1433+IF(Y1433="",0,Y1433*サマリー!$B$9)+IF(Z1433="",0,IF(Z1433=200,サマリー!$B$10,IF(Z1433=100,サマリー!$B$11,0)))+IF(AA1433="",0,AA1433*サマリー!$B$12)</f>
        <v>0</v>
      </c>
      <c r="E1433" s="27">
        <f t="shared" si="44"/>
        <v>0</v>
      </c>
      <c r="I1433" s="30"/>
      <c r="J1433" s="30"/>
      <c r="K1433" s="30"/>
      <c r="L1433" s="30"/>
      <c r="M1433" s="30"/>
      <c r="N1433" s="30"/>
      <c r="O1433" s="30"/>
      <c r="P1433" s="30"/>
      <c r="Q1433" s="31"/>
      <c r="R1433" s="31"/>
      <c r="S1433" s="31"/>
      <c r="T1433" s="32"/>
      <c r="U1433" s="32"/>
      <c r="V1433" s="32"/>
      <c r="W1433" s="32"/>
      <c r="X1433" s="32"/>
      <c r="Y1433" s="33"/>
      <c r="Z1433" s="33"/>
      <c r="AA1433" s="33"/>
    </row>
    <row r="1434" spans="1:27">
      <c r="A1434" s="29"/>
      <c r="B1434" s="19">
        <f t="shared" si="45"/>
        <v>46327</v>
      </c>
      <c r="C1434" s="27">
        <f>I1434+J1434+K1434+L1434+M1434+N1434+O1434+P1434+IF(Q1434="",0,Q1434*サマリー!$B$9)+IF(R1434="",0,IF(R1434=200,サマリー!$B$10,IF(R1434=100,サマリー!$B$11,0)))+IF(S1434="",0,S1434*サマリー!$B$12)</f>
        <v>0</v>
      </c>
      <c r="D1434" s="27">
        <f>T1434+U1434+V1434+W1434+X1434+IF(Y1434="",0,Y1434*サマリー!$B$9)+IF(Z1434="",0,IF(Z1434=200,サマリー!$B$10,IF(Z1434=100,サマリー!$B$11,0)))+IF(AA1434="",0,AA1434*サマリー!$B$12)</f>
        <v>0</v>
      </c>
      <c r="E1434" s="27">
        <f t="shared" si="44"/>
        <v>0</v>
      </c>
      <c r="I1434" s="30"/>
      <c r="J1434" s="30"/>
      <c r="K1434" s="30"/>
      <c r="L1434" s="30"/>
      <c r="M1434" s="30"/>
      <c r="N1434" s="30"/>
      <c r="O1434" s="30"/>
      <c r="P1434" s="30"/>
      <c r="Q1434" s="31"/>
      <c r="R1434" s="31"/>
      <c r="S1434" s="31"/>
      <c r="T1434" s="32"/>
      <c r="U1434" s="32"/>
      <c r="V1434" s="32"/>
      <c r="W1434" s="32"/>
      <c r="X1434" s="32"/>
      <c r="Y1434" s="33"/>
      <c r="Z1434" s="33"/>
      <c r="AA1434" s="33"/>
    </row>
    <row r="1435" spans="1:27">
      <c r="A1435" s="29"/>
      <c r="B1435" s="19">
        <f t="shared" si="45"/>
        <v>46327</v>
      </c>
      <c r="C1435" s="27">
        <f>I1435+J1435+K1435+L1435+M1435+N1435+O1435+P1435+IF(Q1435="",0,Q1435*サマリー!$B$9)+IF(R1435="",0,IF(R1435=200,サマリー!$B$10,IF(R1435=100,サマリー!$B$11,0)))+IF(S1435="",0,S1435*サマリー!$B$12)</f>
        <v>0</v>
      </c>
      <c r="D1435" s="27">
        <f>T1435+U1435+V1435+W1435+X1435+IF(Y1435="",0,Y1435*サマリー!$B$9)+IF(Z1435="",0,IF(Z1435=200,サマリー!$B$10,IF(Z1435=100,サマリー!$B$11,0)))+IF(AA1435="",0,AA1435*サマリー!$B$12)</f>
        <v>0</v>
      </c>
      <c r="E1435" s="27">
        <f t="shared" si="44"/>
        <v>0</v>
      </c>
      <c r="I1435" s="30"/>
      <c r="J1435" s="30"/>
      <c r="K1435" s="30"/>
      <c r="L1435" s="30"/>
      <c r="M1435" s="30"/>
      <c r="N1435" s="30"/>
      <c r="O1435" s="30"/>
      <c r="P1435" s="30"/>
      <c r="Q1435" s="31"/>
      <c r="R1435" s="31"/>
      <c r="S1435" s="31"/>
      <c r="T1435" s="32"/>
      <c r="U1435" s="32"/>
      <c r="V1435" s="32"/>
      <c r="W1435" s="32"/>
      <c r="X1435" s="32"/>
      <c r="Y1435" s="33"/>
      <c r="Z1435" s="33"/>
      <c r="AA1435" s="33"/>
    </row>
    <row r="1436" spans="1:27">
      <c r="A1436" s="29"/>
      <c r="B1436" s="19">
        <f t="shared" si="45"/>
        <v>46327</v>
      </c>
      <c r="C1436" s="27">
        <f>I1436+J1436+K1436+L1436+M1436+N1436+O1436+P1436+IF(Q1436="",0,Q1436*サマリー!$B$9)+IF(R1436="",0,IF(R1436=200,サマリー!$B$10,IF(R1436=100,サマリー!$B$11,0)))+IF(S1436="",0,S1436*サマリー!$B$12)</f>
        <v>0</v>
      </c>
      <c r="D1436" s="27">
        <f>T1436+U1436+V1436+W1436+X1436+IF(Y1436="",0,Y1436*サマリー!$B$9)+IF(Z1436="",0,IF(Z1436=200,サマリー!$B$10,IF(Z1436=100,サマリー!$B$11,0)))+IF(AA1436="",0,AA1436*サマリー!$B$12)</f>
        <v>0</v>
      </c>
      <c r="E1436" s="27">
        <f t="shared" si="44"/>
        <v>0</v>
      </c>
      <c r="I1436" s="30"/>
      <c r="J1436" s="30"/>
      <c r="K1436" s="30"/>
      <c r="L1436" s="30"/>
      <c r="M1436" s="30"/>
      <c r="N1436" s="30"/>
      <c r="O1436" s="30"/>
      <c r="P1436" s="30"/>
      <c r="Q1436" s="31"/>
      <c r="R1436" s="31"/>
      <c r="S1436" s="31"/>
      <c r="T1436" s="32"/>
      <c r="U1436" s="32"/>
      <c r="V1436" s="32"/>
      <c r="W1436" s="32"/>
      <c r="X1436" s="32"/>
      <c r="Y1436" s="33"/>
      <c r="Z1436" s="33"/>
      <c r="AA1436" s="33"/>
    </row>
    <row r="1437" spans="1:27">
      <c r="A1437" s="29"/>
      <c r="B1437" s="19">
        <f t="shared" si="45"/>
        <v>46327</v>
      </c>
      <c r="C1437" s="27">
        <f>I1437+J1437+K1437+L1437+M1437+N1437+O1437+P1437+IF(Q1437="",0,Q1437*サマリー!$B$9)+IF(R1437="",0,IF(R1437=200,サマリー!$B$10,IF(R1437=100,サマリー!$B$11,0)))+IF(S1437="",0,S1437*サマリー!$B$12)</f>
        <v>0</v>
      </c>
      <c r="D1437" s="27">
        <f>T1437+U1437+V1437+W1437+X1437+IF(Y1437="",0,Y1437*サマリー!$B$9)+IF(Z1437="",0,IF(Z1437=200,サマリー!$B$10,IF(Z1437=100,サマリー!$B$11,0)))+IF(AA1437="",0,AA1437*サマリー!$B$12)</f>
        <v>0</v>
      </c>
      <c r="E1437" s="27">
        <f t="shared" si="44"/>
        <v>0</v>
      </c>
      <c r="I1437" s="30"/>
      <c r="J1437" s="30"/>
      <c r="K1437" s="30"/>
      <c r="L1437" s="30"/>
      <c r="M1437" s="30"/>
      <c r="N1437" s="30"/>
      <c r="O1437" s="30"/>
      <c r="P1437" s="30"/>
      <c r="Q1437" s="31"/>
      <c r="R1437" s="31"/>
      <c r="S1437" s="31"/>
      <c r="T1437" s="32"/>
      <c r="U1437" s="32"/>
      <c r="V1437" s="32"/>
      <c r="W1437" s="32"/>
      <c r="X1437" s="32"/>
      <c r="Y1437" s="33"/>
      <c r="Z1437" s="33"/>
      <c r="AA1437" s="33"/>
    </row>
    <row r="1438" spans="1:27">
      <c r="A1438" s="29"/>
      <c r="B1438" s="19">
        <f t="shared" si="45"/>
        <v>46327</v>
      </c>
      <c r="C1438" s="27">
        <f>I1438+J1438+K1438+L1438+M1438+N1438+O1438+P1438+IF(Q1438="",0,Q1438*サマリー!$B$9)+IF(R1438="",0,IF(R1438=200,サマリー!$B$10,IF(R1438=100,サマリー!$B$11,0)))+IF(S1438="",0,S1438*サマリー!$B$12)</f>
        <v>0</v>
      </c>
      <c r="D1438" s="27">
        <f>T1438+U1438+V1438+W1438+X1438+IF(Y1438="",0,Y1438*サマリー!$B$9)+IF(Z1438="",0,IF(Z1438=200,サマリー!$B$10,IF(Z1438=100,サマリー!$B$11,0)))+IF(AA1438="",0,AA1438*サマリー!$B$12)</f>
        <v>0</v>
      </c>
      <c r="E1438" s="27">
        <f t="shared" si="44"/>
        <v>0</v>
      </c>
      <c r="I1438" s="30"/>
      <c r="J1438" s="30"/>
      <c r="K1438" s="30"/>
      <c r="L1438" s="30"/>
      <c r="M1438" s="30"/>
      <c r="N1438" s="30"/>
      <c r="O1438" s="30"/>
      <c r="P1438" s="30"/>
      <c r="Q1438" s="31"/>
      <c r="R1438" s="31"/>
      <c r="S1438" s="31"/>
      <c r="T1438" s="32"/>
      <c r="U1438" s="32"/>
      <c r="V1438" s="32"/>
      <c r="W1438" s="32"/>
      <c r="X1438" s="32"/>
      <c r="Y1438" s="33"/>
      <c r="Z1438" s="33"/>
      <c r="AA1438" s="33"/>
    </row>
    <row r="1439" spans="1:27">
      <c r="A1439" s="29"/>
      <c r="B1439" s="19">
        <f t="shared" si="45"/>
        <v>46327</v>
      </c>
      <c r="C1439" s="27">
        <f>I1439+J1439+K1439+L1439+M1439+N1439+O1439+P1439+IF(Q1439="",0,Q1439*サマリー!$B$9)+IF(R1439="",0,IF(R1439=200,サマリー!$B$10,IF(R1439=100,サマリー!$B$11,0)))+IF(S1439="",0,S1439*サマリー!$B$12)</f>
        <v>0</v>
      </c>
      <c r="D1439" s="27">
        <f>T1439+U1439+V1439+W1439+X1439+IF(Y1439="",0,Y1439*サマリー!$B$9)+IF(Z1439="",0,IF(Z1439=200,サマリー!$B$10,IF(Z1439=100,サマリー!$B$11,0)))+IF(AA1439="",0,AA1439*サマリー!$B$12)</f>
        <v>0</v>
      </c>
      <c r="E1439" s="27">
        <f t="shared" si="44"/>
        <v>0</v>
      </c>
      <c r="I1439" s="30"/>
      <c r="J1439" s="30"/>
      <c r="K1439" s="30"/>
      <c r="L1439" s="30"/>
      <c r="M1439" s="30"/>
      <c r="N1439" s="30"/>
      <c r="O1439" s="30"/>
      <c r="P1439" s="30"/>
      <c r="Q1439" s="31"/>
      <c r="R1439" s="31"/>
      <c r="S1439" s="31"/>
      <c r="T1439" s="32"/>
      <c r="U1439" s="32"/>
      <c r="V1439" s="32"/>
      <c r="W1439" s="32"/>
      <c r="X1439" s="32"/>
      <c r="Y1439" s="33"/>
      <c r="Z1439" s="33"/>
      <c r="AA1439" s="33"/>
    </row>
    <row r="1440" spans="1:27">
      <c r="A1440" s="29"/>
      <c r="B1440" s="19">
        <f t="shared" si="45"/>
        <v>46327</v>
      </c>
      <c r="C1440" s="27">
        <f>I1440+J1440+K1440+L1440+M1440+N1440+O1440+P1440+IF(Q1440="",0,Q1440*サマリー!$B$9)+IF(R1440="",0,IF(R1440=200,サマリー!$B$10,IF(R1440=100,サマリー!$B$11,0)))+IF(S1440="",0,S1440*サマリー!$B$12)</f>
        <v>0</v>
      </c>
      <c r="D1440" s="27">
        <f>T1440+U1440+V1440+W1440+X1440+IF(Y1440="",0,Y1440*サマリー!$B$9)+IF(Z1440="",0,IF(Z1440=200,サマリー!$B$10,IF(Z1440=100,サマリー!$B$11,0)))+IF(AA1440="",0,AA1440*サマリー!$B$12)</f>
        <v>0</v>
      </c>
      <c r="E1440" s="27">
        <f t="shared" si="44"/>
        <v>0</v>
      </c>
      <c r="I1440" s="30"/>
      <c r="J1440" s="30"/>
      <c r="K1440" s="30"/>
      <c r="L1440" s="30"/>
      <c r="M1440" s="30"/>
      <c r="N1440" s="30"/>
      <c r="O1440" s="30"/>
      <c r="P1440" s="30"/>
      <c r="Q1440" s="31"/>
      <c r="R1440" s="31"/>
      <c r="S1440" s="31"/>
      <c r="T1440" s="32"/>
      <c r="U1440" s="32"/>
      <c r="V1440" s="32"/>
      <c r="W1440" s="32"/>
      <c r="X1440" s="32"/>
      <c r="Y1440" s="33"/>
      <c r="Z1440" s="33"/>
      <c r="AA1440" s="33"/>
    </row>
    <row r="1441" spans="1:27">
      <c r="A1441" s="29"/>
      <c r="B1441" s="19">
        <f t="shared" si="45"/>
        <v>46327</v>
      </c>
      <c r="C1441" s="27">
        <f>I1441+J1441+K1441+L1441+M1441+N1441+O1441+P1441+IF(Q1441="",0,Q1441*サマリー!$B$9)+IF(R1441="",0,IF(R1441=200,サマリー!$B$10,IF(R1441=100,サマリー!$B$11,0)))+IF(S1441="",0,S1441*サマリー!$B$12)</f>
        <v>0</v>
      </c>
      <c r="D1441" s="27">
        <f>T1441+U1441+V1441+W1441+X1441+IF(Y1441="",0,Y1441*サマリー!$B$9)+IF(Z1441="",0,IF(Z1441=200,サマリー!$B$10,IF(Z1441=100,サマリー!$B$11,0)))+IF(AA1441="",0,AA1441*サマリー!$B$12)</f>
        <v>0</v>
      </c>
      <c r="E1441" s="27">
        <f t="shared" si="44"/>
        <v>0</v>
      </c>
      <c r="I1441" s="30"/>
      <c r="J1441" s="30"/>
      <c r="K1441" s="30"/>
      <c r="L1441" s="30"/>
      <c r="M1441" s="30"/>
      <c r="N1441" s="30"/>
      <c r="O1441" s="30"/>
      <c r="P1441" s="30"/>
      <c r="Q1441" s="31"/>
      <c r="R1441" s="31"/>
      <c r="S1441" s="31"/>
      <c r="T1441" s="32"/>
      <c r="U1441" s="32"/>
      <c r="V1441" s="32"/>
      <c r="W1441" s="32"/>
      <c r="X1441" s="32"/>
      <c r="Y1441" s="33"/>
      <c r="Z1441" s="33"/>
      <c r="AA1441" s="33"/>
    </row>
    <row r="1442" spans="1:27">
      <c r="A1442" s="29"/>
      <c r="B1442" s="19">
        <f t="shared" si="45"/>
        <v>46327</v>
      </c>
      <c r="C1442" s="27">
        <f>I1442+J1442+K1442+L1442+M1442+N1442+O1442+P1442+IF(Q1442="",0,Q1442*サマリー!$B$9)+IF(R1442="",0,IF(R1442=200,サマリー!$B$10,IF(R1442=100,サマリー!$B$11,0)))+IF(S1442="",0,S1442*サマリー!$B$12)</f>
        <v>0</v>
      </c>
      <c r="D1442" s="27">
        <f>T1442+U1442+V1442+W1442+X1442+IF(Y1442="",0,Y1442*サマリー!$B$9)+IF(Z1442="",0,IF(Z1442=200,サマリー!$B$10,IF(Z1442=100,サマリー!$B$11,0)))+IF(AA1442="",0,AA1442*サマリー!$B$12)</f>
        <v>0</v>
      </c>
      <c r="E1442" s="27">
        <f t="shared" si="44"/>
        <v>0</v>
      </c>
      <c r="I1442" s="30"/>
      <c r="J1442" s="30"/>
      <c r="K1442" s="30"/>
      <c r="L1442" s="30"/>
      <c r="M1442" s="30"/>
      <c r="N1442" s="30"/>
      <c r="O1442" s="30"/>
      <c r="P1442" s="30"/>
      <c r="Q1442" s="31"/>
      <c r="R1442" s="31"/>
      <c r="S1442" s="31"/>
      <c r="T1442" s="32"/>
      <c r="U1442" s="32"/>
      <c r="V1442" s="32"/>
      <c r="W1442" s="32"/>
      <c r="X1442" s="32"/>
      <c r="Y1442" s="33"/>
      <c r="Z1442" s="33"/>
      <c r="AA1442" s="33"/>
    </row>
    <row r="1443" spans="1:27">
      <c r="A1443" s="29"/>
      <c r="B1443" s="19">
        <f t="shared" si="45"/>
        <v>46327</v>
      </c>
      <c r="C1443" s="27">
        <f>I1443+J1443+K1443+L1443+M1443+N1443+O1443+P1443+IF(Q1443="",0,Q1443*サマリー!$B$9)+IF(R1443="",0,IF(R1443=200,サマリー!$B$10,IF(R1443=100,サマリー!$B$11,0)))+IF(S1443="",0,S1443*サマリー!$B$12)</f>
        <v>0</v>
      </c>
      <c r="D1443" s="27">
        <f>T1443+U1443+V1443+W1443+X1443+IF(Y1443="",0,Y1443*サマリー!$B$9)+IF(Z1443="",0,IF(Z1443=200,サマリー!$B$10,IF(Z1443=100,サマリー!$B$11,0)))+IF(AA1443="",0,AA1443*サマリー!$B$12)</f>
        <v>0</v>
      </c>
      <c r="E1443" s="27">
        <f t="shared" si="44"/>
        <v>0</v>
      </c>
      <c r="I1443" s="30"/>
      <c r="J1443" s="30"/>
      <c r="K1443" s="30"/>
      <c r="L1443" s="30"/>
      <c r="M1443" s="30"/>
      <c r="N1443" s="30"/>
      <c r="O1443" s="30"/>
      <c r="P1443" s="30"/>
      <c r="Q1443" s="31"/>
      <c r="R1443" s="31"/>
      <c r="S1443" s="31"/>
      <c r="T1443" s="32"/>
      <c r="U1443" s="32"/>
      <c r="V1443" s="32"/>
      <c r="W1443" s="32"/>
      <c r="X1443" s="32"/>
      <c r="Y1443" s="33"/>
      <c r="Z1443" s="33"/>
      <c r="AA1443" s="33"/>
    </row>
    <row r="1444" spans="1:27">
      <c r="A1444" s="29"/>
      <c r="B1444" s="19">
        <f t="shared" si="45"/>
        <v>46327</v>
      </c>
      <c r="C1444" s="27">
        <f>I1444+J1444+K1444+L1444+M1444+N1444+O1444+P1444+IF(Q1444="",0,Q1444*サマリー!$B$9)+IF(R1444="",0,IF(R1444=200,サマリー!$B$10,IF(R1444=100,サマリー!$B$11,0)))+IF(S1444="",0,S1444*サマリー!$B$12)</f>
        <v>0</v>
      </c>
      <c r="D1444" s="27">
        <f>T1444+U1444+V1444+W1444+X1444+IF(Y1444="",0,Y1444*サマリー!$B$9)+IF(Z1444="",0,IF(Z1444=200,サマリー!$B$10,IF(Z1444=100,サマリー!$B$11,0)))+IF(AA1444="",0,AA1444*サマリー!$B$12)</f>
        <v>0</v>
      </c>
      <c r="E1444" s="27">
        <f t="shared" si="44"/>
        <v>0</v>
      </c>
      <c r="I1444" s="30"/>
      <c r="J1444" s="30"/>
      <c r="K1444" s="30"/>
      <c r="L1444" s="30"/>
      <c r="M1444" s="30"/>
      <c r="N1444" s="30"/>
      <c r="O1444" s="30"/>
      <c r="P1444" s="30"/>
      <c r="Q1444" s="31"/>
      <c r="R1444" s="31"/>
      <c r="S1444" s="31"/>
      <c r="T1444" s="32"/>
      <c r="U1444" s="32"/>
      <c r="V1444" s="32"/>
      <c r="W1444" s="32"/>
      <c r="X1444" s="32"/>
      <c r="Y1444" s="33"/>
      <c r="Z1444" s="33"/>
      <c r="AA1444" s="33"/>
    </row>
    <row r="1445" spans="1:27">
      <c r="A1445" s="29"/>
      <c r="B1445" s="19">
        <f t="shared" si="45"/>
        <v>46327</v>
      </c>
      <c r="C1445" s="27">
        <f>I1445+J1445+K1445+L1445+M1445+N1445+O1445+P1445+IF(Q1445="",0,Q1445*サマリー!$B$9)+IF(R1445="",0,IF(R1445=200,サマリー!$B$10,IF(R1445=100,サマリー!$B$11,0)))+IF(S1445="",0,S1445*サマリー!$B$12)</f>
        <v>0</v>
      </c>
      <c r="D1445" s="27">
        <f>T1445+U1445+V1445+W1445+X1445+IF(Y1445="",0,Y1445*サマリー!$B$9)+IF(Z1445="",0,IF(Z1445=200,サマリー!$B$10,IF(Z1445=100,サマリー!$B$11,0)))+IF(AA1445="",0,AA1445*サマリー!$B$12)</f>
        <v>0</v>
      </c>
      <c r="E1445" s="27">
        <f t="shared" si="44"/>
        <v>0</v>
      </c>
      <c r="I1445" s="30"/>
      <c r="J1445" s="30"/>
      <c r="K1445" s="30"/>
      <c r="L1445" s="30"/>
      <c r="M1445" s="30"/>
      <c r="N1445" s="30"/>
      <c r="O1445" s="30"/>
      <c r="P1445" s="30"/>
      <c r="Q1445" s="31"/>
      <c r="R1445" s="31"/>
      <c r="S1445" s="31"/>
      <c r="T1445" s="32"/>
      <c r="U1445" s="32"/>
      <c r="V1445" s="32"/>
      <c r="W1445" s="32"/>
      <c r="X1445" s="32"/>
      <c r="Y1445" s="33"/>
      <c r="Z1445" s="33"/>
      <c r="AA1445" s="33"/>
    </row>
    <row r="1446" spans="1:27">
      <c r="A1446" s="29"/>
      <c r="B1446" s="19">
        <f t="shared" si="45"/>
        <v>46327</v>
      </c>
      <c r="C1446" s="27">
        <f>I1446+J1446+K1446+L1446+M1446+N1446+O1446+P1446+IF(Q1446="",0,Q1446*サマリー!$B$9)+IF(R1446="",0,IF(R1446=200,サマリー!$B$10,IF(R1446=100,サマリー!$B$11,0)))+IF(S1446="",0,S1446*サマリー!$B$12)</f>
        <v>0</v>
      </c>
      <c r="D1446" s="27">
        <f>T1446+U1446+V1446+W1446+X1446+IF(Y1446="",0,Y1446*サマリー!$B$9)+IF(Z1446="",0,IF(Z1446=200,サマリー!$B$10,IF(Z1446=100,サマリー!$B$11,0)))+IF(AA1446="",0,AA1446*サマリー!$B$12)</f>
        <v>0</v>
      </c>
      <c r="E1446" s="27">
        <f t="shared" si="44"/>
        <v>0</v>
      </c>
      <c r="I1446" s="30"/>
      <c r="J1446" s="30"/>
      <c r="K1446" s="30"/>
      <c r="L1446" s="30"/>
      <c r="M1446" s="30"/>
      <c r="N1446" s="30"/>
      <c r="O1446" s="30"/>
      <c r="P1446" s="30"/>
      <c r="Q1446" s="31"/>
      <c r="R1446" s="31"/>
      <c r="S1446" s="31"/>
      <c r="T1446" s="32"/>
      <c r="U1446" s="32"/>
      <c r="V1446" s="32"/>
      <c r="W1446" s="32"/>
      <c r="X1446" s="32"/>
      <c r="Y1446" s="33"/>
      <c r="Z1446" s="33"/>
      <c r="AA1446" s="33"/>
    </row>
    <row r="1447" spans="1:27">
      <c r="A1447" s="29"/>
      <c r="B1447" s="19">
        <f t="shared" si="45"/>
        <v>46327</v>
      </c>
      <c r="C1447" s="27">
        <f>I1447+J1447+K1447+L1447+M1447+N1447+O1447+P1447+IF(Q1447="",0,Q1447*サマリー!$B$9)+IF(R1447="",0,IF(R1447=200,サマリー!$B$10,IF(R1447=100,サマリー!$B$11,0)))+IF(S1447="",0,S1447*サマリー!$B$12)</f>
        <v>0</v>
      </c>
      <c r="D1447" s="27">
        <f>T1447+U1447+V1447+W1447+X1447+IF(Y1447="",0,Y1447*サマリー!$B$9)+IF(Z1447="",0,IF(Z1447=200,サマリー!$B$10,IF(Z1447=100,サマリー!$B$11,0)))+IF(AA1447="",0,AA1447*サマリー!$B$12)</f>
        <v>0</v>
      </c>
      <c r="E1447" s="27">
        <f t="shared" si="44"/>
        <v>0</v>
      </c>
      <c r="I1447" s="30"/>
      <c r="J1447" s="30"/>
      <c r="K1447" s="30"/>
      <c r="L1447" s="30"/>
      <c r="M1447" s="30"/>
      <c r="N1447" s="30"/>
      <c r="O1447" s="30"/>
      <c r="P1447" s="30"/>
      <c r="Q1447" s="31"/>
      <c r="R1447" s="31"/>
      <c r="S1447" s="31"/>
      <c r="T1447" s="32"/>
      <c r="U1447" s="32"/>
      <c r="V1447" s="32"/>
      <c r="W1447" s="32"/>
      <c r="X1447" s="32"/>
      <c r="Y1447" s="33"/>
      <c r="Z1447" s="33"/>
      <c r="AA1447" s="33"/>
    </row>
    <row r="1448" spans="1:27">
      <c r="A1448" s="29"/>
      <c r="B1448" s="19">
        <f t="shared" si="45"/>
        <v>46327</v>
      </c>
      <c r="C1448" s="27">
        <f>I1448+J1448+K1448+L1448+M1448+N1448+O1448+P1448+IF(Q1448="",0,Q1448*サマリー!$B$9)+IF(R1448="",0,IF(R1448=200,サマリー!$B$10,IF(R1448=100,サマリー!$B$11,0)))+IF(S1448="",0,S1448*サマリー!$B$12)</f>
        <v>0</v>
      </c>
      <c r="D1448" s="27">
        <f>T1448+U1448+V1448+W1448+X1448+IF(Y1448="",0,Y1448*サマリー!$B$9)+IF(Z1448="",0,IF(Z1448=200,サマリー!$B$10,IF(Z1448=100,サマリー!$B$11,0)))+IF(AA1448="",0,AA1448*サマリー!$B$12)</f>
        <v>0</v>
      </c>
      <c r="E1448" s="27">
        <f t="shared" si="44"/>
        <v>0</v>
      </c>
      <c r="I1448" s="30"/>
      <c r="J1448" s="30"/>
      <c r="K1448" s="30"/>
      <c r="L1448" s="30"/>
      <c r="M1448" s="30"/>
      <c r="N1448" s="30"/>
      <c r="O1448" s="30"/>
      <c r="P1448" s="30"/>
      <c r="Q1448" s="31"/>
      <c r="R1448" s="31"/>
      <c r="S1448" s="31"/>
      <c r="T1448" s="32"/>
      <c r="U1448" s="32"/>
      <c r="V1448" s="32"/>
      <c r="W1448" s="32"/>
      <c r="X1448" s="32"/>
      <c r="Y1448" s="33"/>
      <c r="Z1448" s="33"/>
      <c r="AA1448" s="33"/>
    </row>
    <row r="1449" spans="1:27">
      <c r="A1449" s="29"/>
      <c r="B1449" s="19">
        <f t="shared" si="45"/>
        <v>46327</v>
      </c>
      <c r="C1449" s="27">
        <f>I1449+J1449+K1449+L1449+M1449+N1449+O1449+P1449+IF(Q1449="",0,Q1449*サマリー!$B$9)+IF(R1449="",0,IF(R1449=200,サマリー!$B$10,IF(R1449=100,サマリー!$B$11,0)))+IF(S1449="",0,S1449*サマリー!$B$12)</f>
        <v>0</v>
      </c>
      <c r="D1449" s="27">
        <f>T1449+U1449+V1449+W1449+X1449+IF(Y1449="",0,Y1449*サマリー!$B$9)+IF(Z1449="",0,IF(Z1449=200,サマリー!$B$10,IF(Z1449=100,サマリー!$B$11,0)))+IF(AA1449="",0,AA1449*サマリー!$B$12)</f>
        <v>0</v>
      </c>
      <c r="E1449" s="27">
        <f t="shared" si="44"/>
        <v>0</v>
      </c>
      <c r="I1449" s="30"/>
      <c r="J1449" s="30"/>
      <c r="K1449" s="30"/>
      <c r="L1449" s="30"/>
      <c r="M1449" s="30"/>
      <c r="N1449" s="30"/>
      <c r="O1449" s="30"/>
      <c r="P1449" s="30"/>
      <c r="Q1449" s="31"/>
      <c r="R1449" s="31"/>
      <c r="S1449" s="31"/>
      <c r="T1449" s="32"/>
      <c r="U1449" s="32"/>
      <c r="V1449" s="32"/>
      <c r="W1449" s="32"/>
      <c r="X1449" s="32"/>
      <c r="Y1449" s="33"/>
      <c r="Z1449" s="33"/>
      <c r="AA1449" s="33"/>
    </row>
    <row r="1450" spans="1:27">
      <c r="A1450" s="29"/>
      <c r="B1450" s="19">
        <f t="shared" si="45"/>
        <v>46327</v>
      </c>
      <c r="C1450" s="27">
        <f>I1450+J1450+K1450+L1450+M1450+N1450+O1450+P1450+IF(Q1450="",0,Q1450*サマリー!$B$9)+IF(R1450="",0,IF(R1450=200,サマリー!$B$10,IF(R1450=100,サマリー!$B$11,0)))+IF(S1450="",0,S1450*サマリー!$B$12)</f>
        <v>0</v>
      </c>
      <c r="D1450" s="27">
        <f>T1450+U1450+V1450+W1450+X1450+IF(Y1450="",0,Y1450*サマリー!$B$9)+IF(Z1450="",0,IF(Z1450=200,サマリー!$B$10,IF(Z1450=100,サマリー!$B$11,0)))+IF(AA1450="",0,AA1450*サマリー!$B$12)</f>
        <v>0</v>
      </c>
      <c r="E1450" s="27">
        <f t="shared" si="44"/>
        <v>0</v>
      </c>
      <c r="I1450" s="30"/>
      <c r="J1450" s="30"/>
      <c r="K1450" s="30"/>
      <c r="L1450" s="30"/>
      <c r="M1450" s="30"/>
      <c r="N1450" s="30"/>
      <c r="O1450" s="30"/>
      <c r="P1450" s="30"/>
      <c r="Q1450" s="31"/>
      <c r="R1450" s="31"/>
      <c r="S1450" s="31"/>
      <c r="T1450" s="32"/>
      <c r="U1450" s="32"/>
      <c r="V1450" s="32"/>
      <c r="W1450" s="32"/>
      <c r="X1450" s="32"/>
      <c r="Y1450" s="33"/>
      <c r="Z1450" s="33"/>
      <c r="AA1450" s="33"/>
    </row>
    <row r="1451" spans="1:27">
      <c r="A1451" s="29"/>
      <c r="B1451" s="19">
        <f t="shared" si="45"/>
        <v>46327</v>
      </c>
      <c r="C1451" s="27">
        <f>I1451+J1451+K1451+L1451+M1451+N1451+O1451+P1451+IF(Q1451="",0,Q1451*サマリー!$B$9)+IF(R1451="",0,IF(R1451=200,サマリー!$B$10,IF(R1451=100,サマリー!$B$11,0)))+IF(S1451="",0,S1451*サマリー!$B$12)</f>
        <v>0</v>
      </c>
      <c r="D1451" s="27">
        <f>T1451+U1451+V1451+W1451+X1451+IF(Y1451="",0,Y1451*サマリー!$B$9)+IF(Z1451="",0,IF(Z1451=200,サマリー!$B$10,IF(Z1451=100,サマリー!$B$11,0)))+IF(AA1451="",0,AA1451*サマリー!$B$12)</f>
        <v>0</v>
      </c>
      <c r="E1451" s="27">
        <f t="shared" si="44"/>
        <v>0</v>
      </c>
      <c r="I1451" s="30"/>
      <c r="J1451" s="30"/>
      <c r="K1451" s="30"/>
      <c r="L1451" s="30"/>
      <c r="M1451" s="30"/>
      <c r="N1451" s="30"/>
      <c r="O1451" s="30"/>
      <c r="P1451" s="30"/>
      <c r="Q1451" s="31"/>
      <c r="R1451" s="31"/>
      <c r="S1451" s="31"/>
      <c r="T1451" s="32"/>
      <c r="U1451" s="32"/>
      <c r="V1451" s="32"/>
      <c r="W1451" s="32"/>
      <c r="X1451" s="32"/>
      <c r="Y1451" s="33"/>
      <c r="Z1451" s="33"/>
      <c r="AA1451" s="33"/>
    </row>
    <row r="1452" spans="1:27">
      <c r="A1452" s="29"/>
      <c r="B1452" s="19">
        <f t="shared" si="45"/>
        <v>46327</v>
      </c>
      <c r="C1452" s="27">
        <f>I1452+J1452+K1452+L1452+M1452+N1452+O1452+P1452+IF(Q1452="",0,Q1452*サマリー!$B$9)+IF(R1452="",0,IF(R1452=200,サマリー!$B$10,IF(R1452=100,サマリー!$B$11,0)))+IF(S1452="",0,S1452*サマリー!$B$12)</f>
        <v>0</v>
      </c>
      <c r="D1452" s="27">
        <f>T1452+U1452+V1452+W1452+X1452+IF(Y1452="",0,Y1452*サマリー!$B$9)+IF(Z1452="",0,IF(Z1452=200,サマリー!$B$10,IF(Z1452=100,サマリー!$B$11,0)))+IF(AA1452="",0,AA1452*サマリー!$B$12)</f>
        <v>0</v>
      </c>
      <c r="E1452" s="27">
        <f t="shared" si="44"/>
        <v>0</v>
      </c>
      <c r="I1452" s="30"/>
      <c r="J1452" s="30"/>
      <c r="K1452" s="30"/>
      <c r="L1452" s="30"/>
      <c r="M1452" s="30"/>
      <c r="N1452" s="30"/>
      <c r="O1452" s="30"/>
      <c r="P1452" s="30"/>
      <c r="Q1452" s="31"/>
      <c r="R1452" s="31"/>
      <c r="S1452" s="31"/>
      <c r="T1452" s="32"/>
      <c r="U1452" s="32"/>
      <c r="V1452" s="32"/>
      <c r="W1452" s="32"/>
      <c r="X1452" s="32"/>
      <c r="Y1452" s="33"/>
      <c r="Z1452" s="33"/>
      <c r="AA1452" s="33"/>
    </row>
    <row r="1453" spans="1:27">
      <c r="A1453" s="29"/>
      <c r="B1453" s="19">
        <f t="shared" si="45"/>
        <v>46327</v>
      </c>
      <c r="C1453" s="27">
        <f>I1453+J1453+K1453+L1453+M1453+N1453+O1453+P1453+IF(Q1453="",0,Q1453*サマリー!$B$9)+IF(R1453="",0,IF(R1453=200,サマリー!$B$10,IF(R1453=100,サマリー!$B$11,0)))+IF(S1453="",0,S1453*サマリー!$B$12)</f>
        <v>0</v>
      </c>
      <c r="D1453" s="27">
        <f>T1453+U1453+V1453+W1453+X1453+IF(Y1453="",0,Y1453*サマリー!$B$9)+IF(Z1453="",0,IF(Z1453=200,サマリー!$B$10,IF(Z1453=100,サマリー!$B$11,0)))+IF(AA1453="",0,AA1453*サマリー!$B$12)</f>
        <v>0</v>
      </c>
      <c r="E1453" s="27">
        <f t="shared" si="44"/>
        <v>0</v>
      </c>
      <c r="I1453" s="30"/>
      <c r="J1453" s="30"/>
      <c r="K1453" s="30"/>
      <c r="L1453" s="30"/>
      <c r="M1453" s="30"/>
      <c r="N1453" s="30"/>
      <c r="O1453" s="30"/>
      <c r="P1453" s="30"/>
      <c r="Q1453" s="31"/>
      <c r="R1453" s="31"/>
      <c r="S1453" s="31"/>
      <c r="T1453" s="32"/>
      <c r="U1453" s="32"/>
      <c r="V1453" s="32"/>
      <c r="W1453" s="32"/>
      <c r="X1453" s="32"/>
      <c r="Y1453" s="33"/>
      <c r="Z1453" s="33"/>
      <c r="AA1453" s="33"/>
    </row>
    <row r="1454" spans="1:27">
      <c r="A1454" s="29"/>
      <c r="B1454" s="19">
        <f t="shared" si="45"/>
        <v>46327</v>
      </c>
      <c r="C1454" s="27">
        <f>I1454+J1454+K1454+L1454+M1454+N1454+O1454+P1454+IF(Q1454="",0,Q1454*サマリー!$B$9)+IF(R1454="",0,IF(R1454=200,サマリー!$B$10,IF(R1454=100,サマリー!$B$11,0)))+IF(S1454="",0,S1454*サマリー!$B$12)</f>
        <v>0</v>
      </c>
      <c r="D1454" s="27">
        <f>T1454+U1454+V1454+W1454+X1454+IF(Y1454="",0,Y1454*サマリー!$B$9)+IF(Z1454="",0,IF(Z1454=200,サマリー!$B$10,IF(Z1454=100,サマリー!$B$11,0)))+IF(AA1454="",0,AA1454*サマリー!$B$12)</f>
        <v>0</v>
      </c>
      <c r="E1454" s="27">
        <f t="shared" si="44"/>
        <v>0</v>
      </c>
      <c r="I1454" s="30"/>
      <c r="J1454" s="30"/>
      <c r="K1454" s="30"/>
      <c r="L1454" s="30"/>
      <c r="M1454" s="30"/>
      <c r="N1454" s="30"/>
      <c r="O1454" s="30"/>
      <c r="P1454" s="30"/>
      <c r="Q1454" s="31"/>
      <c r="R1454" s="31"/>
      <c r="S1454" s="31"/>
      <c r="T1454" s="32"/>
      <c r="U1454" s="32"/>
      <c r="V1454" s="32"/>
      <c r="W1454" s="32"/>
      <c r="X1454" s="32"/>
      <c r="Y1454" s="33"/>
      <c r="Z1454" s="33"/>
      <c r="AA1454" s="33"/>
    </row>
    <row r="1455" spans="1:27">
      <c r="A1455" s="29"/>
      <c r="B1455" s="19">
        <f t="shared" si="45"/>
        <v>46327</v>
      </c>
      <c r="C1455" s="27">
        <f>I1455+J1455+K1455+L1455+M1455+N1455+O1455+P1455+IF(Q1455="",0,Q1455*サマリー!$B$9)+IF(R1455="",0,IF(R1455=200,サマリー!$B$10,IF(R1455=100,サマリー!$B$11,0)))+IF(S1455="",0,S1455*サマリー!$B$12)</f>
        <v>0</v>
      </c>
      <c r="D1455" s="27">
        <f>T1455+U1455+V1455+W1455+X1455+IF(Y1455="",0,Y1455*サマリー!$B$9)+IF(Z1455="",0,IF(Z1455=200,サマリー!$B$10,IF(Z1455=100,サマリー!$B$11,0)))+IF(AA1455="",0,AA1455*サマリー!$B$12)</f>
        <v>0</v>
      </c>
      <c r="E1455" s="27">
        <f t="shared" si="44"/>
        <v>0</v>
      </c>
      <c r="I1455" s="30"/>
      <c r="J1455" s="30"/>
      <c r="K1455" s="30"/>
      <c r="L1455" s="30"/>
      <c r="M1455" s="30"/>
      <c r="N1455" s="30"/>
      <c r="O1455" s="30"/>
      <c r="P1455" s="30"/>
      <c r="Q1455" s="31"/>
      <c r="R1455" s="31"/>
      <c r="S1455" s="31"/>
      <c r="T1455" s="32"/>
      <c r="U1455" s="32"/>
      <c r="V1455" s="32"/>
      <c r="W1455" s="32"/>
      <c r="X1455" s="32"/>
      <c r="Y1455" s="33"/>
      <c r="Z1455" s="33"/>
      <c r="AA1455" s="33"/>
    </row>
    <row r="1456" spans="1:27">
      <c r="A1456" s="29"/>
      <c r="B1456" s="19">
        <f t="shared" si="45"/>
        <v>46327</v>
      </c>
      <c r="C1456" s="27">
        <f>I1456+J1456+K1456+L1456+M1456+N1456+O1456+P1456+IF(Q1456="",0,Q1456*サマリー!$B$9)+IF(R1456="",0,IF(R1456=200,サマリー!$B$10,IF(R1456=100,サマリー!$B$11,0)))+IF(S1456="",0,S1456*サマリー!$B$12)</f>
        <v>0</v>
      </c>
      <c r="D1456" s="27">
        <f>T1456+U1456+V1456+W1456+X1456+IF(Y1456="",0,Y1456*サマリー!$B$9)+IF(Z1456="",0,IF(Z1456=200,サマリー!$B$10,IF(Z1456=100,サマリー!$B$11,0)))+IF(AA1456="",0,AA1456*サマリー!$B$12)</f>
        <v>0</v>
      </c>
      <c r="E1456" s="27">
        <f t="shared" si="44"/>
        <v>0</v>
      </c>
      <c r="I1456" s="30"/>
      <c r="J1456" s="30"/>
      <c r="K1456" s="30"/>
      <c r="L1456" s="30"/>
      <c r="M1456" s="30"/>
      <c r="N1456" s="30"/>
      <c r="O1456" s="30"/>
      <c r="P1456" s="30"/>
      <c r="Q1456" s="31"/>
      <c r="R1456" s="31"/>
      <c r="S1456" s="31"/>
      <c r="T1456" s="32"/>
      <c r="U1456" s="32"/>
      <c r="V1456" s="32"/>
      <c r="W1456" s="32"/>
      <c r="X1456" s="32"/>
      <c r="Y1456" s="33"/>
      <c r="Z1456" s="33"/>
      <c r="AA1456" s="33"/>
    </row>
    <row r="1457" spans="1:27">
      <c r="A1457" s="29"/>
      <c r="B1457" s="19">
        <f t="shared" si="45"/>
        <v>46327</v>
      </c>
      <c r="C1457" s="27">
        <f>I1457+J1457+K1457+L1457+M1457+N1457+O1457+P1457+IF(Q1457="",0,Q1457*サマリー!$B$9)+IF(R1457="",0,IF(R1457=200,サマリー!$B$10,IF(R1457=100,サマリー!$B$11,0)))+IF(S1457="",0,S1457*サマリー!$B$12)</f>
        <v>0</v>
      </c>
      <c r="D1457" s="27">
        <f>T1457+U1457+V1457+W1457+X1457+IF(Y1457="",0,Y1457*サマリー!$B$9)+IF(Z1457="",0,IF(Z1457=200,サマリー!$B$10,IF(Z1457=100,サマリー!$B$11,0)))+IF(AA1457="",0,AA1457*サマリー!$B$12)</f>
        <v>0</v>
      </c>
      <c r="E1457" s="27">
        <f t="shared" si="44"/>
        <v>0</v>
      </c>
      <c r="I1457" s="30"/>
      <c r="J1457" s="30"/>
      <c r="K1457" s="30"/>
      <c r="L1457" s="30"/>
      <c r="M1457" s="30"/>
      <c r="N1457" s="30"/>
      <c r="O1457" s="30"/>
      <c r="P1457" s="30"/>
      <c r="Q1457" s="31"/>
      <c r="R1457" s="31"/>
      <c r="S1457" s="31"/>
      <c r="T1457" s="32"/>
      <c r="U1457" s="32"/>
      <c r="V1457" s="32"/>
      <c r="W1457" s="32"/>
      <c r="X1457" s="32"/>
      <c r="Y1457" s="33"/>
      <c r="Z1457" s="33"/>
      <c r="AA1457" s="33"/>
    </row>
    <row r="1458" spans="1:27">
      <c r="A1458" s="29"/>
      <c r="B1458" s="19">
        <f t="shared" si="45"/>
        <v>46327</v>
      </c>
      <c r="C1458" s="27">
        <f>I1458+J1458+K1458+L1458+M1458+N1458+O1458+P1458+IF(Q1458="",0,Q1458*サマリー!$B$9)+IF(R1458="",0,IF(R1458=200,サマリー!$B$10,IF(R1458=100,サマリー!$B$11,0)))+IF(S1458="",0,S1458*サマリー!$B$12)</f>
        <v>0</v>
      </c>
      <c r="D1458" s="27">
        <f>T1458+U1458+V1458+W1458+X1458+IF(Y1458="",0,Y1458*サマリー!$B$9)+IF(Z1458="",0,IF(Z1458=200,サマリー!$B$10,IF(Z1458=100,サマリー!$B$11,0)))+IF(AA1458="",0,AA1458*サマリー!$B$12)</f>
        <v>0</v>
      </c>
      <c r="E1458" s="27">
        <f t="shared" si="44"/>
        <v>0</v>
      </c>
      <c r="I1458" s="30"/>
      <c r="J1458" s="30"/>
      <c r="K1458" s="30"/>
      <c r="L1458" s="30"/>
      <c r="M1458" s="30"/>
      <c r="N1458" s="30"/>
      <c r="O1458" s="30"/>
      <c r="P1458" s="30"/>
      <c r="Q1458" s="31"/>
      <c r="R1458" s="31"/>
      <c r="S1458" s="31"/>
      <c r="T1458" s="32"/>
      <c r="U1458" s="32"/>
      <c r="V1458" s="32"/>
      <c r="W1458" s="32"/>
      <c r="X1458" s="32"/>
      <c r="Y1458" s="33"/>
      <c r="Z1458" s="33"/>
      <c r="AA1458" s="33"/>
    </row>
    <row r="1459" spans="1:27">
      <c r="A1459" s="29"/>
      <c r="B1459" s="19">
        <f t="shared" si="45"/>
        <v>46327</v>
      </c>
      <c r="C1459" s="27">
        <f>I1459+J1459+K1459+L1459+M1459+N1459+O1459+P1459+IF(Q1459="",0,Q1459*サマリー!$B$9)+IF(R1459="",0,IF(R1459=200,サマリー!$B$10,IF(R1459=100,サマリー!$B$11,0)))+IF(S1459="",0,S1459*サマリー!$B$12)</f>
        <v>0</v>
      </c>
      <c r="D1459" s="27">
        <f>T1459+U1459+V1459+W1459+X1459+IF(Y1459="",0,Y1459*サマリー!$B$9)+IF(Z1459="",0,IF(Z1459=200,サマリー!$B$10,IF(Z1459=100,サマリー!$B$11,0)))+IF(AA1459="",0,AA1459*サマリー!$B$12)</f>
        <v>0</v>
      </c>
      <c r="E1459" s="27">
        <f t="shared" si="44"/>
        <v>0</v>
      </c>
      <c r="I1459" s="30"/>
      <c r="J1459" s="30"/>
      <c r="K1459" s="30"/>
      <c r="L1459" s="30"/>
      <c r="M1459" s="30"/>
      <c r="N1459" s="30"/>
      <c r="O1459" s="30"/>
      <c r="P1459" s="30"/>
      <c r="Q1459" s="31"/>
      <c r="R1459" s="31"/>
      <c r="S1459" s="31"/>
      <c r="T1459" s="32"/>
      <c r="U1459" s="32"/>
      <c r="V1459" s="32"/>
      <c r="W1459" s="32"/>
      <c r="X1459" s="32"/>
      <c r="Y1459" s="33"/>
      <c r="Z1459" s="33"/>
      <c r="AA1459" s="33"/>
    </row>
    <row r="1460" spans="1:27">
      <c r="A1460" s="29"/>
      <c r="B1460" s="19">
        <f t="shared" si="45"/>
        <v>46327</v>
      </c>
      <c r="C1460" s="27">
        <f>I1460+J1460+K1460+L1460+M1460+N1460+O1460+P1460+IF(Q1460="",0,Q1460*サマリー!$B$9)+IF(R1460="",0,IF(R1460=200,サマリー!$B$10,IF(R1460=100,サマリー!$B$11,0)))+IF(S1460="",0,S1460*サマリー!$B$12)</f>
        <v>0</v>
      </c>
      <c r="D1460" s="27">
        <f>T1460+U1460+V1460+W1460+X1460+IF(Y1460="",0,Y1460*サマリー!$B$9)+IF(Z1460="",0,IF(Z1460=200,サマリー!$B$10,IF(Z1460=100,サマリー!$B$11,0)))+IF(AA1460="",0,AA1460*サマリー!$B$12)</f>
        <v>0</v>
      </c>
      <c r="E1460" s="27">
        <f t="shared" si="44"/>
        <v>0</v>
      </c>
      <c r="I1460" s="30"/>
      <c r="J1460" s="30"/>
      <c r="K1460" s="30"/>
      <c r="L1460" s="30"/>
      <c r="M1460" s="30"/>
      <c r="N1460" s="30"/>
      <c r="O1460" s="30"/>
      <c r="P1460" s="30"/>
      <c r="Q1460" s="31"/>
      <c r="R1460" s="31"/>
      <c r="S1460" s="31"/>
      <c r="T1460" s="32"/>
      <c r="U1460" s="32"/>
      <c r="V1460" s="32"/>
      <c r="W1460" s="32"/>
      <c r="X1460" s="32"/>
      <c r="Y1460" s="33"/>
      <c r="Z1460" s="33"/>
      <c r="AA1460" s="33"/>
    </row>
    <row r="1461" spans="1:27">
      <c r="A1461" s="29"/>
      <c r="B1461" s="19">
        <f t="shared" si="45"/>
        <v>46327</v>
      </c>
      <c r="C1461" s="27">
        <f>I1461+J1461+K1461+L1461+M1461+N1461+O1461+P1461+IF(Q1461="",0,Q1461*サマリー!$B$9)+IF(R1461="",0,IF(R1461=200,サマリー!$B$10,IF(R1461=100,サマリー!$B$11,0)))+IF(S1461="",0,S1461*サマリー!$B$12)</f>
        <v>0</v>
      </c>
      <c r="D1461" s="27">
        <f>T1461+U1461+V1461+W1461+X1461+IF(Y1461="",0,Y1461*サマリー!$B$9)+IF(Z1461="",0,IF(Z1461=200,サマリー!$B$10,IF(Z1461=100,サマリー!$B$11,0)))+IF(AA1461="",0,AA1461*サマリー!$B$12)</f>
        <v>0</v>
      </c>
      <c r="E1461" s="27">
        <f t="shared" si="44"/>
        <v>0</v>
      </c>
      <c r="I1461" s="30"/>
      <c r="J1461" s="30"/>
      <c r="K1461" s="30"/>
      <c r="L1461" s="30"/>
      <c r="M1461" s="30"/>
      <c r="N1461" s="30"/>
      <c r="O1461" s="30"/>
      <c r="P1461" s="30"/>
      <c r="Q1461" s="31"/>
      <c r="R1461" s="31"/>
      <c r="S1461" s="31"/>
      <c r="T1461" s="32"/>
      <c r="U1461" s="32"/>
      <c r="V1461" s="32"/>
      <c r="W1461" s="32"/>
      <c r="X1461" s="32"/>
      <c r="Y1461" s="33"/>
      <c r="Z1461" s="33"/>
      <c r="AA1461" s="33"/>
    </row>
    <row r="1462" spans="1:27">
      <c r="A1462" s="29"/>
      <c r="B1462" s="19">
        <f t="shared" si="45"/>
        <v>46327</v>
      </c>
      <c r="C1462" s="27">
        <f>I1462+J1462+K1462+L1462+M1462+N1462+O1462+P1462+IF(Q1462="",0,Q1462*サマリー!$B$9)+IF(R1462="",0,IF(R1462=200,サマリー!$B$10,IF(R1462=100,サマリー!$B$11,0)))+IF(S1462="",0,S1462*サマリー!$B$12)</f>
        <v>0</v>
      </c>
      <c r="D1462" s="27">
        <f>T1462+U1462+V1462+W1462+X1462+IF(Y1462="",0,Y1462*サマリー!$B$9)+IF(Z1462="",0,IF(Z1462=200,サマリー!$B$10,IF(Z1462=100,サマリー!$B$11,0)))+IF(AA1462="",0,AA1462*サマリー!$B$12)</f>
        <v>0</v>
      </c>
      <c r="E1462" s="27">
        <f t="shared" si="44"/>
        <v>0</v>
      </c>
      <c r="I1462" s="30"/>
      <c r="J1462" s="30"/>
      <c r="K1462" s="30"/>
      <c r="L1462" s="30"/>
      <c r="M1462" s="30"/>
      <c r="N1462" s="30"/>
      <c r="O1462" s="30"/>
      <c r="P1462" s="30"/>
      <c r="Q1462" s="31"/>
      <c r="R1462" s="31"/>
      <c r="S1462" s="31"/>
      <c r="T1462" s="32"/>
      <c r="U1462" s="32"/>
      <c r="V1462" s="32"/>
      <c r="W1462" s="32"/>
      <c r="X1462" s="32"/>
      <c r="Y1462" s="33"/>
      <c r="Z1462" s="33"/>
      <c r="AA1462" s="33"/>
    </row>
    <row r="1463" spans="1:27">
      <c r="A1463" s="29"/>
      <c r="B1463" s="19">
        <f t="shared" si="45"/>
        <v>46327</v>
      </c>
      <c r="C1463" s="27">
        <f>I1463+J1463+K1463+L1463+M1463+N1463+O1463+P1463+IF(Q1463="",0,Q1463*サマリー!$B$9)+IF(R1463="",0,IF(R1463=200,サマリー!$B$10,IF(R1463=100,サマリー!$B$11,0)))+IF(S1463="",0,S1463*サマリー!$B$12)</f>
        <v>0</v>
      </c>
      <c r="D1463" s="27">
        <f>T1463+U1463+V1463+W1463+X1463+IF(Y1463="",0,Y1463*サマリー!$B$9)+IF(Z1463="",0,IF(Z1463=200,サマリー!$B$10,IF(Z1463=100,サマリー!$B$11,0)))+IF(AA1463="",0,AA1463*サマリー!$B$12)</f>
        <v>0</v>
      </c>
      <c r="E1463" s="27">
        <f t="shared" si="44"/>
        <v>0</v>
      </c>
      <c r="I1463" s="30"/>
      <c r="J1463" s="30"/>
      <c r="K1463" s="30"/>
      <c r="L1463" s="30"/>
      <c r="M1463" s="30"/>
      <c r="N1463" s="30"/>
      <c r="O1463" s="30"/>
      <c r="P1463" s="30"/>
      <c r="Q1463" s="31"/>
      <c r="R1463" s="31"/>
      <c r="S1463" s="31"/>
      <c r="T1463" s="32"/>
      <c r="U1463" s="32"/>
      <c r="V1463" s="32"/>
      <c r="W1463" s="32"/>
      <c r="X1463" s="32"/>
      <c r="Y1463" s="33"/>
      <c r="Z1463" s="33"/>
      <c r="AA1463" s="33"/>
    </row>
    <row r="1464" spans="1:27">
      <c r="A1464" s="29"/>
      <c r="B1464" s="19">
        <f t="shared" si="45"/>
        <v>46327</v>
      </c>
      <c r="C1464" s="27">
        <f>I1464+J1464+K1464+L1464+M1464+N1464+O1464+P1464+IF(Q1464="",0,Q1464*サマリー!$B$9)+IF(R1464="",0,IF(R1464=200,サマリー!$B$10,IF(R1464=100,サマリー!$B$11,0)))+IF(S1464="",0,S1464*サマリー!$B$12)</f>
        <v>0</v>
      </c>
      <c r="D1464" s="27">
        <f>T1464+U1464+V1464+W1464+X1464+IF(Y1464="",0,Y1464*サマリー!$B$9)+IF(Z1464="",0,IF(Z1464=200,サマリー!$B$10,IF(Z1464=100,サマリー!$B$11,0)))+IF(AA1464="",0,AA1464*サマリー!$B$12)</f>
        <v>0</v>
      </c>
      <c r="E1464" s="27">
        <f t="shared" si="44"/>
        <v>0</v>
      </c>
      <c r="I1464" s="30"/>
      <c r="J1464" s="30"/>
      <c r="K1464" s="30"/>
      <c r="L1464" s="30"/>
      <c r="M1464" s="30"/>
      <c r="N1464" s="30"/>
      <c r="O1464" s="30"/>
      <c r="P1464" s="30"/>
      <c r="Q1464" s="31"/>
      <c r="R1464" s="31"/>
      <c r="S1464" s="31"/>
      <c r="T1464" s="32"/>
      <c r="U1464" s="32"/>
      <c r="V1464" s="32"/>
      <c r="W1464" s="32"/>
      <c r="X1464" s="32"/>
      <c r="Y1464" s="33"/>
      <c r="Z1464" s="33"/>
      <c r="AA1464" s="33"/>
    </row>
    <row r="1465" spans="1:27">
      <c r="A1465" s="29"/>
      <c r="B1465" s="19">
        <f t="shared" si="45"/>
        <v>46327</v>
      </c>
      <c r="C1465" s="27">
        <f>I1465+J1465+K1465+L1465+M1465+N1465+O1465+P1465+IF(Q1465="",0,Q1465*サマリー!$B$9)+IF(R1465="",0,IF(R1465=200,サマリー!$B$10,IF(R1465=100,サマリー!$B$11,0)))+IF(S1465="",0,S1465*サマリー!$B$12)</f>
        <v>0</v>
      </c>
      <c r="D1465" s="27">
        <f>T1465+U1465+V1465+W1465+X1465+IF(Y1465="",0,Y1465*サマリー!$B$9)+IF(Z1465="",0,IF(Z1465=200,サマリー!$B$10,IF(Z1465=100,サマリー!$B$11,0)))+IF(AA1465="",0,AA1465*サマリー!$B$12)</f>
        <v>0</v>
      </c>
      <c r="E1465" s="27">
        <f t="shared" si="44"/>
        <v>0</v>
      </c>
      <c r="I1465" s="30"/>
      <c r="J1465" s="30"/>
      <c r="K1465" s="30"/>
      <c r="L1465" s="30"/>
      <c r="M1465" s="30"/>
      <c r="N1465" s="30"/>
      <c r="O1465" s="30"/>
      <c r="P1465" s="30"/>
      <c r="Q1465" s="31"/>
      <c r="R1465" s="31"/>
      <c r="S1465" s="31"/>
      <c r="T1465" s="32"/>
      <c r="U1465" s="32"/>
      <c r="V1465" s="32"/>
      <c r="W1465" s="32"/>
      <c r="X1465" s="32"/>
      <c r="Y1465" s="33"/>
      <c r="Z1465" s="33"/>
      <c r="AA1465" s="33"/>
    </row>
    <row r="1466" spans="1:27">
      <c r="A1466" s="29"/>
      <c r="B1466" s="19">
        <f t="shared" si="45"/>
        <v>46327</v>
      </c>
      <c r="C1466" s="27">
        <f>I1466+J1466+K1466+L1466+M1466+N1466+O1466+P1466+IF(Q1466="",0,Q1466*サマリー!$B$9)+IF(R1466="",0,IF(R1466=200,サマリー!$B$10,IF(R1466=100,サマリー!$B$11,0)))+IF(S1466="",0,S1466*サマリー!$B$12)</f>
        <v>0</v>
      </c>
      <c r="D1466" s="27">
        <f>T1466+U1466+V1466+W1466+X1466+IF(Y1466="",0,Y1466*サマリー!$B$9)+IF(Z1466="",0,IF(Z1466=200,サマリー!$B$10,IF(Z1466=100,サマリー!$B$11,0)))+IF(AA1466="",0,AA1466*サマリー!$B$12)</f>
        <v>0</v>
      </c>
      <c r="E1466" s="27">
        <f t="shared" si="44"/>
        <v>0</v>
      </c>
      <c r="I1466" s="30"/>
      <c r="J1466" s="30"/>
      <c r="K1466" s="30"/>
      <c r="L1466" s="30"/>
      <c r="M1466" s="30"/>
      <c r="N1466" s="30"/>
      <c r="O1466" s="30"/>
      <c r="P1466" s="30"/>
      <c r="Q1466" s="31"/>
      <c r="R1466" s="31"/>
      <c r="S1466" s="31"/>
      <c r="T1466" s="32"/>
      <c r="U1466" s="32"/>
      <c r="V1466" s="32"/>
      <c r="W1466" s="32"/>
      <c r="X1466" s="32"/>
      <c r="Y1466" s="33"/>
      <c r="Z1466" s="33"/>
      <c r="AA1466" s="33"/>
    </row>
    <row r="1467" spans="1:27">
      <c r="A1467" s="29"/>
      <c r="B1467" s="19">
        <f t="shared" si="45"/>
        <v>46327</v>
      </c>
      <c r="C1467" s="27">
        <f>I1467+J1467+K1467+L1467+M1467+N1467+O1467+P1467+IF(Q1467="",0,Q1467*サマリー!$B$9)+IF(R1467="",0,IF(R1467=200,サマリー!$B$10,IF(R1467=100,サマリー!$B$11,0)))+IF(S1467="",0,S1467*サマリー!$B$12)</f>
        <v>0</v>
      </c>
      <c r="D1467" s="27">
        <f>T1467+U1467+V1467+W1467+X1467+IF(Y1467="",0,Y1467*サマリー!$B$9)+IF(Z1467="",0,IF(Z1467=200,サマリー!$B$10,IF(Z1467=100,サマリー!$B$11,0)))+IF(AA1467="",0,AA1467*サマリー!$B$12)</f>
        <v>0</v>
      </c>
      <c r="E1467" s="27">
        <f t="shared" si="44"/>
        <v>0</v>
      </c>
      <c r="I1467" s="30"/>
      <c r="J1467" s="30"/>
      <c r="K1467" s="30"/>
      <c r="L1467" s="30"/>
      <c r="M1467" s="30"/>
      <c r="N1467" s="30"/>
      <c r="O1467" s="30"/>
      <c r="P1467" s="30"/>
      <c r="Q1467" s="31"/>
      <c r="R1467" s="31"/>
      <c r="S1467" s="31"/>
      <c r="T1467" s="32"/>
      <c r="U1467" s="32"/>
      <c r="V1467" s="32"/>
      <c r="W1467" s="32"/>
      <c r="X1467" s="32"/>
      <c r="Y1467" s="33"/>
      <c r="Z1467" s="33"/>
      <c r="AA1467" s="33"/>
    </row>
    <row r="1468" spans="1:27">
      <c r="A1468" s="29"/>
      <c r="B1468" s="19">
        <f t="shared" si="45"/>
        <v>46327</v>
      </c>
      <c r="C1468" s="27">
        <f>I1468+J1468+K1468+L1468+M1468+N1468+O1468+P1468+IF(Q1468="",0,Q1468*サマリー!$B$9)+IF(R1468="",0,IF(R1468=200,サマリー!$B$10,IF(R1468=100,サマリー!$B$11,0)))+IF(S1468="",0,S1468*サマリー!$B$12)</f>
        <v>0</v>
      </c>
      <c r="D1468" s="27">
        <f>T1468+U1468+V1468+W1468+X1468+IF(Y1468="",0,Y1468*サマリー!$B$9)+IF(Z1468="",0,IF(Z1468=200,サマリー!$B$10,IF(Z1468=100,サマリー!$B$11,0)))+IF(AA1468="",0,AA1468*サマリー!$B$12)</f>
        <v>0</v>
      </c>
      <c r="E1468" s="27">
        <f t="shared" si="44"/>
        <v>0</v>
      </c>
      <c r="I1468" s="30"/>
      <c r="J1468" s="30"/>
      <c r="K1468" s="30"/>
      <c r="L1468" s="30"/>
      <c r="M1468" s="30"/>
      <c r="N1468" s="30"/>
      <c r="O1468" s="30"/>
      <c r="P1468" s="30"/>
      <c r="Q1468" s="31"/>
      <c r="R1468" s="31"/>
      <c r="S1468" s="31"/>
      <c r="T1468" s="32"/>
      <c r="U1468" s="32"/>
      <c r="V1468" s="32"/>
      <c r="W1468" s="32"/>
      <c r="X1468" s="32"/>
      <c r="Y1468" s="33"/>
      <c r="Z1468" s="33"/>
      <c r="AA1468" s="33"/>
    </row>
    <row r="1469" spans="1:27">
      <c r="A1469" s="29"/>
      <c r="B1469" s="19">
        <f t="shared" si="45"/>
        <v>46327</v>
      </c>
      <c r="C1469" s="27">
        <f>I1469+J1469+K1469+L1469+M1469+N1469+O1469+P1469+IF(Q1469="",0,Q1469*サマリー!$B$9)+IF(R1469="",0,IF(R1469=200,サマリー!$B$10,IF(R1469=100,サマリー!$B$11,0)))+IF(S1469="",0,S1469*サマリー!$B$12)</f>
        <v>0</v>
      </c>
      <c r="D1469" s="27">
        <f>T1469+U1469+V1469+W1469+X1469+IF(Y1469="",0,Y1469*サマリー!$B$9)+IF(Z1469="",0,IF(Z1469=200,サマリー!$B$10,IF(Z1469=100,サマリー!$B$11,0)))+IF(AA1469="",0,AA1469*サマリー!$B$12)</f>
        <v>0</v>
      </c>
      <c r="E1469" s="27">
        <f t="shared" si="44"/>
        <v>0</v>
      </c>
      <c r="I1469" s="30"/>
      <c r="J1469" s="30"/>
      <c r="K1469" s="30"/>
      <c r="L1469" s="30"/>
      <c r="M1469" s="30"/>
      <c r="N1469" s="30"/>
      <c r="O1469" s="30"/>
      <c r="P1469" s="30"/>
      <c r="Q1469" s="31"/>
      <c r="R1469" s="31"/>
      <c r="S1469" s="31"/>
      <c r="T1469" s="32"/>
      <c r="U1469" s="32"/>
      <c r="V1469" s="32"/>
      <c r="W1469" s="32"/>
      <c r="X1469" s="32"/>
      <c r="Y1469" s="33"/>
      <c r="Z1469" s="33"/>
      <c r="AA1469" s="33"/>
    </row>
    <row r="1470" spans="1:27">
      <c r="A1470" s="29"/>
      <c r="B1470" s="19">
        <f t="shared" si="45"/>
        <v>46327</v>
      </c>
      <c r="C1470" s="27">
        <f>I1470+J1470+K1470+L1470+M1470+N1470+O1470+P1470+IF(Q1470="",0,Q1470*サマリー!$B$9)+IF(R1470="",0,IF(R1470=200,サマリー!$B$10,IF(R1470=100,サマリー!$B$11,0)))+IF(S1470="",0,S1470*サマリー!$B$12)</f>
        <v>0</v>
      </c>
      <c r="D1470" s="27">
        <f>T1470+U1470+V1470+W1470+X1470+IF(Y1470="",0,Y1470*サマリー!$B$9)+IF(Z1470="",0,IF(Z1470=200,サマリー!$B$10,IF(Z1470=100,サマリー!$B$11,0)))+IF(AA1470="",0,AA1470*サマリー!$B$12)</f>
        <v>0</v>
      </c>
      <c r="E1470" s="27">
        <f t="shared" si="44"/>
        <v>0</v>
      </c>
      <c r="I1470" s="30"/>
      <c r="J1470" s="30"/>
      <c r="K1470" s="30"/>
      <c r="L1470" s="30"/>
      <c r="M1470" s="30"/>
      <c r="N1470" s="30"/>
      <c r="O1470" s="30"/>
      <c r="P1470" s="30"/>
      <c r="Q1470" s="31"/>
      <c r="R1470" s="31"/>
      <c r="S1470" s="31"/>
      <c r="T1470" s="32"/>
      <c r="U1470" s="32"/>
      <c r="V1470" s="32"/>
      <c r="W1470" s="32"/>
      <c r="X1470" s="32"/>
      <c r="Y1470" s="33"/>
      <c r="Z1470" s="33"/>
      <c r="AA1470" s="33"/>
    </row>
    <row r="1471" spans="1:27">
      <c r="A1471" s="29"/>
      <c r="B1471" s="19">
        <f t="shared" si="45"/>
        <v>46327</v>
      </c>
      <c r="C1471" s="27">
        <f>I1471+J1471+K1471+L1471+M1471+N1471+O1471+P1471+IF(Q1471="",0,Q1471*サマリー!$B$9)+IF(R1471="",0,IF(R1471=200,サマリー!$B$10,IF(R1471=100,サマリー!$B$11,0)))+IF(S1471="",0,S1471*サマリー!$B$12)</f>
        <v>0</v>
      </c>
      <c r="D1471" s="27">
        <f>T1471+U1471+V1471+W1471+X1471+IF(Y1471="",0,Y1471*サマリー!$B$9)+IF(Z1471="",0,IF(Z1471=200,サマリー!$B$10,IF(Z1471=100,サマリー!$B$11,0)))+IF(AA1471="",0,AA1471*サマリー!$B$12)</f>
        <v>0</v>
      </c>
      <c r="E1471" s="27">
        <f t="shared" si="44"/>
        <v>0</v>
      </c>
      <c r="I1471" s="30"/>
      <c r="J1471" s="30"/>
      <c r="K1471" s="30"/>
      <c r="L1471" s="30"/>
      <c r="M1471" s="30"/>
      <c r="N1471" s="30"/>
      <c r="O1471" s="30"/>
      <c r="P1471" s="30"/>
      <c r="Q1471" s="31"/>
      <c r="R1471" s="31"/>
      <c r="S1471" s="31"/>
      <c r="T1471" s="32"/>
      <c r="U1471" s="32"/>
      <c r="V1471" s="32"/>
      <c r="W1471" s="32"/>
      <c r="X1471" s="32"/>
      <c r="Y1471" s="33"/>
      <c r="Z1471" s="33"/>
      <c r="AA1471" s="33"/>
    </row>
    <row r="1472" spans="1:27">
      <c r="A1472" s="29"/>
      <c r="B1472" s="19">
        <f t="shared" si="45"/>
        <v>46327</v>
      </c>
      <c r="C1472" s="27">
        <f>I1472+J1472+K1472+L1472+M1472+N1472+O1472+P1472+IF(Q1472="",0,Q1472*サマリー!$B$9)+IF(R1472="",0,IF(R1472=200,サマリー!$B$10,IF(R1472=100,サマリー!$B$11,0)))+IF(S1472="",0,S1472*サマリー!$B$12)</f>
        <v>0</v>
      </c>
      <c r="D1472" s="27">
        <f>T1472+U1472+V1472+W1472+X1472+IF(Y1472="",0,Y1472*サマリー!$B$9)+IF(Z1472="",0,IF(Z1472=200,サマリー!$B$10,IF(Z1472=100,サマリー!$B$11,0)))+IF(AA1472="",0,AA1472*サマリー!$B$12)</f>
        <v>0</v>
      </c>
      <c r="E1472" s="27">
        <f t="shared" si="44"/>
        <v>0</v>
      </c>
      <c r="I1472" s="30"/>
      <c r="J1472" s="30"/>
      <c r="K1472" s="30"/>
      <c r="L1472" s="30"/>
      <c r="M1472" s="30"/>
      <c r="N1472" s="30"/>
      <c r="O1472" s="30"/>
      <c r="P1472" s="30"/>
      <c r="Q1472" s="31"/>
      <c r="R1472" s="31"/>
      <c r="S1472" s="31"/>
      <c r="T1472" s="32"/>
      <c r="U1472" s="32"/>
      <c r="V1472" s="32"/>
      <c r="W1472" s="32"/>
      <c r="X1472" s="32"/>
      <c r="Y1472" s="33"/>
      <c r="Z1472" s="33"/>
      <c r="AA1472" s="33"/>
    </row>
    <row r="1473" spans="1:27">
      <c r="A1473" s="29"/>
      <c r="B1473" s="19">
        <f t="shared" si="45"/>
        <v>46327</v>
      </c>
      <c r="C1473" s="27">
        <f>I1473+J1473+K1473+L1473+M1473+N1473+O1473+P1473+IF(Q1473="",0,Q1473*サマリー!$B$9)+IF(R1473="",0,IF(R1473=200,サマリー!$B$10,IF(R1473=100,サマリー!$B$11,0)))+IF(S1473="",0,S1473*サマリー!$B$12)</f>
        <v>0</v>
      </c>
      <c r="D1473" s="27">
        <f>T1473+U1473+V1473+W1473+X1473+IF(Y1473="",0,Y1473*サマリー!$B$9)+IF(Z1473="",0,IF(Z1473=200,サマリー!$B$10,IF(Z1473=100,サマリー!$B$11,0)))+IF(AA1473="",0,AA1473*サマリー!$B$12)</f>
        <v>0</v>
      </c>
      <c r="E1473" s="27">
        <f t="shared" si="44"/>
        <v>0</v>
      </c>
      <c r="I1473" s="30"/>
      <c r="J1473" s="30"/>
      <c r="K1473" s="30"/>
      <c r="L1473" s="30"/>
      <c r="M1473" s="30"/>
      <c r="N1473" s="30"/>
      <c r="O1473" s="30"/>
      <c r="P1473" s="30"/>
      <c r="Q1473" s="31"/>
      <c r="R1473" s="31"/>
      <c r="S1473" s="31"/>
      <c r="T1473" s="32"/>
      <c r="U1473" s="32"/>
      <c r="V1473" s="32"/>
      <c r="W1473" s="32"/>
      <c r="X1473" s="32"/>
      <c r="Y1473" s="33"/>
      <c r="Z1473" s="33"/>
      <c r="AA1473" s="33"/>
    </row>
    <row r="1474" spans="1:27">
      <c r="A1474" s="29"/>
      <c r="B1474" s="19">
        <f t="shared" si="45"/>
        <v>46327</v>
      </c>
      <c r="C1474" s="27">
        <f>I1474+J1474+K1474+L1474+M1474+N1474+O1474+P1474+IF(Q1474="",0,Q1474*サマリー!$B$9)+IF(R1474="",0,IF(R1474=200,サマリー!$B$10,IF(R1474=100,サマリー!$B$11,0)))+IF(S1474="",0,S1474*サマリー!$B$12)</f>
        <v>0</v>
      </c>
      <c r="D1474" s="27">
        <f>T1474+U1474+V1474+W1474+X1474+IF(Y1474="",0,Y1474*サマリー!$B$9)+IF(Z1474="",0,IF(Z1474=200,サマリー!$B$10,IF(Z1474=100,サマリー!$B$11,0)))+IF(AA1474="",0,AA1474*サマリー!$B$12)</f>
        <v>0</v>
      </c>
      <c r="E1474" s="27">
        <f t="shared" si="44"/>
        <v>0</v>
      </c>
      <c r="I1474" s="30"/>
      <c r="J1474" s="30"/>
      <c r="K1474" s="30"/>
      <c r="L1474" s="30"/>
      <c r="M1474" s="30"/>
      <c r="N1474" s="30"/>
      <c r="O1474" s="30"/>
      <c r="P1474" s="30"/>
      <c r="Q1474" s="31"/>
      <c r="R1474" s="31"/>
      <c r="S1474" s="31"/>
      <c r="T1474" s="32"/>
      <c r="U1474" s="32"/>
      <c r="V1474" s="32"/>
      <c r="W1474" s="32"/>
      <c r="X1474" s="32"/>
      <c r="Y1474" s="33"/>
      <c r="Z1474" s="33"/>
      <c r="AA1474" s="33"/>
    </row>
    <row r="1475" spans="1:27">
      <c r="A1475" s="29"/>
      <c r="B1475" s="19">
        <f t="shared" si="45"/>
        <v>46327</v>
      </c>
      <c r="C1475" s="27">
        <f>I1475+J1475+K1475+L1475+M1475+N1475+O1475+P1475+IF(Q1475="",0,Q1475*サマリー!$B$9)+IF(R1475="",0,IF(R1475=200,サマリー!$B$10,IF(R1475=100,サマリー!$B$11,0)))+IF(S1475="",0,S1475*サマリー!$B$12)</f>
        <v>0</v>
      </c>
      <c r="D1475" s="27">
        <f>T1475+U1475+V1475+W1475+X1475+IF(Y1475="",0,Y1475*サマリー!$B$9)+IF(Z1475="",0,IF(Z1475=200,サマリー!$B$10,IF(Z1475=100,サマリー!$B$11,0)))+IF(AA1475="",0,AA1475*サマリー!$B$12)</f>
        <v>0</v>
      </c>
      <c r="E1475" s="27">
        <f t="shared" si="44"/>
        <v>0</v>
      </c>
      <c r="I1475" s="30"/>
      <c r="J1475" s="30"/>
      <c r="K1475" s="30"/>
      <c r="L1475" s="30"/>
      <c r="M1475" s="30"/>
      <c r="N1475" s="30"/>
      <c r="O1475" s="30"/>
      <c r="P1475" s="30"/>
      <c r="Q1475" s="31"/>
      <c r="R1475" s="31"/>
      <c r="S1475" s="31"/>
      <c r="T1475" s="32"/>
      <c r="U1475" s="32"/>
      <c r="V1475" s="32"/>
      <c r="W1475" s="32"/>
      <c r="X1475" s="32"/>
      <c r="Y1475" s="33"/>
      <c r="Z1475" s="33"/>
      <c r="AA1475" s="33"/>
    </row>
    <row r="1476" spans="1:27">
      <c r="A1476" s="29"/>
      <c r="B1476" s="19">
        <f t="shared" si="45"/>
        <v>46327</v>
      </c>
      <c r="C1476" s="27">
        <f>I1476+J1476+K1476+L1476+M1476+N1476+O1476+P1476+IF(Q1476="",0,Q1476*サマリー!$B$9)+IF(R1476="",0,IF(R1476=200,サマリー!$B$10,IF(R1476=100,サマリー!$B$11,0)))+IF(S1476="",0,S1476*サマリー!$B$12)</f>
        <v>0</v>
      </c>
      <c r="D1476" s="27">
        <f>T1476+U1476+V1476+W1476+X1476+IF(Y1476="",0,Y1476*サマリー!$B$9)+IF(Z1476="",0,IF(Z1476=200,サマリー!$B$10,IF(Z1476=100,サマリー!$B$11,0)))+IF(AA1476="",0,AA1476*サマリー!$B$12)</f>
        <v>0</v>
      </c>
      <c r="E1476" s="27">
        <f t="shared" si="44"/>
        <v>0</v>
      </c>
      <c r="I1476" s="30"/>
      <c r="J1476" s="30"/>
      <c r="K1476" s="30"/>
      <c r="L1476" s="30"/>
      <c r="M1476" s="30"/>
      <c r="N1476" s="30"/>
      <c r="O1476" s="30"/>
      <c r="P1476" s="30"/>
      <c r="Q1476" s="31"/>
      <c r="R1476" s="31"/>
      <c r="S1476" s="31"/>
      <c r="T1476" s="32"/>
      <c r="U1476" s="32"/>
      <c r="V1476" s="32"/>
      <c r="W1476" s="32"/>
      <c r="X1476" s="32"/>
      <c r="Y1476" s="33"/>
      <c r="Z1476" s="33"/>
      <c r="AA1476" s="33"/>
    </row>
    <row r="1477" spans="1:27">
      <c r="A1477" s="29"/>
      <c r="B1477" s="19">
        <f t="shared" si="45"/>
        <v>46327</v>
      </c>
      <c r="C1477" s="27">
        <f>I1477+J1477+K1477+L1477+M1477+N1477+O1477+P1477+IF(Q1477="",0,Q1477*サマリー!$B$9)+IF(R1477="",0,IF(R1477=200,サマリー!$B$10,IF(R1477=100,サマリー!$B$11,0)))+IF(S1477="",0,S1477*サマリー!$B$12)</f>
        <v>0</v>
      </c>
      <c r="D1477" s="27">
        <f>T1477+U1477+V1477+W1477+X1477+IF(Y1477="",0,Y1477*サマリー!$B$9)+IF(Z1477="",0,IF(Z1477=200,サマリー!$B$10,IF(Z1477=100,サマリー!$B$11,0)))+IF(AA1477="",0,AA1477*サマリー!$B$12)</f>
        <v>0</v>
      </c>
      <c r="E1477" s="27">
        <f t="shared" si="44"/>
        <v>0</v>
      </c>
      <c r="I1477" s="30"/>
      <c r="J1477" s="30"/>
      <c r="K1477" s="30"/>
      <c r="L1477" s="30"/>
      <c r="M1477" s="30"/>
      <c r="N1477" s="30"/>
      <c r="O1477" s="30"/>
      <c r="P1477" s="30"/>
      <c r="Q1477" s="31"/>
      <c r="R1477" s="31"/>
      <c r="S1477" s="31"/>
      <c r="T1477" s="32"/>
      <c r="U1477" s="32"/>
      <c r="V1477" s="32"/>
      <c r="W1477" s="32"/>
      <c r="X1477" s="32"/>
      <c r="Y1477" s="33"/>
      <c r="Z1477" s="33"/>
      <c r="AA1477" s="33"/>
    </row>
    <row r="1478" spans="1:27">
      <c r="A1478" s="29"/>
      <c r="B1478" s="19">
        <f t="shared" si="45"/>
        <v>46327</v>
      </c>
      <c r="C1478" s="27">
        <f>I1478+J1478+K1478+L1478+M1478+N1478+O1478+P1478+IF(Q1478="",0,Q1478*サマリー!$B$9)+IF(R1478="",0,IF(R1478=200,サマリー!$B$10,IF(R1478=100,サマリー!$B$11,0)))+IF(S1478="",0,S1478*サマリー!$B$12)</f>
        <v>0</v>
      </c>
      <c r="D1478" s="27">
        <f>T1478+U1478+V1478+W1478+X1478+IF(Y1478="",0,Y1478*サマリー!$B$9)+IF(Z1478="",0,IF(Z1478=200,サマリー!$B$10,IF(Z1478=100,サマリー!$B$11,0)))+IF(AA1478="",0,AA1478*サマリー!$B$12)</f>
        <v>0</v>
      </c>
      <c r="E1478" s="27">
        <f t="shared" ref="E1478:E1505" si="46">C1478+D1478</f>
        <v>0</v>
      </c>
      <c r="I1478" s="30"/>
      <c r="J1478" s="30"/>
      <c r="K1478" s="30"/>
      <c r="L1478" s="30"/>
      <c r="M1478" s="30"/>
      <c r="N1478" s="30"/>
      <c r="O1478" s="30"/>
      <c r="P1478" s="30"/>
      <c r="Q1478" s="31"/>
      <c r="R1478" s="31"/>
      <c r="S1478" s="31"/>
      <c r="T1478" s="32"/>
      <c r="U1478" s="32"/>
      <c r="V1478" s="32"/>
      <c r="W1478" s="32"/>
      <c r="X1478" s="32"/>
      <c r="Y1478" s="33"/>
      <c r="Z1478" s="33"/>
      <c r="AA1478" s="33"/>
    </row>
    <row r="1479" spans="1:27">
      <c r="A1479" s="29"/>
      <c r="B1479" s="19">
        <f t="shared" ref="B1479:B1505" si="47">IF(A1479="",B1478,IF(A1479&lt;DAY(B1478),DATE(YEAR(B1478),MONTH(B1478)+1,A1479),DATE(YEAR(B1478),MONTH(B1478),A1479)))</f>
        <v>46327</v>
      </c>
      <c r="C1479" s="27">
        <f>I1479+J1479+K1479+L1479+M1479+N1479+O1479+P1479+IF(Q1479="",0,Q1479*サマリー!$B$9)+IF(R1479="",0,IF(R1479=200,サマリー!$B$10,IF(R1479=100,サマリー!$B$11,0)))+IF(S1479="",0,S1479*サマリー!$B$12)</f>
        <v>0</v>
      </c>
      <c r="D1479" s="27">
        <f>T1479+U1479+V1479+W1479+X1479+IF(Y1479="",0,Y1479*サマリー!$B$9)+IF(Z1479="",0,IF(Z1479=200,サマリー!$B$10,IF(Z1479=100,サマリー!$B$11,0)))+IF(AA1479="",0,AA1479*サマリー!$B$12)</f>
        <v>0</v>
      </c>
      <c r="E1479" s="27">
        <f t="shared" si="46"/>
        <v>0</v>
      </c>
      <c r="I1479" s="30"/>
      <c r="J1479" s="30"/>
      <c r="K1479" s="30"/>
      <c r="L1479" s="30"/>
      <c r="M1479" s="30"/>
      <c r="N1479" s="30"/>
      <c r="O1479" s="30"/>
      <c r="P1479" s="30"/>
      <c r="Q1479" s="31"/>
      <c r="R1479" s="31"/>
      <c r="S1479" s="31"/>
      <c r="T1479" s="32"/>
      <c r="U1479" s="32"/>
      <c r="V1479" s="32"/>
      <c r="W1479" s="32"/>
      <c r="X1479" s="32"/>
      <c r="Y1479" s="33"/>
      <c r="Z1479" s="33"/>
      <c r="AA1479" s="33"/>
    </row>
    <row r="1480" spans="1:27">
      <c r="A1480" s="29"/>
      <c r="B1480" s="19">
        <f t="shared" si="47"/>
        <v>46327</v>
      </c>
      <c r="C1480" s="27">
        <f>I1480+J1480+K1480+L1480+M1480+N1480+O1480+P1480+IF(Q1480="",0,Q1480*サマリー!$B$9)+IF(R1480="",0,IF(R1480=200,サマリー!$B$10,IF(R1480=100,サマリー!$B$11,0)))+IF(S1480="",0,S1480*サマリー!$B$12)</f>
        <v>0</v>
      </c>
      <c r="D1480" s="27">
        <f>T1480+U1480+V1480+W1480+X1480+IF(Y1480="",0,Y1480*サマリー!$B$9)+IF(Z1480="",0,IF(Z1480=200,サマリー!$B$10,IF(Z1480=100,サマリー!$B$11,0)))+IF(AA1480="",0,AA1480*サマリー!$B$12)</f>
        <v>0</v>
      </c>
      <c r="E1480" s="27">
        <f t="shared" si="46"/>
        <v>0</v>
      </c>
      <c r="I1480" s="30"/>
      <c r="J1480" s="30"/>
      <c r="K1480" s="30"/>
      <c r="L1480" s="30"/>
      <c r="M1480" s="30"/>
      <c r="N1480" s="30"/>
      <c r="O1480" s="30"/>
      <c r="P1480" s="30"/>
      <c r="Q1480" s="31"/>
      <c r="R1480" s="31"/>
      <c r="S1480" s="31"/>
      <c r="T1480" s="32"/>
      <c r="U1480" s="32"/>
      <c r="V1480" s="32"/>
      <c r="W1480" s="32"/>
      <c r="X1480" s="32"/>
      <c r="Y1480" s="33"/>
      <c r="Z1480" s="33"/>
      <c r="AA1480" s="33"/>
    </row>
    <row r="1481" spans="1:27">
      <c r="A1481" s="29"/>
      <c r="B1481" s="19">
        <f t="shared" si="47"/>
        <v>46327</v>
      </c>
      <c r="C1481" s="27">
        <f>I1481+J1481+K1481+L1481+M1481+N1481+O1481+P1481+IF(Q1481="",0,Q1481*サマリー!$B$9)+IF(R1481="",0,IF(R1481=200,サマリー!$B$10,IF(R1481=100,サマリー!$B$11,0)))+IF(S1481="",0,S1481*サマリー!$B$12)</f>
        <v>0</v>
      </c>
      <c r="D1481" s="27">
        <f>T1481+U1481+V1481+W1481+X1481+IF(Y1481="",0,Y1481*サマリー!$B$9)+IF(Z1481="",0,IF(Z1481=200,サマリー!$B$10,IF(Z1481=100,サマリー!$B$11,0)))+IF(AA1481="",0,AA1481*サマリー!$B$12)</f>
        <v>0</v>
      </c>
      <c r="E1481" s="27">
        <f t="shared" si="46"/>
        <v>0</v>
      </c>
      <c r="I1481" s="30"/>
      <c r="J1481" s="30"/>
      <c r="K1481" s="30"/>
      <c r="L1481" s="30"/>
      <c r="M1481" s="30"/>
      <c r="N1481" s="30"/>
      <c r="O1481" s="30"/>
      <c r="P1481" s="30"/>
      <c r="Q1481" s="31"/>
      <c r="R1481" s="31"/>
      <c r="S1481" s="31"/>
      <c r="T1481" s="32"/>
      <c r="U1481" s="32"/>
      <c r="V1481" s="32"/>
      <c r="W1481" s="32"/>
      <c r="X1481" s="32"/>
      <c r="Y1481" s="33"/>
      <c r="Z1481" s="33"/>
      <c r="AA1481" s="33"/>
    </row>
    <row r="1482" spans="1:27">
      <c r="A1482" s="29"/>
      <c r="B1482" s="19">
        <f t="shared" si="47"/>
        <v>46327</v>
      </c>
      <c r="C1482" s="27">
        <f>I1482+J1482+K1482+L1482+M1482+N1482+O1482+P1482+IF(Q1482="",0,Q1482*サマリー!$B$9)+IF(R1482="",0,IF(R1482=200,サマリー!$B$10,IF(R1482=100,サマリー!$B$11,0)))+IF(S1482="",0,S1482*サマリー!$B$12)</f>
        <v>0</v>
      </c>
      <c r="D1482" s="27">
        <f>T1482+U1482+V1482+W1482+X1482+IF(Y1482="",0,Y1482*サマリー!$B$9)+IF(Z1482="",0,IF(Z1482=200,サマリー!$B$10,IF(Z1482=100,サマリー!$B$11,0)))+IF(AA1482="",0,AA1482*サマリー!$B$12)</f>
        <v>0</v>
      </c>
      <c r="E1482" s="27">
        <f t="shared" si="46"/>
        <v>0</v>
      </c>
      <c r="I1482" s="30"/>
      <c r="J1482" s="30"/>
      <c r="K1482" s="30"/>
      <c r="L1482" s="30"/>
      <c r="M1482" s="30"/>
      <c r="N1482" s="30"/>
      <c r="O1482" s="30"/>
      <c r="P1482" s="30"/>
      <c r="Q1482" s="31"/>
      <c r="R1482" s="31"/>
      <c r="S1482" s="31"/>
      <c r="T1482" s="32"/>
      <c r="U1482" s="32"/>
      <c r="V1482" s="32"/>
      <c r="W1482" s="32"/>
      <c r="X1482" s="32"/>
      <c r="Y1482" s="33"/>
      <c r="Z1482" s="33"/>
      <c r="AA1482" s="33"/>
    </row>
    <row r="1483" spans="1:27">
      <c r="A1483" s="29"/>
      <c r="B1483" s="19">
        <f t="shared" si="47"/>
        <v>46327</v>
      </c>
      <c r="C1483" s="27">
        <f>I1483+J1483+K1483+L1483+M1483+N1483+O1483+P1483+IF(Q1483="",0,Q1483*サマリー!$B$9)+IF(R1483="",0,IF(R1483=200,サマリー!$B$10,IF(R1483=100,サマリー!$B$11,0)))+IF(S1483="",0,S1483*サマリー!$B$12)</f>
        <v>0</v>
      </c>
      <c r="D1483" s="27">
        <f>T1483+U1483+V1483+W1483+X1483+IF(Y1483="",0,Y1483*サマリー!$B$9)+IF(Z1483="",0,IF(Z1483=200,サマリー!$B$10,IF(Z1483=100,サマリー!$B$11,0)))+IF(AA1483="",0,AA1483*サマリー!$B$12)</f>
        <v>0</v>
      </c>
      <c r="E1483" s="27">
        <f t="shared" si="46"/>
        <v>0</v>
      </c>
      <c r="I1483" s="30"/>
      <c r="J1483" s="30"/>
      <c r="K1483" s="30"/>
      <c r="L1483" s="30"/>
      <c r="M1483" s="30"/>
      <c r="N1483" s="30"/>
      <c r="O1483" s="30"/>
      <c r="P1483" s="30"/>
      <c r="Q1483" s="31"/>
      <c r="R1483" s="31"/>
      <c r="S1483" s="31"/>
      <c r="T1483" s="32"/>
      <c r="U1483" s="32"/>
      <c r="V1483" s="32"/>
      <c r="W1483" s="32"/>
      <c r="X1483" s="32"/>
      <c r="Y1483" s="33"/>
      <c r="Z1483" s="33"/>
      <c r="AA1483" s="33"/>
    </row>
    <row r="1484" spans="1:27">
      <c r="A1484" s="29"/>
      <c r="B1484" s="19">
        <f t="shared" si="47"/>
        <v>46327</v>
      </c>
      <c r="C1484" s="27">
        <f>I1484+J1484+K1484+L1484+M1484+N1484+O1484+P1484+IF(Q1484="",0,Q1484*サマリー!$B$9)+IF(R1484="",0,IF(R1484=200,サマリー!$B$10,IF(R1484=100,サマリー!$B$11,0)))+IF(S1484="",0,S1484*サマリー!$B$12)</f>
        <v>0</v>
      </c>
      <c r="D1484" s="27">
        <f>T1484+U1484+V1484+W1484+X1484+IF(Y1484="",0,Y1484*サマリー!$B$9)+IF(Z1484="",0,IF(Z1484=200,サマリー!$B$10,IF(Z1484=100,サマリー!$B$11,0)))+IF(AA1484="",0,AA1484*サマリー!$B$12)</f>
        <v>0</v>
      </c>
      <c r="E1484" s="27">
        <f t="shared" si="46"/>
        <v>0</v>
      </c>
      <c r="I1484" s="30"/>
      <c r="J1484" s="30"/>
      <c r="K1484" s="30"/>
      <c r="L1484" s="30"/>
      <c r="M1484" s="30"/>
      <c r="N1484" s="30"/>
      <c r="O1484" s="30"/>
      <c r="P1484" s="30"/>
      <c r="Q1484" s="31"/>
      <c r="R1484" s="31"/>
      <c r="S1484" s="31"/>
      <c r="T1484" s="32"/>
      <c r="U1484" s="32"/>
      <c r="V1484" s="32"/>
      <c r="W1484" s="32"/>
      <c r="X1484" s="32"/>
      <c r="Y1484" s="33"/>
      <c r="Z1484" s="33"/>
      <c r="AA1484" s="33"/>
    </row>
    <row r="1485" spans="1:27">
      <c r="A1485" s="29"/>
      <c r="B1485" s="19">
        <f t="shared" si="47"/>
        <v>46327</v>
      </c>
      <c r="C1485" s="27">
        <f>I1485+J1485+K1485+L1485+M1485+N1485+O1485+P1485+IF(Q1485="",0,Q1485*サマリー!$B$9)+IF(R1485="",0,IF(R1485=200,サマリー!$B$10,IF(R1485=100,サマリー!$B$11,0)))+IF(S1485="",0,S1485*サマリー!$B$12)</f>
        <v>0</v>
      </c>
      <c r="D1485" s="27">
        <f>T1485+U1485+V1485+W1485+X1485+IF(Y1485="",0,Y1485*サマリー!$B$9)+IF(Z1485="",0,IF(Z1485=200,サマリー!$B$10,IF(Z1485=100,サマリー!$B$11,0)))+IF(AA1485="",0,AA1485*サマリー!$B$12)</f>
        <v>0</v>
      </c>
      <c r="E1485" s="27">
        <f t="shared" si="46"/>
        <v>0</v>
      </c>
      <c r="I1485" s="30"/>
      <c r="J1485" s="30"/>
      <c r="K1485" s="30"/>
      <c r="L1485" s="30"/>
      <c r="M1485" s="30"/>
      <c r="N1485" s="30"/>
      <c r="O1485" s="30"/>
      <c r="P1485" s="30"/>
      <c r="Q1485" s="31"/>
      <c r="R1485" s="31"/>
      <c r="S1485" s="31"/>
      <c r="T1485" s="32"/>
      <c r="U1485" s="32"/>
      <c r="V1485" s="32"/>
      <c r="W1485" s="32"/>
      <c r="X1485" s="32"/>
      <c r="Y1485" s="33"/>
      <c r="Z1485" s="33"/>
      <c r="AA1485" s="33"/>
    </row>
    <row r="1486" spans="1:27">
      <c r="A1486" s="29"/>
      <c r="B1486" s="19">
        <f t="shared" si="47"/>
        <v>46327</v>
      </c>
      <c r="C1486" s="27">
        <f>I1486+J1486+K1486+L1486+M1486+N1486+O1486+P1486+IF(Q1486="",0,Q1486*サマリー!$B$9)+IF(R1486="",0,IF(R1486=200,サマリー!$B$10,IF(R1486=100,サマリー!$B$11,0)))+IF(S1486="",0,S1486*サマリー!$B$12)</f>
        <v>0</v>
      </c>
      <c r="D1486" s="27">
        <f>T1486+U1486+V1486+W1486+X1486+IF(Y1486="",0,Y1486*サマリー!$B$9)+IF(Z1486="",0,IF(Z1486=200,サマリー!$B$10,IF(Z1486=100,サマリー!$B$11,0)))+IF(AA1486="",0,AA1486*サマリー!$B$12)</f>
        <v>0</v>
      </c>
      <c r="E1486" s="27">
        <f t="shared" si="46"/>
        <v>0</v>
      </c>
      <c r="I1486" s="30"/>
      <c r="J1486" s="30"/>
      <c r="K1486" s="30"/>
      <c r="L1486" s="30"/>
      <c r="M1486" s="30"/>
      <c r="N1486" s="30"/>
      <c r="O1486" s="30"/>
      <c r="P1486" s="30"/>
      <c r="Q1486" s="31"/>
      <c r="R1486" s="31"/>
      <c r="S1486" s="31"/>
      <c r="T1486" s="32"/>
      <c r="U1486" s="32"/>
      <c r="V1486" s="32"/>
      <c r="W1486" s="32"/>
      <c r="X1486" s="32"/>
      <c r="Y1486" s="33"/>
      <c r="Z1486" s="33"/>
      <c r="AA1486" s="33"/>
    </row>
    <row r="1487" spans="1:27">
      <c r="A1487" s="29"/>
      <c r="B1487" s="19">
        <f t="shared" si="47"/>
        <v>46327</v>
      </c>
      <c r="C1487" s="27">
        <f>I1487+J1487+K1487+L1487+M1487+N1487+O1487+P1487+IF(Q1487="",0,Q1487*サマリー!$B$9)+IF(R1487="",0,IF(R1487=200,サマリー!$B$10,IF(R1487=100,サマリー!$B$11,0)))+IF(S1487="",0,S1487*サマリー!$B$12)</f>
        <v>0</v>
      </c>
      <c r="D1487" s="27">
        <f>T1487+U1487+V1487+W1487+X1487+IF(Y1487="",0,Y1487*サマリー!$B$9)+IF(Z1487="",0,IF(Z1487=200,サマリー!$B$10,IF(Z1487=100,サマリー!$B$11,0)))+IF(AA1487="",0,AA1487*サマリー!$B$12)</f>
        <v>0</v>
      </c>
      <c r="E1487" s="27">
        <f t="shared" si="46"/>
        <v>0</v>
      </c>
      <c r="I1487" s="30"/>
      <c r="J1487" s="30"/>
      <c r="K1487" s="30"/>
      <c r="L1487" s="30"/>
      <c r="M1487" s="30"/>
      <c r="N1487" s="30"/>
      <c r="O1487" s="30"/>
      <c r="P1487" s="30"/>
      <c r="Q1487" s="31"/>
      <c r="R1487" s="31"/>
      <c r="S1487" s="31"/>
      <c r="T1487" s="32"/>
      <c r="U1487" s="32"/>
      <c r="V1487" s="32"/>
      <c r="W1487" s="32"/>
      <c r="X1487" s="32"/>
      <c r="Y1487" s="33"/>
      <c r="Z1487" s="33"/>
      <c r="AA1487" s="33"/>
    </row>
    <row r="1488" spans="1:27">
      <c r="A1488" s="29"/>
      <c r="B1488" s="19">
        <f t="shared" si="47"/>
        <v>46327</v>
      </c>
      <c r="C1488" s="27">
        <f>I1488+J1488+K1488+L1488+M1488+N1488+O1488+P1488+IF(Q1488="",0,Q1488*サマリー!$B$9)+IF(R1488="",0,IF(R1488=200,サマリー!$B$10,IF(R1488=100,サマリー!$B$11,0)))+IF(S1488="",0,S1488*サマリー!$B$12)</f>
        <v>0</v>
      </c>
      <c r="D1488" s="27">
        <f>T1488+U1488+V1488+W1488+X1488+IF(Y1488="",0,Y1488*サマリー!$B$9)+IF(Z1488="",0,IF(Z1488=200,サマリー!$B$10,IF(Z1488=100,サマリー!$B$11,0)))+IF(AA1488="",0,AA1488*サマリー!$B$12)</f>
        <v>0</v>
      </c>
      <c r="E1488" s="27">
        <f t="shared" si="46"/>
        <v>0</v>
      </c>
      <c r="I1488" s="30"/>
      <c r="J1488" s="30"/>
      <c r="K1488" s="30"/>
      <c r="L1488" s="30"/>
      <c r="M1488" s="30"/>
      <c r="N1488" s="30"/>
      <c r="O1488" s="30"/>
      <c r="P1488" s="30"/>
      <c r="Q1488" s="31"/>
      <c r="R1488" s="31"/>
      <c r="S1488" s="31"/>
      <c r="T1488" s="32"/>
      <c r="U1488" s="32"/>
      <c r="V1488" s="32"/>
      <c r="W1488" s="32"/>
      <c r="X1488" s="32"/>
      <c r="Y1488" s="33"/>
      <c r="Z1488" s="33"/>
      <c r="AA1488" s="33"/>
    </row>
    <row r="1489" spans="1:27">
      <c r="A1489" s="29"/>
      <c r="B1489" s="19">
        <f t="shared" si="47"/>
        <v>46327</v>
      </c>
      <c r="C1489" s="27">
        <f>I1489+J1489+K1489+L1489+M1489+N1489+O1489+P1489+IF(Q1489="",0,Q1489*サマリー!$B$9)+IF(R1489="",0,IF(R1489=200,サマリー!$B$10,IF(R1489=100,サマリー!$B$11,0)))+IF(S1489="",0,S1489*サマリー!$B$12)</f>
        <v>0</v>
      </c>
      <c r="D1489" s="27">
        <f>T1489+U1489+V1489+W1489+X1489+IF(Y1489="",0,Y1489*サマリー!$B$9)+IF(Z1489="",0,IF(Z1489=200,サマリー!$B$10,IF(Z1489=100,サマリー!$B$11,0)))+IF(AA1489="",0,AA1489*サマリー!$B$12)</f>
        <v>0</v>
      </c>
      <c r="E1489" s="27">
        <f t="shared" si="46"/>
        <v>0</v>
      </c>
      <c r="I1489" s="30"/>
      <c r="J1489" s="30"/>
      <c r="K1489" s="30"/>
      <c r="L1489" s="30"/>
      <c r="M1489" s="30"/>
      <c r="N1489" s="30"/>
      <c r="O1489" s="30"/>
      <c r="P1489" s="30"/>
      <c r="Q1489" s="31"/>
      <c r="R1489" s="31"/>
      <c r="S1489" s="31"/>
      <c r="T1489" s="32"/>
      <c r="U1489" s="32"/>
      <c r="V1489" s="32"/>
      <c r="W1489" s="32"/>
      <c r="X1489" s="32"/>
      <c r="Y1489" s="33"/>
      <c r="Z1489" s="33"/>
      <c r="AA1489" s="33"/>
    </row>
    <row r="1490" spans="1:27">
      <c r="A1490" s="29"/>
      <c r="B1490" s="19">
        <f t="shared" si="47"/>
        <v>46327</v>
      </c>
      <c r="C1490" s="27">
        <f>I1490+J1490+K1490+L1490+M1490+N1490+O1490+P1490+IF(Q1490="",0,Q1490*サマリー!$B$9)+IF(R1490="",0,IF(R1490=200,サマリー!$B$10,IF(R1490=100,サマリー!$B$11,0)))+IF(S1490="",0,S1490*サマリー!$B$12)</f>
        <v>0</v>
      </c>
      <c r="D1490" s="27">
        <f>T1490+U1490+V1490+W1490+X1490+IF(Y1490="",0,Y1490*サマリー!$B$9)+IF(Z1490="",0,IF(Z1490=200,サマリー!$B$10,IF(Z1490=100,サマリー!$B$11,0)))+IF(AA1490="",0,AA1490*サマリー!$B$12)</f>
        <v>0</v>
      </c>
      <c r="E1490" s="27">
        <f t="shared" si="46"/>
        <v>0</v>
      </c>
      <c r="I1490" s="30"/>
      <c r="J1490" s="30"/>
      <c r="K1490" s="30"/>
      <c r="L1490" s="30"/>
      <c r="M1490" s="30"/>
      <c r="N1490" s="30"/>
      <c r="O1490" s="30"/>
      <c r="P1490" s="30"/>
      <c r="Q1490" s="31"/>
      <c r="R1490" s="31"/>
      <c r="S1490" s="31"/>
      <c r="T1490" s="32"/>
      <c r="U1490" s="32"/>
      <c r="V1490" s="32"/>
      <c r="W1490" s="32"/>
      <c r="X1490" s="32"/>
      <c r="Y1490" s="33"/>
      <c r="Z1490" s="33"/>
      <c r="AA1490" s="33"/>
    </row>
    <row r="1491" spans="1:27">
      <c r="A1491" s="29"/>
      <c r="B1491" s="19">
        <f t="shared" si="47"/>
        <v>46327</v>
      </c>
      <c r="C1491" s="27">
        <f>I1491+J1491+K1491+L1491+M1491+N1491+O1491+P1491+IF(Q1491="",0,Q1491*サマリー!$B$9)+IF(R1491="",0,IF(R1491=200,サマリー!$B$10,IF(R1491=100,サマリー!$B$11,0)))+IF(S1491="",0,S1491*サマリー!$B$12)</f>
        <v>0</v>
      </c>
      <c r="D1491" s="27">
        <f>T1491+U1491+V1491+W1491+X1491+IF(Y1491="",0,Y1491*サマリー!$B$9)+IF(Z1491="",0,IF(Z1491=200,サマリー!$B$10,IF(Z1491=100,サマリー!$B$11,0)))+IF(AA1491="",0,AA1491*サマリー!$B$12)</f>
        <v>0</v>
      </c>
      <c r="E1491" s="27">
        <f t="shared" si="46"/>
        <v>0</v>
      </c>
      <c r="I1491" s="30"/>
      <c r="J1491" s="30"/>
      <c r="K1491" s="30"/>
      <c r="L1491" s="30"/>
      <c r="M1491" s="30"/>
      <c r="N1491" s="30"/>
      <c r="O1491" s="30"/>
      <c r="P1491" s="30"/>
      <c r="Q1491" s="31"/>
      <c r="R1491" s="31"/>
      <c r="S1491" s="31"/>
      <c r="T1491" s="32"/>
      <c r="U1491" s="32"/>
      <c r="V1491" s="32"/>
      <c r="W1491" s="32"/>
      <c r="X1491" s="32"/>
      <c r="Y1491" s="33"/>
      <c r="Z1491" s="33"/>
      <c r="AA1491" s="33"/>
    </row>
    <row r="1492" spans="1:27">
      <c r="A1492" s="29"/>
      <c r="B1492" s="19">
        <f t="shared" si="47"/>
        <v>46327</v>
      </c>
      <c r="C1492" s="27">
        <f>I1492+J1492+K1492+L1492+M1492+N1492+O1492+P1492+IF(Q1492="",0,Q1492*サマリー!$B$9)+IF(R1492="",0,IF(R1492=200,サマリー!$B$10,IF(R1492=100,サマリー!$B$11,0)))+IF(S1492="",0,S1492*サマリー!$B$12)</f>
        <v>0</v>
      </c>
      <c r="D1492" s="27">
        <f>T1492+U1492+V1492+W1492+X1492+IF(Y1492="",0,Y1492*サマリー!$B$9)+IF(Z1492="",0,IF(Z1492=200,サマリー!$B$10,IF(Z1492=100,サマリー!$B$11,0)))+IF(AA1492="",0,AA1492*サマリー!$B$12)</f>
        <v>0</v>
      </c>
      <c r="E1492" s="27">
        <f t="shared" si="46"/>
        <v>0</v>
      </c>
      <c r="I1492" s="30"/>
      <c r="J1492" s="30"/>
      <c r="K1492" s="30"/>
      <c r="L1492" s="30"/>
      <c r="M1492" s="30"/>
      <c r="N1492" s="30"/>
      <c r="O1492" s="30"/>
      <c r="P1492" s="30"/>
      <c r="Q1492" s="31"/>
      <c r="R1492" s="31"/>
      <c r="S1492" s="31"/>
      <c r="T1492" s="32"/>
      <c r="U1492" s="32"/>
      <c r="V1492" s="32"/>
      <c r="W1492" s="32"/>
      <c r="X1492" s="32"/>
      <c r="Y1492" s="33"/>
      <c r="Z1492" s="33"/>
      <c r="AA1492" s="33"/>
    </row>
    <row r="1493" spans="1:27">
      <c r="A1493" s="29"/>
      <c r="B1493" s="19">
        <f t="shared" si="47"/>
        <v>46327</v>
      </c>
      <c r="C1493" s="27">
        <f>I1493+J1493+K1493+L1493+M1493+N1493+O1493+P1493+IF(Q1493="",0,Q1493*サマリー!$B$9)+IF(R1493="",0,IF(R1493=200,サマリー!$B$10,IF(R1493=100,サマリー!$B$11,0)))+IF(S1493="",0,S1493*サマリー!$B$12)</f>
        <v>0</v>
      </c>
      <c r="D1493" s="27">
        <f>T1493+U1493+V1493+W1493+X1493+IF(Y1493="",0,Y1493*サマリー!$B$9)+IF(Z1493="",0,IF(Z1493=200,サマリー!$B$10,IF(Z1493=100,サマリー!$B$11,0)))+IF(AA1493="",0,AA1493*サマリー!$B$12)</f>
        <v>0</v>
      </c>
      <c r="E1493" s="27">
        <f t="shared" si="46"/>
        <v>0</v>
      </c>
      <c r="I1493" s="30"/>
      <c r="J1493" s="30"/>
      <c r="K1493" s="30"/>
      <c r="L1493" s="30"/>
      <c r="M1493" s="30"/>
      <c r="N1493" s="30"/>
      <c r="O1493" s="30"/>
      <c r="P1493" s="30"/>
      <c r="Q1493" s="31"/>
      <c r="R1493" s="31"/>
      <c r="S1493" s="31"/>
      <c r="T1493" s="32"/>
      <c r="U1493" s="32"/>
      <c r="V1493" s="32"/>
      <c r="W1493" s="32"/>
      <c r="X1493" s="32"/>
      <c r="Y1493" s="33"/>
      <c r="Z1493" s="33"/>
      <c r="AA1493" s="33"/>
    </row>
    <row r="1494" spans="1:27">
      <c r="A1494" s="29"/>
      <c r="B1494" s="19">
        <f t="shared" si="47"/>
        <v>46327</v>
      </c>
      <c r="C1494" s="27">
        <f>I1494+J1494+K1494+L1494+M1494+N1494+O1494+P1494+IF(Q1494="",0,Q1494*サマリー!$B$9)+IF(R1494="",0,IF(R1494=200,サマリー!$B$10,IF(R1494=100,サマリー!$B$11,0)))+IF(S1494="",0,S1494*サマリー!$B$12)</f>
        <v>0</v>
      </c>
      <c r="D1494" s="27">
        <f>T1494+U1494+V1494+W1494+X1494+IF(Y1494="",0,Y1494*サマリー!$B$9)+IF(Z1494="",0,IF(Z1494=200,サマリー!$B$10,IF(Z1494=100,サマリー!$B$11,0)))+IF(AA1494="",0,AA1494*サマリー!$B$12)</f>
        <v>0</v>
      </c>
      <c r="E1494" s="27">
        <f t="shared" si="46"/>
        <v>0</v>
      </c>
      <c r="I1494" s="30"/>
      <c r="J1494" s="30"/>
      <c r="K1494" s="30"/>
      <c r="L1494" s="30"/>
      <c r="M1494" s="30"/>
      <c r="N1494" s="30"/>
      <c r="O1494" s="30"/>
      <c r="P1494" s="30"/>
      <c r="Q1494" s="31"/>
      <c r="R1494" s="31"/>
      <c r="S1494" s="31"/>
      <c r="T1494" s="32"/>
      <c r="U1494" s="32"/>
      <c r="V1494" s="32"/>
      <c r="W1494" s="32"/>
      <c r="X1494" s="32"/>
      <c r="Y1494" s="33"/>
      <c r="Z1494" s="33"/>
      <c r="AA1494" s="33"/>
    </row>
    <row r="1495" spans="1:27">
      <c r="A1495" s="29"/>
      <c r="B1495" s="19">
        <f t="shared" si="47"/>
        <v>46327</v>
      </c>
      <c r="C1495" s="27">
        <f>I1495+J1495+K1495+L1495+M1495+N1495+O1495+P1495+IF(Q1495="",0,Q1495*サマリー!$B$9)+IF(R1495="",0,IF(R1495=200,サマリー!$B$10,IF(R1495=100,サマリー!$B$11,0)))+IF(S1495="",0,S1495*サマリー!$B$12)</f>
        <v>0</v>
      </c>
      <c r="D1495" s="27">
        <f>T1495+U1495+V1495+W1495+X1495+IF(Y1495="",0,Y1495*サマリー!$B$9)+IF(Z1495="",0,IF(Z1495=200,サマリー!$B$10,IF(Z1495=100,サマリー!$B$11,0)))+IF(AA1495="",0,AA1495*サマリー!$B$12)</f>
        <v>0</v>
      </c>
      <c r="E1495" s="27">
        <f t="shared" si="46"/>
        <v>0</v>
      </c>
      <c r="I1495" s="30"/>
      <c r="J1495" s="30"/>
      <c r="K1495" s="30"/>
      <c r="L1495" s="30"/>
      <c r="M1495" s="30"/>
      <c r="N1495" s="30"/>
      <c r="O1495" s="30"/>
      <c r="P1495" s="30"/>
      <c r="Q1495" s="31"/>
      <c r="R1495" s="31"/>
      <c r="S1495" s="31"/>
      <c r="T1495" s="32"/>
      <c r="U1495" s="32"/>
      <c r="V1495" s="32"/>
      <c r="W1495" s="32"/>
      <c r="X1495" s="32"/>
      <c r="Y1495" s="33"/>
      <c r="Z1495" s="33"/>
      <c r="AA1495" s="33"/>
    </row>
    <row r="1496" spans="1:27">
      <c r="A1496" s="29"/>
      <c r="B1496" s="19">
        <f t="shared" si="47"/>
        <v>46327</v>
      </c>
      <c r="C1496" s="27">
        <f>I1496+J1496+K1496+L1496+M1496+N1496+O1496+P1496+IF(Q1496="",0,Q1496*サマリー!$B$9)+IF(R1496="",0,IF(R1496=200,サマリー!$B$10,IF(R1496=100,サマリー!$B$11,0)))+IF(S1496="",0,S1496*サマリー!$B$12)</f>
        <v>0</v>
      </c>
      <c r="D1496" s="27">
        <f>T1496+U1496+V1496+W1496+X1496+IF(Y1496="",0,Y1496*サマリー!$B$9)+IF(Z1496="",0,IF(Z1496=200,サマリー!$B$10,IF(Z1496=100,サマリー!$B$11,0)))+IF(AA1496="",0,AA1496*サマリー!$B$12)</f>
        <v>0</v>
      </c>
      <c r="E1496" s="27">
        <f t="shared" si="46"/>
        <v>0</v>
      </c>
      <c r="I1496" s="30"/>
      <c r="J1496" s="30"/>
      <c r="K1496" s="30"/>
      <c r="L1496" s="30"/>
      <c r="M1496" s="30"/>
      <c r="N1496" s="30"/>
      <c r="O1496" s="30"/>
      <c r="P1496" s="30"/>
      <c r="Q1496" s="31"/>
      <c r="R1496" s="31"/>
      <c r="S1496" s="31"/>
      <c r="T1496" s="32"/>
      <c r="U1496" s="32"/>
      <c r="V1496" s="32"/>
      <c r="W1496" s="32"/>
      <c r="X1496" s="32"/>
      <c r="Y1496" s="33"/>
      <c r="Z1496" s="33"/>
      <c r="AA1496" s="33"/>
    </row>
    <row r="1497" spans="1:27">
      <c r="A1497" s="29"/>
      <c r="B1497" s="19">
        <f t="shared" si="47"/>
        <v>46327</v>
      </c>
      <c r="C1497" s="27">
        <f>I1497+J1497+K1497+L1497+M1497+N1497+O1497+P1497+IF(Q1497="",0,Q1497*サマリー!$B$9)+IF(R1497="",0,IF(R1497=200,サマリー!$B$10,IF(R1497=100,サマリー!$B$11,0)))+IF(S1497="",0,S1497*サマリー!$B$12)</f>
        <v>0</v>
      </c>
      <c r="D1497" s="27">
        <f>T1497+U1497+V1497+W1497+X1497+IF(Y1497="",0,Y1497*サマリー!$B$9)+IF(Z1497="",0,IF(Z1497=200,サマリー!$B$10,IF(Z1497=100,サマリー!$B$11,0)))+IF(AA1497="",0,AA1497*サマリー!$B$12)</f>
        <v>0</v>
      </c>
      <c r="E1497" s="27">
        <f t="shared" si="46"/>
        <v>0</v>
      </c>
      <c r="I1497" s="30"/>
      <c r="J1497" s="30"/>
      <c r="K1497" s="30"/>
      <c r="L1497" s="30"/>
      <c r="M1497" s="30"/>
      <c r="N1497" s="30"/>
      <c r="O1497" s="30"/>
      <c r="P1497" s="30"/>
      <c r="Q1497" s="31"/>
      <c r="R1497" s="31"/>
      <c r="S1497" s="31"/>
      <c r="T1497" s="32"/>
      <c r="U1497" s="32"/>
      <c r="V1497" s="32"/>
      <c r="W1497" s="32"/>
      <c r="X1497" s="32"/>
      <c r="Y1497" s="33"/>
      <c r="Z1497" s="33"/>
      <c r="AA1497" s="33"/>
    </row>
    <row r="1498" spans="1:27">
      <c r="A1498" s="29"/>
      <c r="B1498" s="19">
        <f t="shared" si="47"/>
        <v>46327</v>
      </c>
      <c r="C1498" s="27">
        <f>I1498+J1498+K1498+L1498+M1498+N1498+O1498+P1498+IF(Q1498="",0,Q1498*サマリー!$B$9)+IF(R1498="",0,IF(R1498=200,サマリー!$B$10,IF(R1498=100,サマリー!$B$11,0)))+IF(S1498="",0,S1498*サマリー!$B$12)</f>
        <v>0</v>
      </c>
      <c r="D1498" s="27">
        <f>T1498+U1498+V1498+W1498+X1498+IF(Y1498="",0,Y1498*サマリー!$B$9)+IF(Z1498="",0,IF(Z1498=200,サマリー!$B$10,IF(Z1498=100,サマリー!$B$11,0)))+IF(AA1498="",0,AA1498*サマリー!$B$12)</f>
        <v>0</v>
      </c>
      <c r="E1498" s="27">
        <f t="shared" si="46"/>
        <v>0</v>
      </c>
      <c r="I1498" s="30"/>
      <c r="J1498" s="30"/>
      <c r="K1498" s="30"/>
      <c r="L1498" s="30"/>
      <c r="M1498" s="30"/>
      <c r="N1498" s="30"/>
      <c r="O1498" s="30"/>
      <c r="P1498" s="30"/>
      <c r="Q1498" s="31"/>
      <c r="R1498" s="31"/>
      <c r="S1498" s="31"/>
      <c r="T1498" s="32"/>
      <c r="U1498" s="32"/>
      <c r="V1498" s="32"/>
      <c r="W1498" s="32"/>
      <c r="X1498" s="32"/>
      <c r="Y1498" s="33"/>
      <c r="Z1498" s="33"/>
      <c r="AA1498" s="33"/>
    </row>
    <row r="1499" spans="1:27">
      <c r="A1499" s="29"/>
      <c r="B1499" s="19">
        <f t="shared" si="47"/>
        <v>46327</v>
      </c>
      <c r="C1499" s="27">
        <f>I1499+J1499+K1499+L1499+M1499+N1499+O1499+P1499+IF(Q1499="",0,Q1499*サマリー!$B$9)+IF(R1499="",0,IF(R1499=200,サマリー!$B$10,IF(R1499=100,サマリー!$B$11,0)))+IF(S1499="",0,S1499*サマリー!$B$12)</f>
        <v>0</v>
      </c>
      <c r="D1499" s="27">
        <f>T1499+U1499+V1499+W1499+X1499+IF(Y1499="",0,Y1499*サマリー!$B$9)+IF(Z1499="",0,IF(Z1499=200,サマリー!$B$10,IF(Z1499=100,サマリー!$B$11,0)))+IF(AA1499="",0,AA1499*サマリー!$B$12)</f>
        <v>0</v>
      </c>
      <c r="E1499" s="27">
        <f t="shared" si="46"/>
        <v>0</v>
      </c>
      <c r="I1499" s="30"/>
      <c r="J1499" s="30"/>
      <c r="K1499" s="30"/>
      <c r="L1499" s="30"/>
      <c r="M1499" s="30"/>
      <c r="N1499" s="30"/>
      <c r="O1499" s="30"/>
      <c r="P1499" s="30"/>
      <c r="Q1499" s="31"/>
      <c r="R1499" s="31"/>
      <c r="S1499" s="31"/>
      <c r="T1499" s="32"/>
      <c r="U1499" s="32"/>
      <c r="V1499" s="32"/>
      <c r="W1499" s="32"/>
      <c r="X1499" s="32"/>
      <c r="Y1499" s="33"/>
      <c r="Z1499" s="33"/>
      <c r="AA1499" s="33"/>
    </row>
    <row r="1500" spans="1:27">
      <c r="A1500" s="29"/>
      <c r="B1500" s="19">
        <f t="shared" si="47"/>
        <v>46327</v>
      </c>
      <c r="C1500" s="27">
        <f>I1500+J1500+K1500+L1500+M1500+N1500+O1500+P1500+IF(Q1500="",0,Q1500*サマリー!$B$9)+IF(R1500="",0,IF(R1500=200,サマリー!$B$10,IF(R1500=100,サマリー!$B$11,0)))+IF(S1500="",0,S1500*サマリー!$B$12)</f>
        <v>0</v>
      </c>
      <c r="D1500" s="27">
        <f>T1500+U1500+V1500+W1500+X1500+IF(Y1500="",0,Y1500*サマリー!$B$9)+IF(Z1500="",0,IF(Z1500=200,サマリー!$B$10,IF(Z1500=100,サマリー!$B$11,0)))+IF(AA1500="",0,AA1500*サマリー!$B$12)</f>
        <v>0</v>
      </c>
      <c r="E1500" s="27">
        <f t="shared" si="46"/>
        <v>0</v>
      </c>
      <c r="I1500" s="30"/>
      <c r="J1500" s="30"/>
      <c r="K1500" s="30"/>
      <c r="L1500" s="30"/>
      <c r="M1500" s="30"/>
      <c r="N1500" s="30"/>
      <c r="O1500" s="30"/>
      <c r="P1500" s="30"/>
      <c r="Q1500" s="31"/>
      <c r="R1500" s="31"/>
      <c r="S1500" s="31"/>
      <c r="T1500" s="32"/>
      <c r="U1500" s="32"/>
      <c r="V1500" s="32"/>
      <c r="W1500" s="32"/>
      <c r="X1500" s="32"/>
      <c r="Y1500" s="33"/>
      <c r="Z1500" s="33"/>
      <c r="AA1500" s="33"/>
    </row>
    <row r="1501" spans="1:27">
      <c r="A1501" s="29"/>
      <c r="B1501" s="19">
        <f t="shared" si="47"/>
        <v>46327</v>
      </c>
      <c r="C1501" s="27">
        <f>I1501+J1501+K1501+L1501+M1501+N1501+O1501+P1501+IF(Q1501="",0,Q1501*サマリー!$B$9)+IF(R1501="",0,IF(R1501=200,サマリー!$B$10,IF(R1501=100,サマリー!$B$11,0)))+IF(S1501="",0,S1501*サマリー!$B$12)</f>
        <v>0</v>
      </c>
      <c r="D1501" s="27">
        <f>T1501+U1501+V1501+W1501+X1501+IF(Y1501="",0,Y1501*サマリー!$B$9)+IF(Z1501="",0,IF(Z1501=200,サマリー!$B$10,IF(Z1501=100,サマリー!$B$11,0)))+IF(AA1501="",0,AA1501*サマリー!$B$12)</f>
        <v>0</v>
      </c>
      <c r="E1501" s="27">
        <f t="shared" si="46"/>
        <v>0</v>
      </c>
      <c r="I1501" s="30"/>
      <c r="J1501" s="30"/>
      <c r="K1501" s="30"/>
      <c r="L1501" s="30"/>
      <c r="M1501" s="30"/>
      <c r="N1501" s="30"/>
      <c r="O1501" s="30"/>
      <c r="P1501" s="30"/>
      <c r="Q1501" s="31"/>
      <c r="R1501" s="31"/>
      <c r="S1501" s="31"/>
      <c r="T1501" s="32"/>
      <c r="U1501" s="32"/>
      <c r="V1501" s="32"/>
      <c r="W1501" s="32"/>
      <c r="X1501" s="32"/>
      <c r="Y1501" s="33"/>
      <c r="Z1501" s="33"/>
      <c r="AA1501" s="33"/>
    </row>
    <row r="1502" spans="1:27">
      <c r="A1502" s="29"/>
      <c r="B1502" s="19">
        <f t="shared" si="47"/>
        <v>46327</v>
      </c>
      <c r="C1502" s="27">
        <f>I1502+J1502+K1502+L1502+M1502+N1502+O1502+P1502+IF(Q1502="",0,Q1502*サマリー!$B$9)+IF(R1502="",0,IF(R1502=200,サマリー!$B$10,IF(R1502=100,サマリー!$B$11,0)))+IF(S1502="",0,S1502*サマリー!$B$12)</f>
        <v>0</v>
      </c>
      <c r="D1502" s="27">
        <f>T1502+U1502+V1502+W1502+X1502+IF(Y1502="",0,Y1502*サマリー!$B$9)+IF(Z1502="",0,IF(Z1502=200,サマリー!$B$10,IF(Z1502=100,サマリー!$B$11,0)))+IF(AA1502="",0,AA1502*サマリー!$B$12)</f>
        <v>0</v>
      </c>
      <c r="E1502" s="27">
        <f t="shared" si="46"/>
        <v>0</v>
      </c>
      <c r="I1502" s="30"/>
      <c r="J1502" s="30"/>
      <c r="K1502" s="30"/>
      <c r="L1502" s="30"/>
      <c r="M1502" s="30"/>
      <c r="N1502" s="30"/>
      <c r="O1502" s="30"/>
      <c r="P1502" s="30"/>
      <c r="Q1502" s="31"/>
      <c r="R1502" s="31"/>
      <c r="S1502" s="31"/>
      <c r="T1502" s="32"/>
      <c r="U1502" s="32"/>
      <c r="V1502" s="32"/>
      <c r="W1502" s="32"/>
      <c r="X1502" s="32"/>
      <c r="Y1502" s="33"/>
      <c r="Z1502" s="33"/>
      <c r="AA1502" s="33"/>
    </row>
    <row r="1503" spans="1:27">
      <c r="A1503" s="29"/>
      <c r="B1503" s="19">
        <f t="shared" si="47"/>
        <v>46327</v>
      </c>
      <c r="C1503" s="27">
        <f>I1503+J1503+K1503+L1503+M1503+N1503+O1503+P1503+IF(Q1503="",0,Q1503*サマリー!$B$9)+IF(R1503="",0,IF(R1503=200,サマリー!$B$10,IF(R1503=100,サマリー!$B$11,0)))+IF(S1503="",0,S1503*サマリー!$B$12)</f>
        <v>0</v>
      </c>
      <c r="D1503" s="27">
        <f>T1503+U1503+V1503+W1503+X1503+IF(Y1503="",0,Y1503*サマリー!$B$9)+IF(Z1503="",0,IF(Z1503=200,サマリー!$B$10,IF(Z1503=100,サマリー!$B$11,0)))+IF(AA1503="",0,AA1503*サマリー!$B$12)</f>
        <v>0</v>
      </c>
      <c r="E1503" s="27">
        <f t="shared" si="46"/>
        <v>0</v>
      </c>
      <c r="I1503" s="30"/>
      <c r="J1503" s="30"/>
      <c r="K1503" s="30"/>
      <c r="L1503" s="30"/>
      <c r="M1503" s="30"/>
      <c r="N1503" s="30"/>
      <c r="O1503" s="30"/>
      <c r="P1503" s="30"/>
      <c r="Q1503" s="31"/>
      <c r="R1503" s="31"/>
      <c r="S1503" s="31"/>
      <c r="T1503" s="32"/>
      <c r="U1503" s="32"/>
      <c r="V1503" s="32"/>
      <c r="W1503" s="32"/>
      <c r="X1503" s="32"/>
      <c r="Y1503" s="33"/>
      <c r="Z1503" s="33"/>
      <c r="AA1503" s="33"/>
    </row>
    <row r="1504" spans="1:27">
      <c r="A1504" s="29"/>
      <c r="B1504" s="19">
        <f t="shared" si="47"/>
        <v>46327</v>
      </c>
      <c r="C1504" s="27">
        <f>I1504+J1504+K1504+L1504+M1504+N1504+O1504+P1504+IF(Q1504="",0,Q1504*サマリー!$B$9)+IF(R1504="",0,IF(R1504=200,サマリー!$B$10,IF(R1504=100,サマリー!$B$11,0)))+IF(S1504="",0,S1504*サマリー!$B$12)</f>
        <v>0</v>
      </c>
      <c r="D1504" s="27">
        <f>T1504+U1504+V1504+W1504+X1504+IF(Y1504="",0,Y1504*サマリー!$B$9)+IF(Z1504="",0,IF(Z1504=200,サマリー!$B$10,IF(Z1504=100,サマリー!$B$11,0)))+IF(AA1504="",0,AA1504*サマリー!$B$12)</f>
        <v>0</v>
      </c>
      <c r="E1504" s="27">
        <f t="shared" si="46"/>
        <v>0</v>
      </c>
      <c r="I1504" s="30"/>
      <c r="J1504" s="30"/>
      <c r="K1504" s="30"/>
      <c r="L1504" s="30"/>
      <c r="M1504" s="30"/>
      <c r="N1504" s="30"/>
      <c r="O1504" s="30"/>
      <c r="P1504" s="30"/>
      <c r="Q1504" s="31"/>
      <c r="R1504" s="31"/>
      <c r="S1504" s="31"/>
      <c r="T1504" s="32"/>
      <c r="U1504" s="32"/>
      <c r="V1504" s="32"/>
      <c r="W1504" s="32"/>
      <c r="X1504" s="32"/>
      <c r="Y1504" s="33"/>
      <c r="Z1504" s="33"/>
      <c r="AA1504" s="33"/>
    </row>
    <row r="1505" spans="1:27">
      <c r="A1505" s="29"/>
      <c r="B1505" s="19">
        <f t="shared" si="47"/>
        <v>46327</v>
      </c>
      <c r="C1505" s="27">
        <f>I1505+J1505+K1505+L1505+M1505+N1505+O1505+P1505+IF(Q1505="",0,Q1505*サマリー!$B$9)+IF(R1505="",0,IF(R1505=200,サマリー!$B$10,IF(R1505=100,サマリー!$B$11,0)))+IF(S1505="",0,S1505*サマリー!$B$12)</f>
        <v>0</v>
      </c>
      <c r="D1505" s="27">
        <f>T1505+U1505+V1505+W1505+X1505+IF(Y1505="",0,Y1505*サマリー!$B$9)+IF(Z1505="",0,IF(Z1505=200,サマリー!$B$10,IF(Z1505=100,サマリー!$B$11,0)))+IF(AA1505="",0,AA1505*サマリー!$B$12)</f>
        <v>0</v>
      </c>
      <c r="E1505" s="27">
        <f t="shared" si="46"/>
        <v>0</v>
      </c>
      <c r="I1505" s="30"/>
      <c r="J1505" s="30"/>
      <c r="K1505" s="30"/>
      <c r="L1505" s="30"/>
      <c r="M1505" s="30"/>
      <c r="N1505" s="30"/>
      <c r="O1505" s="30"/>
      <c r="P1505" s="30"/>
      <c r="Q1505" s="31"/>
      <c r="R1505" s="31"/>
      <c r="S1505" s="31"/>
      <c r="T1505" s="32"/>
      <c r="U1505" s="32"/>
      <c r="V1505" s="32"/>
      <c r="W1505" s="32"/>
      <c r="X1505" s="32"/>
      <c r="Y1505" s="33"/>
      <c r="Z1505" s="33"/>
      <c r="AA1505" s="33"/>
    </row>
    <row r="1507" spans="1:27">
      <c r="A1507" s="38" t="s">
        <v>77</v>
      </c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  <c r="M1507" s="38"/>
      <c r="N1507" s="38"/>
      <c r="O1507" s="38"/>
      <c r="P1507" s="38"/>
      <c r="Q1507" s="38"/>
      <c r="R1507" s="38"/>
      <c r="S1507" s="38"/>
      <c r="T1507" s="38"/>
      <c r="U1507" s="38"/>
      <c r="V1507" s="38"/>
      <c r="W1507" s="38"/>
      <c r="X1507" s="38"/>
      <c r="Y1507" s="38"/>
      <c r="Z1507" s="38"/>
      <c r="AA1507" s="38"/>
    </row>
    <row r="1508" spans="1:27">
      <c r="A1508" s="40" t="s">
        <v>78</v>
      </c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</row>
    <row r="1509" spans="1:27">
      <c r="A1509" s="40" t="s">
        <v>79</v>
      </c>
      <c r="B1509" s="40"/>
      <c r="C1509" s="40"/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</row>
    <row r="1510" spans="1:27">
      <c r="A1510" s="40" t="s">
        <v>80</v>
      </c>
      <c r="B1510" s="40"/>
      <c r="C1510" s="40"/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  <c r="AA1510" s="40"/>
    </row>
    <row r="1511" spans="1:27">
      <c r="A1511" s="38" t="s">
        <v>81</v>
      </c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  <c r="M1511" s="38"/>
      <c r="N1511" s="38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</row>
    <row r="1512" spans="1:27">
      <c r="A1512" s="40" t="s">
        <v>82</v>
      </c>
      <c r="B1512" s="40"/>
      <c r="C1512" s="40"/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  <c r="AA1512" s="40"/>
    </row>
  </sheetData>
  <mergeCells count="9">
    <mergeCell ref="A1509:AA1509"/>
    <mergeCell ref="A1510:AA1510"/>
    <mergeCell ref="A1511:AA1511"/>
    <mergeCell ref="A1512:AA1512"/>
    <mergeCell ref="A1:AA1"/>
    <mergeCell ref="I4:S4"/>
    <mergeCell ref="T4:AA4"/>
    <mergeCell ref="A1507:AA1507"/>
    <mergeCell ref="A1508:AA1508"/>
  </mergeCells>
  <phoneticPr fontId="20"/>
  <conditionalFormatting sqref="A6:AA1505">
    <cfRule type="expression" dxfId="6" priority="7">
      <formula>AND(COUNTA($I6:$AA6)=0,COUNTA($I5:$AA5)&gt;0)</formula>
    </cfRule>
  </conditionalFormatting>
  <conditionalFormatting sqref="B6:B1505">
    <cfRule type="expression" dxfId="5" priority="8">
      <formula>NOT(_xludf.isformula(B6))</formula>
    </cfRule>
  </conditionalFormatting>
  <conditionalFormatting sqref="B3:C3">
    <cfRule type="cellIs" dxfId="4" priority="2" operator="equal">
      <formula>0</formula>
    </cfRule>
    <cfRule type="cellIs" dxfId="3" priority="3" operator="greaterThan">
      <formula>0</formula>
    </cfRule>
  </conditionalFormatting>
  <conditionalFormatting sqref="E3">
    <cfRule type="cellIs" dxfId="2" priority="4" operator="equal">
      <formula>0</formula>
    </cfRule>
    <cfRule type="cellIs" dxfId="1" priority="5" operator="greaterThan">
      <formula>0</formula>
    </cfRule>
  </conditionalFormatting>
  <conditionalFormatting sqref="I6:AA1505">
    <cfRule type="expression" dxfId="0" priority="6">
      <formula>NOT(ISBLANK(I6))</formula>
    </cfRule>
  </conditionalFormatting>
  <dataValidations count="5">
    <dataValidation type="whole" allowBlank="1" sqref="A6:A1505" xr:uid="{00000000-0002-0000-0100-000000000000}">
      <formula1>1</formula1>
      <formula2>31</formula2>
    </dataValidation>
    <dataValidation type="list" allowBlank="1" sqref="Q6:Q1505 Y6:Y1505" xr:uid="{00000000-0002-0000-0100-000001000000}">
      <formula1>"1,2,3,4"</formula1>
      <formula2>0</formula2>
    </dataValidation>
    <dataValidation type="list" allowBlank="1" sqref="R6:R1505 Z6:Z1505" xr:uid="{00000000-0002-0000-0100-000002000000}">
      <formula1>"100,200"</formula1>
      <formula2>0</formula2>
    </dataValidation>
    <dataValidation type="decimal" operator="greaterThanOrEqual" allowBlank="1" sqref="I6:P1505 T6:X1505" xr:uid="{00000000-0002-0000-0100-000003000000}">
      <formula1>0</formula1>
      <formula2>0</formula2>
    </dataValidation>
    <dataValidation type="whole" operator="greaterThanOrEqual" allowBlank="1" sqref="S6:S1505 AA6:AA1505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showGridLines="0" zoomScaleNormal="100" workbookViewId="0">
      <pane ySplit="2" topLeftCell="A3" activePane="bottomLeft" state="frozen"/>
      <selection pane="bottomLeft" sqref="A1:K1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9" t="s">
        <v>83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0" customHeight="1">
      <c r="A2" s="14" t="s">
        <v>84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90</v>
      </c>
      <c r="H2" s="14" t="s">
        <v>91</v>
      </c>
      <c r="I2" s="14" t="s">
        <v>24</v>
      </c>
      <c r="J2" s="14" t="s">
        <v>92</v>
      </c>
      <c r="K2" s="14" t="s">
        <v>93</v>
      </c>
    </row>
    <row r="3" spans="1:11">
      <c r="A3" s="15">
        <v>1</v>
      </c>
      <c r="B3" s="19">
        <f>サマリー!$B$14-WEEKDAY(サマリー!$B$14,2)+1+(1-1)*7</f>
        <v>46321</v>
      </c>
      <c r="C3" s="19">
        <f t="shared" ref="C3:C34" si="0">B3+6</f>
        <v>46327</v>
      </c>
      <c r="D3" s="16">
        <f>SUMIFS(受注ログ!$C$6:$C$100000,受注ログ!$B$6:$B$100000,"&gt;="&amp;B3,受注ログ!$B$6:$B$100000,"&lt;="&amp;C3)</f>
        <v>0</v>
      </c>
      <c r="E3" s="16">
        <f>SUMIFS(受注ログ!$D$6:$D$100000,受注ログ!$B$6:$B$100000,"&gt;="&amp;B3,受注ログ!$B$6:$B$100000,"&lt;="&amp;C3)</f>
        <v>0</v>
      </c>
      <c r="F3" s="16">
        <f t="shared" ref="F3:F34" si="1">D3+E3</f>
        <v>0</v>
      </c>
      <c r="G3" s="16">
        <f>サマリー!$B$15</f>
        <v>500000</v>
      </c>
      <c r="H3" s="34">
        <f t="shared" ref="H3:H34" si="2">F3-G3</f>
        <v>-500000</v>
      </c>
      <c r="I3" s="17">
        <f t="shared" ref="I3:I34" si="3">IFERROR(F3/G3,0)</f>
        <v>0</v>
      </c>
      <c r="J3" s="17">
        <f>IFERROR(D3/サマリー!$B$7,0)</f>
        <v>0</v>
      </c>
      <c r="K3" s="17">
        <f>IFERROR(E3/サマリー!$B$7,0)</f>
        <v>0</v>
      </c>
    </row>
    <row r="4" spans="1:11">
      <c r="A4" s="15">
        <v>2</v>
      </c>
      <c r="B4" s="19">
        <f>サマリー!$B$14-WEEKDAY(サマリー!$B$14,2)+1+(2-1)*7</f>
        <v>46328</v>
      </c>
      <c r="C4" s="19">
        <f t="shared" si="0"/>
        <v>46334</v>
      </c>
      <c r="D4" s="16">
        <f>SUMIFS(受注ログ!$C$6:$C$100000,受注ログ!$B$6:$B$100000,"&gt;="&amp;B4,受注ログ!$B$6:$B$100000,"&lt;="&amp;C4)</f>
        <v>0</v>
      </c>
      <c r="E4" s="16">
        <f>SUMIFS(受注ログ!$D$6:$D$100000,受注ログ!$B$6:$B$100000,"&gt;="&amp;B4,受注ログ!$B$6:$B$100000,"&lt;="&amp;C4)</f>
        <v>0</v>
      </c>
      <c r="F4" s="16">
        <f t="shared" si="1"/>
        <v>0</v>
      </c>
      <c r="G4" s="16">
        <f>サマリー!$B$15</f>
        <v>500000</v>
      </c>
      <c r="H4" s="34">
        <f t="shared" si="2"/>
        <v>-500000</v>
      </c>
      <c r="I4" s="17">
        <f t="shared" si="3"/>
        <v>0</v>
      </c>
      <c r="J4" s="17">
        <f>IFERROR(D4/サマリー!$B$7,0)</f>
        <v>0</v>
      </c>
      <c r="K4" s="17">
        <f>IFERROR(E4/サマリー!$B$7,0)</f>
        <v>0</v>
      </c>
    </row>
    <row r="5" spans="1:11">
      <c r="A5" s="15">
        <v>3</v>
      </c>
      <c r="B5" s="19">
        <f>サマリー!$B$14-WEEKDAY(サマリー!$B$14,2)+1+(3-1)*7</f>
        <v>46335</v>
      </c>
      <c r="C5" s="19">
        <f t="shared" si="0"/>
        <v>46341</v>
      </c>
      <c r="D5" s="16">
        <f>SUMIFS(受注ログ!$C$6:$C$100000,受注ログ!$B$6:$B$100000,"&gt;="&amp;B5,受注ログ!$B$6:$B$100000,"&lt;="&amp;C5)</f>
        <v>0</v>
      </c>
      <c r="E5" s="16">
        <f>SUMIFS(受注ログ!$D$6:$D$100000,受注ログ!$B$6:$B$100000,"&gt;="&amp;B5,受注ログ!$B$6:$B$100000,"&lt;="&amp;C5)</f>
        <v>0</v>
      </c>
      <c r="F5" s="16">
        <f t="shared" si="1"/>
        <v>0</v>
      </c>
      <c r="G5" s="16">
        <f>サマリー!$B$15</f>
        <v>500000</v>
      </c>
      <c r="H5" s="34">
        <f t="shared" si="2"/>
        <v>-500000</v>
      </c>
      <c r="I5" s="17">
        <f t="shared" si="3"/>
        <v>0</v>
      </c>
      <c r="J5" s="17">
        <f>IFERROR(D5/サマリー!$B$7,0)</f>
        <v>0</v>
      </c>
      <c r="K5" s="17">
        <f>IFERROR(E5/サマリー!$B$7,0)</f>
        <v>0</v>
      </c>
    </row>
    <row r="6" spans="1:11">
      <c r="A6" s="15">
        <v>4</v>
      </c>
      <c r="B6" s="19">
        <f>サマリー!$B$14-WEEKDAY(サマリー!$B$14,2)+1+(4-1)*7</f>
        <v>46342</v>
      </c>
      <c r="C6" s="19">
        <f t="shared" si="0"/>
        <v>46348</v>
      </c>
      <c r="D6" s="16">
        <f>SUMIFS(受注ログ!$C$6:$C$100000,受注ログ!$B$6:$B$100000,"&gt;="&amp;B6,受注ログ!$B$6:$B$100000,"&lt;="&amp;C6)</f>
        <v>0</v>
      </c>
      <c r="E6" s="16">
        <f>SUMIFS(受注ログ!$D$6:$D$100000,受注ログ!$B$6:$B$100000,"&gt;="&amp;B6,受注ログ!$B$6:$B$100000,"&lt;="&amp;C6)</f>
        <v>0</v>
      </c>
      <c r="F6" s="16">
        <f t="shared" si="1"/>
        <v>0</v>
      </c>
      <c r="G6" s="16">
        <f>サマリー!$B$15</f>
        <v>500000</v>
      </c>
      <c r="H6" s="34">
        <f t="shared" si="2"/>
        <v>-500000</v>
      </c>
      <c r="I6" s="17">
        <f t="shared" si="3"/>
        <v>0</v>
      </c>
      <c r="J6" s="17">
        <f>IFERROR(D6/サマリー!$B$7,0)</f>
        <v>0</v>
      </c>
      <c r="K6" s="17">
        <f>IFERROR(E6/サマリー!$B$7,0)</f>
        <v>0</v>
      </c>
    </row>
    <row r="7" spans="1:11">
      <c r="A7" s="15">
        <v>5</v>
      </c>
      <c r="B7" s="19">
        <f>サマリー!$B$14-WEEKDAY(サマリー!$B$14,2)+1+(5-1)*7</f>
        <v>46349</v>
      </c>
      <c r="C7" s="19">
        <f t="shared" si="0"/>
        <v>46355</v>
      </c>
      <c r="D7" s="16">
        <f>SUMIFS(受注ログ!$C$6:$C$100000,受注ログ!$B$6:$B$100000,"&gt;="&amp;B7,受注ログ!$B$6:$B$100000,"&lt;="&amp;C7)</f>
        <v>0</v>
      </c>
      <c r="E7" s="16">
        <f>SUMIFS(受注ログ!$D$6:$D$100000,受注ログ!$B$6:$B$100000,"&gt;="&amp;B7,受注ログ!$B$6:$B$100000,"&lt;="&amp;C7)</f>
        <v>0</v>
      </c>
      <c r="F7" s="16">
        <f t="shared" si="1"/>
        <v>0</v>
      </c>
      <c r="G7" s="16">
        <f>サマリー!$B$15</f>
        <v>500000</v>
      </c>
      <c r="H7" s="34">
        <f t="shared" si="2"/>
        <v>-500000</v>
      </c>
      <c r="I7" s="17">
        <f t="shared" si="3"/>
        <v>0</v>
      </c>
      <c r="J7" s="17">
        <f>IFERROR(D7/サマリー!$B$7,0)</f>
        <v>0</v>
      </c>
      <c r="K7" s="17">
        <f>IFERROR(E7/サマリー!$B$7,0)</f>
        <v>0</v>
      </c>
    </row>
    <row r="8" spans="1:11">
      <c r="A8" s="15">
        <v>6</v>
      </c>
      <c r="B8" s="19">
        <f>サマリー!$B$14-WEEKDAY(サマリー!$B$14,2)+1+(6-1)*7</f>
        <v>46356</v>
      </c>
      <c r="C8" s="19">
        <f t="shared" si="0"/>
        <v>46362</v>
      </c>
      <c r="D8" s="16">
        <f>SUMIFS(受注ログ!$C$6:$C$100000,受注ログ!$B$6:$B$100000,"&gt;="&amp;B8,受注ログ!$B$6:$B$100000,"&lt;="&amp;C8)</f>
        <v>0</v>
      </c>
      <c r="E8" s="16">
        <f>SUMIFS(受注ログ!$D$6:$D$100000,受注ログ!$B$6:$B$100000,"&gt;="&amp;B8,受注ログ!$B$6:$B$100000,"&lt;="&amp;C8)</f>
        <v>0</v>
      </c>
      <c r="F8" s="16">
        <f t="shared" si="1"/>
        <v>0</v>
      </c>
      <c r="G8" s="16">
        <f>サマリー!$B$15</f>
        <v>500000</v>
      </c>
      <c r="H8" s="34">
        <f t="shared" si="2"/>
        <v>-500000</v>
      </c>
      <c r="I8" s="17">
        <f t="shared" si="3"/>
        <v>0</v>
      </c>
      <c r="J8" s="17">
        <f>IFERROR(D8/サマリー!$B$7,0)</f>
        <v>0</v>
      </c>
      <c r="K8" s="17">
        <f>IFERROR(E8/サマリー!$B$7,0)</f>
        <v>0</v>
      </c>
    </row>
    <row r="9" spans="1:11">
      <c r="A9" s="15">
        <v>7</v>
      </c>
      <c r="B9" s="19">
        <f>サマリー!$B$14-WEEKDAY(サマリー!$B$14,2)+1+(7-1)*7</f>
        <v>46363</v>
      </c>
      <c r="C9" s="19">
        <f t="shared" si="0"/>
        <v>46369</v>
      </c>
      <c r="D9" s="16">
        <f>SUMIFS(受注ログ!$C$6:$C$100000,受注ログ!$B$6:$B$100000,"&gt;="&amp;B9,受注ログ!$B$6:$B$100000,"&lt;="&amp;C9)</f>
        <v>0</v>
      </c>
      <c r="E9" s="16">
        <f>SUMIFS(受注ログ!$D$6:$D$100000,受注ログ!$B$6:$B$100000,"&gt;="&amp;B9,受注ログ!$B$6:$B$100000,"&lt;="&amp;C9)</f>
        <v>0</v>
      </c>
      <c r="F9" s="16">
        <f t="shared" si="1"/>
        <v>0</v>
      </c>
      <c r="G9" s="16">
        <f>サマリー!$B$15</f>
        <v>500000</v>
      </c>
      <c r="H9" s="34">
        <f t="shared" si="2"/>
        <v>-500000</v>
      </c>
      <c r="I9" s="17">
        <f t="shared" si="3"/>
        <v>0</v>
      </c>
      <c r="J9" s="17">
        <f>IFERROR(D9/サマリー!$B$7,0)</f>
        <v>0</v>
      </c>
      <c r="K9" s="17">
        <f>IFERROR(E9/サマリー!$B$7,0)</f>
        <v>0</v>
      </c>
    </row>
    <row r="10" spans="1:11">
      <c r="A10" s="15">
        <v>8</v>
      </c>
      <c r="B10" s="19">
        <f>サマリー!$B$14-WEEKDAY(サマリー!$B$14,2)+1+(8-1)*7</f>
        <v>46370</v>
      </c>
      <c r="C10" s="19">
        <f t="shared" si="0"/>
        <v>46376</v>
      </c>
      <c r="D10" s="16">
        <f>SUMIFS(受注ログ!$C$6:$C$100000,受注ログ!$B$6:$B$100000,"&gt;="&amp;B10,受注ログ!$B$6:$B$100000,"&lt;="&amp;C10)</f>
        <v>0</v>
      </c>
      <c r="E10" s="16">
        <f>SUMIFS(受注ログ!$D$6:$D$100000,受注ログ!$B$6:$B$100000,"&gt;="&amp;B10,受注ログ!$B$6:$B$100000,"&lt;="&amp;C10)</f>
        <v>0</v>
      </c>
      <c r="F10" s="16">
        <f t="shared" si="1"/>
        <v>0</v>
      </c>
      <c r="G10" s="16">
        <f>サマリー!$B$15</f>
        <v>500000</v>
      </c>
      <c r="H10" s="34">
        <f t="shared" si="2"/>
        <v>-500000</v>
      </c>
      <c r="I10" s="17">
        <f t="shared" si="3"/>
        <v>0</v>
      </c>
      <c r="J10" s="17">
        <f>IFERROR(D10/サマリー!$B$7,0)</f>
        <v>0</v>
      </c>
      <c r="K10" s="17">
        <f>IFERROR(E10/サマリー!$B$7,0)</f>
        <v>0</v>
      </c>
    </row>
    <row r="11" spans="1:11">
      <c r="A11" s="15">
        <v>9</v>
      </c>
      <c r="B11" s="19">
        <f>サマリー!$B$14-WEEKDAY(サマリー!$B$14,2)+1+(9-1)*7</f>
        <v>46377</v>
      </c>
      <c r="C11" s="19">
        <f t="shared" si="0"/>
        <v>46383</v>
      </c>
      <c r="D11" s="16">
        <f>SUMIFS(受注ログ!$C$6:$C$100000,受注ログ!$B$6:$B$100000,"&gt;="&amp;B11,受注ログ!$B$6:$B$100000,"&lt;="&amp;C11)</f>
        <v>0</v>
      </c>
      <c r="E11" s="16">
        <f>SUMIFS(受注ログ!$D$6:$D$100000,受注ログ!$B$6:$B$100000,"&gt;="&amp;B11,受注ログ!$B$6:$B$100000,"&lt;="&amp;C11)</f>
        <v>0</v>
      </c>
      <c r="F11" s="16">
        <f t="shared" si="1"/>
        <v>0</v>
      </c>
      <c r="G11" s="16">
        <f>サマリー!$B$15</f>
        <v>500000</v>
      </c>
      <c r="H11" s="34">
        <f t="shared" si="2"/>
        <v>-500000</v>
      </c>
      <c r="I11" s="17">
        <f t="shared" si="3"/>
        <v>0</v>
      </c>
      <c r="J11" s="17">
        <f>IFERROR(D11/サマリー!$B$7,0)</f>
        <v>0</v>
      </c>
      <c r="K11" s="17">
        <f>IFERROR(E11/サマリー!$B$7,0)</f>
        <v>0</v>
      </c>
    </row>
    <row r="12" spans="1:11">
      <c r="A12" s="15">
        <v>10</v>
      </c>
      <c r="B12" s="19">
        <f>サマリー!$B$14-WEEKDAY(サマリー!$B$14,2)+1+(10-1)*7</f>
        <v>46384</v>
      </c>
      <c r="C12" s="19">
        <f t="shared" si="0"/>
        <v>46390</v>
      </c>
      <c r="D12" s="16">
        <f>SUMIFS(受注ログ!$C$6:$C$100000,受注ログ!$B$6:$B$100000,"&gt;="&amp;B12,受注ログ!$B$6:$B$100000,"&lt;="&amp;C12)</f>
        <v>0</v>
      </c>
      <c r="E12" s="16">
        <f>SUMIFS(受注ログ!$D$6:$D$100000,受注ログ!$B$6:$B$100000,"&gt;="&amp;B12,受注ログ!$B$6:$B$100000,"&lt;="&amp;C12)</f>
        <v>0</v>
      </c>
      <c r="F12" s="16">
        <f t="shared" si="1"/>
        <v>0</v>
      </c>
      <c r="G12" s="16">
        <f>サマリー!$B$15</f>
        <v>500000</v>
      </c>
      <c r="H12" s="34">
        <f t="shared" si="2"/>
        <v>-500000</v>
      </c>
      <c r="I12" s="17">
        <f t="shared" si="3"/>
        <v>0</v>
      </c>
      <c r="J12" s="17">
        <f>IFERROR(D12/サマリー!$B$7,0)</f>
        <v>0</v>
      </c>
      <c r="K12" s="17">
        <f>IFERROR(E12/サマリー!$B$7,0)</f>
        <v>0</v>
      </c>
    </row>
    <row r="13" spans="1:11">
      <c r="A13" s="15">
        <v>11</v>
      </c>
      <c r="B13" s="19">
        <f>サマリー!$B$14-WEEKDAY(サマリー!$B$14,2)+1+(11-1)*7</f>
        <v>46391</v>
      </c>
      <c r="C13" s="19">
        <f t="shared" si="0"/>
        <v>46397</v>
      </c>
      <c r="D13" s="16">
        <f>SUMIFS(受注ログ!$C$6:$C$100000,受注ログ!$B$6:$B$100000,"&gt;="&amp;B13,受注ログ!$B$6:$B$100000,"&lt;="&amp;C13)</f>
        <v>0</v>
      </c>
      <c r="E13" s="16">
        <f>SUMIFS(受注ログ!$D$6:$D$100000,受注ログ!$B$6:$B$100000,"&gt;="&amp;B13,受注ログ!$B$6:$B$100000,"&lt;="&amp;C13)</f>
        <v>0</v>
      </c>
      <c r="F13" s="16">
        <f t="shared" si="1"/>
        <v>0</v>
      </c>
      <c r="G13" s="16">
        <f>サマリー!$B$15</f>
        <v>500000</v>
      </c>
      <c r="H13" s="34">
        <f t="shared" si="2"/>
        <v>-500000</v>
      </c>
      <c r="I13" s="17">
        <f t="shared" si="3"/>
        <v>0</v>
      </c>
      <c r="J13" s="17">
        <f>IFERROR(D13/サマリー!$B$7,0)</f>
        <v>0</v>
      </c>
      <c r="K13" s="17">
        <f>IFERROR(E13/サマリー!$B$7,0)</f>
        <v>0</v>
      </c>
    </row>
    <row r="14" spans="1:11">
      <c r="A14" s="15">
        <v>12</v>
      </c>
      <c r="B14" s="19">
        <f>サマリー!$B$14-WEEKDAY(サマリー!$B$14,2)+1+(12-1)*7</f>
        <v>46398</v>
      </c>
      <c r="C14" s="19">
        <f t="shared" si="0"/>
        <v>46404</v>
      </c>
      <c r="D14" s="16">
        <f>SUMIFS(受注ログ!$C$6:$C$100000,受注ログ!$B$6:$B$100000,"&gt;="&amp;B14,受注ログ!$B$6:$B$100000,"&lt;="&amp;C14)</f>
        <v>0</v>
      </c>
      <c r="E14" s="16">
        <f>SUMIFS(受注ログ!$D$6:$D$100000,受注ログ!$B$6:$B$100000,"&gt;="&amp;B14,受注ログ!$B$6:$B$100000,"&lt;="&amp;C14)</f>
        <v>0</v>
      </c>
      <c r="F14" s="16">
        <f t="shared" si="1"/>
        <v>0</v>
      </c>
      <c r="G14" s="16">
        <f>サマリー!$B$15</f>
        <v>500000</v>
      </c>
      <c r="H14" s="34">
        <f t="shared" si="2"/>
        <v>-500000</v>
      </c>
      <c r="I14" s="17">
        <f t="shared" si="3"/>
        <v>0</v>
      </c>
      <c r="J14" s="17">
        <f>IFERROR(D14/サマリー!$B$7,0)</f>
        <v>0</v>
      </c>
      <c r="K14" s="17">
        <f>IFERROR(E14/サマリー!$B$7,0)</f>
        <v>0</v>
      </c>
    </row>
    <row r="15" spans="1:11">
      <c r="A15" s="15">
        <v>13</v>
      </c>
      <c r="B15" s="19">
        <f>サマリー!$B$14-WEEKDAY(サマリー!$B$14,2)+1+(13-1)*7</f>
        <v>46405</v>
      </c>
      <c r="C15" s="19">
        <f t="shared" si="0"/>
        <v>46411</v>
      </c>
      <c r="D15" s="16">
        <f>SUMIFS(受注ログ!$C$6:$C$100000,受注ログ!$B$6:$B$100000,"&gt;="&amp;B15,受注ログ!$B$6:$B$100000,"&lt;="&amp;C15)</f>
        <v>0</v>
      </c>
      <c r="E15" s="16">
        <f>SUMIFS(受注ログ!$D$6:$D$100000,受注ログ!$B$6:$B$100000,"&gt;="&amp;B15,受注ログ!$B$6:$B$100000,"&lt;="&amp;C15)</f>
        <v>0</v>
      </c>
      <c r="F15" s="16">
        <f t="shared" si="1"/>
        <v>0</v>
      </c>
      <c r="G15" s="16">
        <f>サマリー!$B$15</f>
        <v>500000</v>
      </c>
      <c r="H15" s="34">
        <f t="shared" si="2"/>
        <v>-500000</v>
      </c>
      <c r="I15" s="17">
        <f t="shared" si="3"/>
        <v>0</v>
      </c>
      <c r="J15" s="17">
        <f>IFERROR(D15/サマリー!$B$7,0)</f>
        <v>0</v>
      </c>
      <c r="K15" s="17">
        <f>IFERROR(E15/サマリー!$B$7,0)</f>
        <v>0</v>
      </c>
    </row>
    <row r="16" spans="1:11">
      <c r="A16" s="15">
        <v>14</v>
      </c>
      <c r="B16" s="19">
        <f>サマリー!$B$14-WEEKDAY(サマリー!$B$14,2)+1+(14-1)*7</f>
        <v>46412</v>
      </c>
      <c r="C16" s="19">
        <f t="shared" si="0"/>
        <v>46418</v>
      </c>
      <c r="D16" s="16">
        <f>SUMIFS(受注ログ!$C$6:$C$100000,受注ログ!$B$6:$B$100000,"&gt;="&amp;B16,受注ログ!$B$6:$B$100000,"&lt;="&amp;C16)</f>
        <v>0</v>
      </c>
      <c r="E16" s="16">
        <f>SUMIFS(受注ログ!$D$6:$D$100000,受注ログ!$B$6:$B$100000,"&gt;="&amp;B16,受注ログ!$B$6:$B$100000,"&lt;="&amp;C16)</f>
        <v>0</v>
      </c>
      <c r="F16" s="16">
        <f t="shared" si="1"/>
        <v>0</v>
      </c>
      <c r="G16" s="16">
        <f>サマリー!$B$15</f>
        <v>500000</v>
      </c>
      <c r="H16" s="34">
        <f t="shared" si="2"/>
        <v>-500000</v>
      </c>
      <c r="I16" s="17">
        <f t="shared" si="3"/>
        <v>0</v>
      </c>
      <c r="J16" s="17">
        <f>IFERROR(D16/サマリー!$B$7,0)</f>
        <v>0</v>
      </c>
      <c r="K16" s="17">
        <f>IFERROR(E16/サマリー!$B$7,0)</f>
        <v>0</v>
      </c>
    </row>
    <row r="17" spans="1:11">
      <c r="A17" s="15">
        <v>15</v>
      </c>
      <c r="B17" s="19">
        <f>サマリー!$B$14-WEEKDAY(サマリー!$B$14,2)+1+(15-1)*7</f>
        <v>46419</v>
      </c>
      <c r="C17" s="19">
        <f t="shared" si="0"/>
        <v>46425</v>
      </c>
      <c r="D17" s="16">
        <f>SUMIFS(受注ログ!$C$6:$C$100000,受注ログ!$B$6:$B$100000,"&gt;="&amp;B17,受注ログ!$B$6:$B$100000,"&lt;="&amp;C17)</f>
        <v>0</v>
      </c>
      <c r="E17" s="16">
        <f>SUMIFS(受注ログ!$D$6:$D$100000,受注ログ!$B$6:$B$100000,"&gt;="&amp;B17,受注ログ!$B$6:$B$100000,"&lt;="&amp;C17)</f>
        <v>0</v>
      </c>
      <c r="F17" s="16">
        <f t="shared" si="1"/>
        <v>0</v>
      </c>
      <c r="G17" s="16">
        <f>サマリー!$B$15</f>
        <v>500000</v>
      </c>
      <c r="H17" s="34">
        <f t="shared" si="2"/>
        <v>-500000</v>
      </c>
      <c r="I17" s="17">
        <f t="shared" si="3"/>
        <v>0</v>
      </c>
      <c r="J17" s="17">
        <f>IFERROR(D17/サマリー!$B$7,0)</f>
        <v>0</v>
      </c>
      <c r="K17" s="17">
        <f>IFERROR(E17/サマリー!$B$7,0)</f>
        <v>0</v>
      </c>
    </row>
    <row r="18" spans="1:11">
      <c r="A18" s="15">
        <v>16</v>
      </c>
      <c r="B18" s="19">
        <f>サマリー!$B$14-WEEKDAY(サマリー!$B$14,2)+1+(16-1)*7</f>
        <v>46426</v>
      </c>
      <c r="C18" s="19">
        <f t="shared" si="0"/>
        <v>46432</v>
      </c>
      <c r="D18" s="16">
        <f>SUMIFS(受注ログ!$C$6:$C$100000,受注ログ!$B$6:$B$100000,"&gt;="&amp;B18,受注ログ!$B$6:$B$100000,"&lt;="&amp;C18)</f>
        <v>0</v>
      </c>
      <c r="E18" s="16">
        <f>SUMIFS(受注ログ!$D$6:$D$100000,受注ログ!$B$6:$B$100000,"&gt;="&amp;B18,受注ログ!$B$6:$B$100000,"&lt;="&amp;C18)</f>
        <v>0</v>
      </c>
      <c r="F18" s="16">
        <f t="shared" si="1"/>
        <v>0</v>
      </c>
      <c r="G18" s="16">
        <f>サマリー!$B$15</f>
        <v>500000</v>
      </c>
      <c r="H18" s="34">
        <f t="shared" si="2"/>
        <v>-500000</v>
      </c>
      <c r="I18" s="17">
        <f t="shared" si="3"/>
        <v>0</v>
      </c>
      <c r="J18" s="17">
        <f>IFERROR(D18/サマリー!$B$7,0)</f>
        <v>0</v>
      </c>
      <c r="K18" s="17">
        <f>IFERROR(E18/サマリー!$B$7,0)</f>
        <v>0</v>
      </c>
    </row>
    <row r="19" spans="1:11">
      <c r="A19" s="15">
        <v>17</v>
      </c>
      <c r="B19" s="19">
        <f>サマリー!$B$14-WEEKDAY(サマリー!$B$14,2)+1+(17-1)*7</f>
        <v>46433</v>
      </c>
      <c r="C19" s="19">
        <f t="shared" si="0"/>
        <v>46439</v>
      </c>
      <c r="D19" s="16">
        <f>SUMIFS(受注ログ!$C$6:$C$100000,受注ログ!$B$6:$B$100000,"&gt;="&amp;B19,受注ログ!$B$6:$B$100000,"&lt;="&amp;C19)</f>
        <v>0</v>
      </c>
      <c r="E19" s="16">
        <f>SUMIFS(受注ログ!$D$6:$D$100000,受注ログ!$B$6:$B$100000,"&gt;="&amp;B19,受注ログ!$B$6:$B$100000,"&lt;="&amp;C19)</f>
        <v>0</v>
      </c>
      <c r="F19" s="16">
        <f t="shared" si="1"/>
        <v>0</v>
      </c>
      <c r="G19" s="16">
        <f>サマリー!$B$15</f>
        <v>500000</v>
      </c>
      <c r="H19" s="34">
        <f t="shared" si="2"/>
        <v>-500000</v>
      </c>
      <c r="I19" s="17">
        <f t="shared" si="3"/>
        <v>0</v>
      </c>
      <c r="J19" s="17">
        <f>IFERROR(D19/サマリー!$B$7,0)</f>
        <v>0</v>
      </c>
      <c r="K19" s="17">
        <f>IFERROR(E19/サマリー!$B$7,0)</f>
        <v>0</v>
      </c>
    </row>
    <row r="20" spans="1:11">
      <c r="A20" s="15">
        <v>18</v>
      </c>
      <c r="B20" s="19">
        <f>サマリー!$B$14-WEEKDAY(サマリー!$B$14,2)+1+(18-1)*7</f>
        <v>46440</v>
      </c>
      <c r="C20" s="19">
        <f t="shared" si="0"/>
        <v>46446</v>
      </c>
      <c r="D20" s="16">
        <f>SUMIFS(受注ログ!$C$6:$C$100000,受注ログ!$B$6:$B$100000,"&gt;="&amp;B20,受注ログ!$B$6:$B$100000,"&lt;="&amp;C20)</f>
        <v>0</v>
      </c>
      <c r="E20" s="16">
        <f>SUMIFS(受注ログ!$D$6:$D$100000,受注ログ!$B$6:$B$100000,"&gt;="&amp;B20,受注ログ!$B$6:$B$100000,"&lt;="&amp;C20)</f>
        <v>0</v>
      </c>
      <c r="F20" s="16">
        <f t="shared" si="1"/>
        <v>0</v>
      </c>
      <c r="G20" s="16">
        <f>サマリー!$B$15</f>
        <v>500000</v>
      </c>
      <c r="H20" s="34">
        <f t="shared" si="2"/>
        <v>-500000</v>
      </c>
      <c r="I20" s="17">
        <f t="shared" si="3"/>
        <v>0</v>
      </c>
      <c r="J20" s="17">
        <f>IFERROR(D20/サマリー!$B$7,0)</f>
        <v>0</v>
      </c>
      <c r="K20" s="17">
        <f>IFERROR(E20/サマリー!$B$7,0)</f>
        <v>0</v>
      </c>
    </row>
    <row r="21" spans="1:11">
      <c r="A21" s="15">
        <v>19</v>
      </c>
      <c r="B21" s="19">
        <f>サマリー!$B$14-WEEKDAY(サマリー!$B$14,2)+1+(19-1)*7</f>
        <v>46447</v>
      </c>
      <c r="C21" s="19">
        <f t="shared" si="0"/>
        <v>46453</v>
      </c>
      <c r="D21" s="16">
        <f>SUMIFS(受注ログ!$C$6:$C$100000,受注ログ!$B$6:$B$100000,"&gt;="&amp;B21,受注ログ!$B$6:$B$100000,"&lt;="&amp;C21)</f>
        <v>0</v>
      </c>
      <c r="E21" s="16">
        <f>SUMIFS(受注ログ!$D$6:$D$100000,受注ログ!$B$6:$B$100000,"&gt;="&amp;B21,受注ログ!$B$6:$B$100000,"&lt;="&amp;C21)</f>
        <v>0</v>
      </c>
      <c r="F21" s="16">
        <f t="shared" si="1"/>
        <v>0</v>
      </c>
      <c r="G21" s="16">
        <f>サマリー!$B$15</f>
        <v>500000</v>
      </c>
      <c r="H21" s="34">
        <f t="shared" si="2"/>
        <v>-500000</v>
      </c>
      <c r="I21" s="17">
        <f t="shared" si="3"/>
        <v>0</v>
      </c>
      <c r="J21" s="17">
        <f>IFERROR(D21/サマリー!$B$7,0)</f>
        <v>0</v>
      </c>
      <c r="K21" s="17">
        <f>IFERROR(E21/サマリー!$B$7,0)</f>
        <v>0</v>
      </c>
    </row>
    <row r="22" spans="1:11">
      <c r="A22" s="15">
        <v>20</v>
      </c>
      <c r="B22" s="19">
        <f>サマリー!$B$14-WEEKDAY(サマリー!$B$14,2)+1+(20-1)*7</f>
        <v>46454</v>
      </c>
      <c r="C22" s="19">
        <f t="shared" si="0"/>
        <v>46460</v>
      </c>
      <c r="D22" s="16">
        <f>SUMIFS(受注ログ!$C$6:$C$100000,受注ログ!$B$6:$B$100000,"&gt;="&amp;B22,受注ログ!$B$6:$B$100000,"&lt;="&amp;C22)</f>
        <v>0</v>
      </c>
      <c r="E22" s="16">
        <f>SUMIFS(受注ログ!$D$6:$D$100000,受注ログ!$B$6:$B$100000,"&gt;="&amp;B22,受注ログ!$B$6:$B$100000,"&lt;="&amp;C22)</f>
        <v>0</v>
      </c>
      <c r="F22" s="16">
        <f t="shared" si="1"/>
        <v>0</v>
      </c>
      <c r="G22" s="16">
        <f>サマリー!$B$15</f>
        <v>500000</v>
      </c>
      <c r="H22" s="34">
        <f t="shared" si="2"/>
        <v>-500000</v>
      </c>
      <c r="I22" s="17">
        <f t="shared" si="3"/>
        <v>0</v>
      </c>
      <c r="J22" s="17">
        <f>IFERROR(D22/サマリー!$B$7,0)</f>
        <v>0</v>
      </c>
      <c r="K22" s="17">
        <f>IFERROR(E22/サマリー!$B$7,0)</f>
        <v>0</v>
      </c>
    </row>
    <row r="23" spans="1:11">
      <c r="A23" s="15">
        <v>21</v>
      </c>
      <c r="B23" s="19">
        <f>サマリー!$B$14-WEEKDAY(サマリー!$B$14,2)+1+(21-1)*7</f>
        <v>46461</v>
      </c>
      <c r="C23" s="19">
        <f t="shared" si="0"/>
        <v>46467</v>
      </c>
      <c r="D23" s="16">
        <f>SUMIFS(受注ログ!$C$6:$C$100000,受注ログ!$B$6:$B$100000,"&gt;="&amp;B23,受注ログ!$B$6:$B$100000,"&lt;="&amp;C23)</f>
        <v>0</v>
      </c>
      <c r="E23" s="16">
        <f>SUMIFS(受注ログ!$D$6:$D$100000,受注ログ!$B$6:$B$100000,"&gt;="&amp;B23,受注ログ!$B$6:$B$100000,"&lt;="&amp;C23)</f>
        <v>0</v>
      </c>
      <c r="F23" s="16">
        <f t="shared" si="1"/>
        <v>0</v>
      </c>
      <c r="G23" s="16">
        <f>サマリー!$B$15</f>
        <v>500000</v>
      </c>
      <c r="H23" s="34">
        <f t="shared" si="2"/>
        <v>-500000</v>
      </c>
      <c r="I23" s="17">
        <f t="shared" si="3"/>
        <v>0</v>
      </c>
      <c r="J23" s="17">
        <f>IFERROR(D23/サマリー!$B$7,0)</f>
        <v>0</v>
      </c>
      <c r="K23" s="17">
        <f>IFERROR(E23/サマリー!$B$7,0)</f>
        <v>0</v>
      </c>
    </row>
    <row r="24" spans="1:11">
      <c r="A24" s="15">
        <v>22</v>
      </c>
      <c r="B24" s="19">
        <f>サマリー!$B$14-WEEKDAY(サマリー!$B$14,2)+1+(22-1)*7</f>
        <v>46468</v>
      </c>
      <c r="C24" s="19">
        <f t="shared" si="0"/>
        <v>46474</v>
      </c>
      <c r="D24" s="16">
        <f>SUMIFS(受注ログ!$C$6:$C$100000,受注ログ!$B$6:$B$100000,"&gt;="&amp;B24,受注ログ!$B$6:$B$100000,"&lt;="&amp;C24)</f>
        <v>0</v>
      </c>
      <c r="E24" s="16">
        <f>SUMIFS(受注ログ!$D$6:$D$100000,受注ログ!$B$6:$B$100000,"&gt;="&amp;B24,受注ログ!$B$6:$B$100000,"&lt;="&amp;C24)</f>
        <v>0</v>
      </c>
      <c r="F24" s="16">
        <f t="shared" si="1"/>
        <v>0</v>
      </c>
      <c r="G24" s="16">
        <f>サマリー!$B$15</f>
        <v>500000</v>
      </c>
      <c r="H24" s="34">
        <f t="shared" si="2"/>
        <v>-500000</v>
      </c>
      <c r="I24" s="17">
        <f t="shared" si="3"/>
        <v>0</v>
      </c>
      <c r="J24" s="17">
        <f>IFERROR(D24/サマリー!$B$7,0)</f>
        <v>0</v>
      </c>
      <c r="K24" s="17">
        <f>IFERROR(E24/サマリー!$B$7,0)</f>
        <v>0</v>
      </c>
    </row>
    <row r="25" spans="1:11">
      <c r="A25" s="15">
        <v>23</v>
      </c>
      <c r="B25" s="19">
        <f>サマリー!$B$14-WEEKDAY(サマリー!$B$14,2)+1+(23-1)*7</f>
        <v>46475</v>
      </c>
      <c r="C25" s="19">
        <f t="shared" si="0"/>
        <v>46481</v>
      </c>
      <c r="D25" s="16">
        <f>SUMIFS(受注ログ!$C$6:$C$100000,受注ログ!$B$6:$B$100000,"&gt;="&amp;B25,受注ログ!$B$6:$B$100000,"&lt;="&amp;C25)</f>
        <v>0</v>
      </c>
      <c r="E25" s="16">
        <f>SUMIFS(受注ログ!$D$6:$D$100000,受注ログ!$B$6:$B$100000,"&gt;="&amp;B25,受注ログ!$B$6:$B$100000,"&lt;="&amp;C25)</f>
        <v>0</v>
      </c>
      <c r="F25" s="16">
        <f t="shared" si="1"/>
        <v>0</v>
      </c>
      <c r="G25" s="16">
        <f>サマリー!$B$15</f>
        <v>500000</v>
      </c>
      <c r="H25" s="34">
        <f t="shared" si="2"/>
        <v>-500000</v>
      </c>
      <c r="I25" s="17">
        <f t="shared" si="3"/>
        <v>0</v>
      </c>
      <c r="J25" s="17">
        <f>IFERROR(D25/サマリー!$B$7,0)</f>
        <v>0</v>
      </c>
      <c r="K25" s="17">
        <f>IFERROR(E25/サマリー!$B$7,0)</f>
        <v>0</v>
      </c>
    </row>
    <row r="26" spans="1:11">
      <c r="A26" s="15">
        <v>24</v>
      </c>
      <c r="B26" s="19">
        <f>サマリー!$B$14-WEEKDAY(サマリー!$B$14,2)+1+(24-1)*7</f>
        <v>46482</v>
      </c>
      <c r="C26" s="19">
        <f t="shared" si="0"/>
        <v>46488</v>
      </c>
      <c r="D26" s="16">
        <f>SUMIFS(受注ログ!$C$6:$C$100000,受注ログ!$B$6:$B$100000,"&gt;="&amp;B26,受注ログ!$B$6:$B$100000,"&lt;="&amp;C26)</f>
        <v>0</v>
      </c>
      <c r="E26" s="16">
        <f>SUMIFS(受注ログ!$D$6:$D$100000,受注ログ!$B$6:$B$100000,"&gt;="&amp;B26,受注ログ!$B$6:$B$100000,"&lt;="&amp;C26)</f>
        <v>0</v>
      </c>
      <c r="F26" s="16">
        <f t="shared" si="1"/>
        <v>0</v>
      </c>
      <c r="G26" s="16">
        <f>サマリー!$B$15</f>
        <v>500000</v>
      </c>
      <c r="H26" s="34">
        <f t="shared" si="2"/>
        <v>-500000</v>
      </c>
      <c r="I26" s="17">
        <f t="shared" si="3"/>
        <v>0</v>
      </c>
      <c r="J26" s="17">
        <f>IFERROR(D26/サマリー!$B$7,0)</f>
        <v>0</v>
      </c>
      <c r="K26" s="17">
        <f>IFERROR(E26/サマリー!$B$7,0)</f>
        <v>0</v>
      </c>
    </row>
    <row r="27" spans="1:11">
      <c r="A27" s="15">
        <v>25</v>
      </c>
      <c r="B27" s="19">
        <f>サマリー!$B$14-WEEKDAY(サマリー!$B$14,2)+1+(25-1)*7</f>
        <v>46489</v>
      </c>
      <c r="C27" s="19">
        <f t="shared" si="0"/>
        <v>46495</v>
      </c>
      <c r="D27" s="16">
        <f>SUMIFS(受注ログ!$C$6:$C$100000,受注ログ!$B$6:$B$100000,"&gt;="&amp;B27,受注ログ!$B$6:$B$100000,"&lt;="&amp;C27)</f>
        <v>0</v>
      </c>
      <c r="E27" s="16">
        <f>SUMIFS(受注ログ!$D$6:$D$100000,受注ログ!$B$6:$B$100000,"&gt;="&amp;B27,受注ログ!$B$6:$B$100000,"&lt;="&amp;C27)</f>
        <v>0</v>
      </c>
      <c r="F27" s="16">
        <f t="shared" si="1"/>
        <v>0</v>
      </c>
      <c r="G27" s="16">
        <f>サマリー!$B$15</f>
        <v>500000</v>
      </c>
      <c r="H27" s="34">
        <f t="shared" si="2"/>
        <v>-500000</v>
      </c>
      <c r="I27" s="17">
        <f t="shared" si="3"/>
        <v>0</v>
      </c>
      <c r="J27" s="17">
        <f>IFERROR(D27/サマリー!$B$7,0)</f>
        <v>0</v>
      </c>
      <c r="K27" s="17">
        <f>IFERROR(E27/サマリー!$B$7,0)</f>
        <v>0</v>
      </c>
    </row>
    <row r="28" spans="1:11">
      <c r="A28" s="15">
        <v>26</v>
      </c>
      <c r="B28" s="19">
        <f>サマリー!$B$14-WEEKDAY(サマリー!$B$14,2)+1+(26-1)*7</f>
        <v>46496</v>
      </c>
      <c r="C28" s="19">
        <f t="shared" si="0"/>
        <v>46502</v>
      </c>
      <c r="D28" s="16">
        <f>SUMIFS(受注ログ!$C$6:$C$100000,受注ログ!$B$6:$B$100000,"&gt;="&amp;B28,受注ログ!$B$6:$B$100000,"&lt;="&amp;C28)</f>
        <v>0</v>
      </c>
      <c r="E28" s="16">
        <f>SUMIFS(受注ログ!$D$6:$D$100000,受注ログ!$B$6:$B$100000,"&gt;="&amp;B28,受注ログ!$B$6:$B$100000,"&lt;="&amp;C28)</f>
        <v>0</v>
      </c>
      <c r="F28" s="16">
        <f t="shared" si="1"/>
        <v>0</v>
      </c>
      <c r="G28" s="16">
        <f>サマリー!$B$15</f>
        <v>500000</v>
      </c>
      <c r="H28" s="34">
        <f t="shared" si="2"/>
        <v>-500000</v>
      </c>
      <c r="I28" s="17">
        <f t="shared" si="3"/>
        <v>0</v>
      </c>
      <c r="J28" s="17">
        <f>IFERROR(D28/サマリー!$B$7,0)</f>
        <v>0</v>
      </c>
      <c r="K28" s="17">
        <f>IFERROR(E28/サマリー!$B$7,0)</f>
        <v>0</v>
      </c>
    </row>
    <row r="29" spans="1:11">
      <c r="A29" s="15">
        <v>27</v>
      </c>
      <c r="B29" s="19">
        <f>サマリー!$B$14-WEEKDAY(サマリー!$B$14,2)+1+(27-1)*7</f>
        <v>46503</v>
      </c>
      <c r="C29" s="19">
        <f t="shared" si="0"/>
        <v>46509</v>
      </c>
      <c r="D29" s="16">
        <f>SUMIFS(受注ログ!$C$6:$C$100000,受注ログ!$B$6:$B$100000,"&gt;="&amp;B29,受注ログ!$B$6:$B$100000,"&lt;="&amp;C29)</f>
        <v>0</v>
      </c>
      <c r="E29" s="16">
        <f>SUMIFS(受注ログ!$D$6:$D$100000,受注ログ!$B$6:$B$100000,"&gt;="&amp;B29,受注ログ!$B$6:$B$100000,"&lt;="&amp;C29)</f>
        <v>0</v>
      </c>
      <c r="F29" s="16">
        <f t="shared" si="1"/>
        <v>0</v>
      </c>
      <c r="G29" s="16">
        <f>サマリー!$B$15</f>
        <v>500000</v>
      </c>
      <c r="H29" s="34">
        <f t="shared" si="2"/>
        <v>-500000</v>
      </c>
      <c r="I29" s="17">
        <f t="shared" si="3"/>
        <v>0</v>
      </c>
      <c r="J29" s="17">
        <f>IFERROR(D29/サマリー!$B$7,0)</f>
        <v>0</v>
      </c>
      <c r="K29" s="17">
        <f>IFERROR(E29/サマリー!$B$7,0)</f>
        <v>0</v>
      </c>
    </row>
    <row r="30" spans="1:11">
      <c r="A30" s="15">
        <v>28</v>
      </c>
      <c r="B30" s="19">
        <f>サマリー!$B$14-WEEKDAY(サマリー!$B$14,2)+1+(28-1)*7</f>
        <v>46510</v>
      </c>
      <c r="C30" s="19">
        <f t="shared" si="0"/>
        <v>46516</v>
      </c>
      <c r="D30" s="16">
        <f>SUMIFS(受注ログ!$C$6:$C$100000,受注ログ!$B$6:$B$100000,"&gt;="&amp;B30,受注ログ!$B$6:$B$100000,"&lt;="&amp;C30)</f>
        <v>0</v>
      </c>
      <c r="E30" s="16">
        <f>SUMIFS(受注ログ!$D$6:$D$100000,受注ログ!$B$6:$B$100000,"&gt;="&amp;B30,受注ログ!$B$6:$B$100000,"&lt;="&amp;C30)</f>
        <v>0</v>
      </c>
      <c r="F30" s="16">
        <f t="shared" si="1"/>
        <v>0</v>
      </c>
      <c r="G30" s="16">
        <f>サマリー!$B$15</f>
        <v>500000</v>
      </c>
      <c r="H30" s="34">
        <f t="shared" si="2"/>
        <v>-500000</v>
      </c>
      <c r="I30" s="17">
        <f t="shared" si="3"/>
        <v>0</v>
      </c>
      <c r="J30" s="17">
        <f>IFERROR(D30/サマリー!$B$7,0)</f>
        <v>0</v>
      </c>
      <c r="K30" s="17">
        <f>IFERROR(E30/サマリー!$B$7,0)</f>
        <v>0</v>
      </c>
    </row>
    <row r="31" spans="1:11">
      <c r="A31" s="15">
        <v>29</v>
      </c>
      <c r="B31" s="19">
        <f>サマリー!$B$14-WEEKDAY(サマリー!$B$14,2)+1+(29-1)*7</f>
        <v>46517</v>
      </c>
      <c r="C31" s="19">
        <f t="shared" si="0"/>
        <v>46523</v>
      </c>
      <c r="D31" s="16">
        <f>SUMIFS(受注ログ!$C$6:$C$100000,受注ログ!$B$6:$B$100000,"&gt;="&amp;B31,受注ログ!$B$6:$B$100000,"&lt;="&amp;C31)</f>
        <v>0</v>
      </c>
      <c r="E31" s="16">
        <f>SUMIFS(受注ログ!$D$6:$D$100000,受注ログ!$B$6:$B$100000,"&gt;="&amp;B31,受注ログ!$B$6:$B$100000,"&lt;="&amp;C31)</f>
        <v>0</v>
      </c>
      <c r="F31" s="16">
        <f t="shared" si="1"/>
        <v>0</v>
      </c>
      <c r="G31" s="16">
        <f>サマリー!$B$15</f>
        <v>500000</v>
      </c>
      <c r="H31" s="34">
        <f t="shared" si="2"/>
        <v>-500000</v>
      </c>
      <c r="I31" s="17">
        <f t="shared" si="3"/>
        <v>0</v>
      </c>
      <c r="J31" s="17">
        <f>IFERROR(D31/サマリー!$B$7,0)</f>
        <v>0</v>
      </c>
      <c r="K31" s="17">
        <f>IFERROR(E31/サマリー!$B$7,0)</f>
        <v>0</v>
      </c>
    </row>
    <row r="32" spans="1:11">
      <c r="A32" s="15">
        <v>30</v>
      </c>
      <c r="B32" s="19">
        <f>サマリー!$B$14-WEEKDAY(サマリー!$B$14,2)+1+(30-1)*7</f>
        <v>46524</v>
      </c>
      <c r="C32" s="19">
        <f t="shared" si="0"/>
        <v>46530</v>
      </c>
      <c r="D32" s="16">
        <f>SUMIFS(受注ログ!$C$6:$C$100000,受注ログ!$B$6:$B$100000,"&gt;="&amp;B32,受注ログ!$B$6:$B$100000,"&lt;="&amp;C32)</f>
        <v>0</v>
      </c>
      <c r="E32" s="16">
        <f>SUMIFS(受注ログ!$D$6:$D$100000,受注ログ!$B$6:$B$100000,"&gt;="&amp;B32,受注ログ!$B$6:$B$100000,"&lt;="&amp;C32)</f>
        <v>0</v>
      </c>
      <c r="F32" s="16">
        <f t="shared" si="1"/>
        <v>0</v>
      </c>
      <c r="G32" s="16">
        <f>サマリー!$B$15</f>
        <v>500000</v>
      </c>
      <c r="H32" s="34">
        <f t="shared" si="2"/>
        <v>-500000</v>
      </c>
      <c r="I32" s="17">
        <f t="shared" si="3"/>
        <v>0</v>
      </c>
      <c r="J32" s="17">
        <f>IFERROR(D32/サマリー!$B$7,0)</f>
        <v>0</v>
      </c>
      <c r="K32" s="17">
        <f>IFERROR(E32/サマリー!$B$7,0)</f>
        <v>0</v>
      </c>
    </row>
    <row r="33" spans="1:11">
      <c r="A33" s="15">
        <v>31</v>
      </c>
      <c r="B33" s="19">
        <f>サマリー!$B$14-WEEKDAY(サマリー!$B$14,2)+1+(31-1)*7</f>
        <v>46531</v>
      </c>
      <c r="C33" s="19">
        <f t="shared" si="0"/>
        <v>46537</v>
      </c>
      <c r="D33" s="16">
        <f>SUMIFS(受注ログ!$C$6:$C$100000,受注ログ!$B$6:$B$100000,"&gt;="&amp;B33,受注ログ!$B$6:$B$100000,"&lt;="&amp;C33)</f>
        <v>0</v>
      </c>
      <c r="E33" s="16">
        <f>SUMIFS(受注ログ!$D$6:$D$100000,受注ログ!$B$6:$B$100000,"&gt;="&amp;B33,受注ログ!$B$6:$B$100000,"&lt;="&amp;C33)</f>
        <v>0</v>
      </c>
      <c r="F33" s="16">
        <f t="shared" si="1"/>
        <v>0</v>
      </c>
      <c r="G33" s="16">
        <f>サマリー!$B$15</f>
        <v>500000</v>
      </c>
      <c r="H33" s="34">
        <f t="shared" si="2"/>
        <v>-500000</v>
      </c>
      <c r="I33" s="17">
        <f t="shared" si="3"/>
        <v>0</v>
      </c>
      <c r="J33" s="17">
        <f>IFERROR(D33/サマリー!$B$7,0)</f>
        <v>0</v>
      </c>
      <c r="K33" s="17">
        <f>IFERROR(E33/サマリー!$B$7,0)</f>
        <v>0</v>
      </c>
    </row>
    <row r="34" spans="1:11">
      <c r="A34" s="15">
        <v>32</v>
      </c>
      <c r="B34" s="19">
        <f>サマリー!$B$14-WEEKDAY(サマリー!$B$14,2)+1+(32-1)*7</f>
        <v>46538</v>
      </c>
      <c r="C34" s="19">
        <f t="shared" si="0"/>
        <v>46544</v>
      </c>
      <c r="D34" s="16">
        <f>SUMIFS(受注ログ!$C$6:$C$100000,受注ログ!$B$6:$B$100000,"&gt;="&amp;B34,受注ログ!$B$6:$B$100000,"&lt;="&amp;C34)</f>
        <v>0</v>
      </c>
      <c r="E34" s="16">
        <f>SUMIFS(受注ログ!$D$6:$D$100000,受注ログ!$B$6:$B$100000,"&gt;="&amp;B34,受注ログ!$B$6:$B$100000,"&lt;="&amp;C34)</f>
        <v>0</v>
      </c>
      <c r="F34" s="16">
        <f t="shared" si="1"/>
        <v>0</v>
      </c>
      <c r="G34" s="16">
        <f>サマリー!$B$15</f>
        <v>500000</v>
      </c>
      <c r="H34" s="34">
        <f t="shared" si="2"/>
        <v>-500000</v>
      </c>
      <c r="I34" s="17">
        <f t="shared" si="3"/>
        <v>0</v>
      </c>
      <c r="J34" s="17">
        <f>IFERROR(D34/サマリー!$B$7,0)</f>
        <v>0</v>
      </c>
      <c r="K34" s="17">
        <f>IFERROR(E34/サマリー!$B$7,0)</f>
        <v>0</v>
      </c>
    </row>
    <row r="35" spans="1:11">
      <c r="A35" s="15">
        <v>33</v>
      </c>
      <c r="B35" s="19">
        <f>サマリー!$B$14-WEEKDAY(サマリー!$B$14,2)+1+(33-1)*7</f>
        <v>46545</v>
      </c>
      <c r="C35" s="19">
        <f t="shared" ref="C35:C56" si="4">B35+6</f>
        <v>46551</v>
      </c>
      <c r="D35" s="16">
        <f>SUMIFS(受注ログ!$C$6:$C$100000,受注ログ!$B$6:$B$100000,"&gt;="&amp;B35,受注ログ!$B$6:$B$100000,"&lt;="&amp;C35)</f>
        <v>0</v>
      </c>
      <c r="E35" s="16">
        <f>SUMIFS(受注ログ!$D$6:$D$100000,受注ログ!$B$6:$B$100000,"&gt;="&amp;B35,受注ログ!$B$6:$B$100000,"&lt;="&amp;C35)</f>
        <v>0</v>
      </c>
      <c r="F35" s="16">
        <f t="shared" ref="F35:F56" si="5">D35+E35</f>
        <v>0</v>
      </c>
      <c r="G35" s="16">
        <f>サマリー!$B$15</f>
        <v>500000</v>
      </c>
      <c r="H35" s="34">
        <f t="shared" ref="H35:H56" si="6">F35-G35</f>
        <v>-500000</v>
      </c>
      <c r="I35" s="17">
        <f t="shared" ref="I35:I56" si="7">IFERROR(F35/G35,0)</f>
        <v>0</v>
      </c>
      <c r="J35" s="17">
        <f>IFERROR(D35/サマリー!$B$7,0)</f>
        <v>0</v>
      </c>
      <c r="K35" s="17">
        <f>IFERROR(E35/サマリー!$B$7,0)</f>
        <v>0</v>
      </c>
    </row>
    <row r="36" spans="1:11">
      <c r="A36" s="15">
        <v>34</v>
      </c>
      <c r="B36" s="19">
        <f>サマリー!$B$14-WEEKDAY(サマリー!$B$14,2)+1+(34-1)*7</f>
        <v>46552</v>
      </c>
      <c r="C36" s="19">
        <f t="shared" si="4"/>
        <v>46558</v>
      </c>
      <c r="D36" s="16">
        <f>SUMIFS(受注ログ!$C$6:$C$100000,受注ログ!$B$6:$B$100000,"&gt;="&amp;B36,受注ログ!$B$6:$B$100000,"&lt;="&amp;C36)</f>
        <v>0</v>
      </c>
      <c r="E36" s="16">
        <f>SUMIFS(受注ログ!$D$6:$D$100000,受注ログ!$B$6:$B$100000,"&gt;="&amp;B36,受注ログ!$B$6:$B$100000,"&lt;="&amp;C36)</f>
        <v>0</v>
      </c>
      <c r="F36" s="16">
        <f t="shared" si="5"/>
        <v>0</v>
      </c>
      <c r="G36" s="16">
        <f>サマリー!$B$15</f>
        <v>500000</v>
      </c>
      <c r="H36" s="34">
        <f t="shared" si="6"/>
        <v>-500000</v>
      </c>
      <c r="I36" s="17">
        <f t="shared" si="7"/>
        <v>0</v>
      </c>
      <c r="J36" s="17">
        <f>IFERROR(D36/サマリー!$B$7,0)</f>
        <v>0</v>
      </c>
      <c r="K36" s="17">
        <f>IFERROR(E36/サマリー!$B$7,0)</f>
        <v>0</v>
      </c>
    </row>
    <row r="37" spans="1:11">
      <c r="A37" s="15">
        <v>35</v>
      </c>
      <c r="B37" s="19">
        <f>サマリー!$B$14-WEEKDAY(サマリー!$B$14,2)+1+(35-1)*7</f>
        <v>46559</v>
      </c>
      <c r="C37" s="19">
        <f t="shared" si="4"/>
        <v>46565</v>
      </c>
      <c r="D37" s="16">
        <f>SUMIFS(受注ログ!$C$6:$C$100000,受注ログ!$B$6:$B$100000,"&gt;="&amp;B37,受注ログ!$B$6:$B$100000,"&lt;="&amp;C37)</f>
        <v>0</v>
      </c>
      <c r="E37" s="16">
        <f>SUMIFS(受注ログ!$D$6:$D$100000,受注ログ!$B$6:$B$100000,"&gt;="&amp;B37,受注ログ!$B$6:$B$100000,"&lt;="&amp;C37)</f>
        <v>0</v>
      </c>
      <c r="F37" s="16">
        <f t="shared" si="5"/>
        <v>0</v>
      </c>
      <c r="G37" s="16">
        <f>サマリー!$B$15</f>
        <v>500000</v>
      </c>
      <c r="H37" s="34">
        <f t="shared" si="6"/>
        <v>-500000</v>
      </c>
      <c r="I37" s="17">
        <f t="shared" si="7"/>
        <v>0</v>
      </c>
      <c r="J37" s="17">
        <f>IFERROR(D37/サマリー!$B$7,0)</f>
        <v>0</v>
      </c>
      <c r="K37" s="17">
        <f>IFERROR(E37/サマリー!$B$7,0)</f>
        <v>0</v>
      </c>
    </row>
    <row r="38" spans="1:11">
      <c r="A38" s="15">
        <v>36</v>
      </c>
      <c r="B38" s="19">
        <f>サマリー!$B$14-WEEKDAY(サマリー!$B$14,2)+1+(36-1)*7</f>
        <v>46566</v>
      </c>
      <c r="C38" s="19">
        <f t="shared" si="4"/>
        <v>46572</v>
      </c>
      <c r="D38" s="16">
        <f>SUMIFS(受注ログ!$C$6:$C$100000,受注ログ!$B$6:$B$100000,"&gt;="&amp;B38,受注ログ!$B$6:$B$100000,"&lt;="&amp;C38)</f>
        <v>0</v>
      </c>
      <c r="E38" s="16">
        <f>SUMIFS(受注ログ!$D$6:$D$100000,受注ログ!$B$6:$B$100000,"&gt;="&amp;B38,受注ログ!$B$6:$B$100000,"&lt;="&amp;C38)</f>
        <v>0</v>
      </c>
      <c r="F38" s="16">
        <f t="shared" si="5"/>
        <v>0</v>
      </c>
      <c r="G38" s="16">
        <f>サマリー!$B$15</f>
        <v>500000</v>
      </c>
      <c r="H38" s="34">
        <f t="shared" si="6"/>
        <v>-500000</v>
      </c>
      <c r="I38" s="17">
        <f t="shared" si="7"/>
        <v>0</v>
      </c>
      <c r="J38" s="17">
        <f>IFERROR(D38/サマリー!$B$7,0)</f>
        <v>0</v>
      </c>
      <c r="K38" s="17">
        <f>IFERROR(E38/サマリー!$B$7,0)</f>
        <v>0</v>
      </c>
    </row>
    <row r="39" spans="1:11">
      <c r="A39" s="15">
        <v>37</v>
      </c>
      <c r="B39" s="19">
        <f>サマリー!$B$14-WEEKDAY(サマリー!$B$14,2)+1+(37-1)*7</f>
        <v>46573</v>
      </c>
      <c r="C39" s="19">
        <f t="shared" si="4"/>
        <v>46579</v>
      </c>
      <c r="D39" s="16">
        <f>SUMIFS(受注ログ!$C$6:$C$100000,受注ログ!$B$6:$B$100000,"&gt;="&amp;B39,受注ログ!$B$6:$B$100000,"&lt;="&amp;C39)</f>
        <v>0</v>
      </c>
      <c r="E39" s="16">
        <f>SUMIFS(受注ログ!$D$6:$D$100000,受注ログ!$B$6:$B$100000,"&gt;="&amp;B39,受注ログ!$B$6:$B$100000,"&lt;="&amp;C39)</f>
        <v>0</v>
      </c>
      <c r="F39" s="16">
        <f t="shared" si="5"/>
        <v>0</v>
      </c>
      <c r="G39" s="16">
        <f>サマリー!$B$15</f>
        <v>500000</v>
      </c>
      <c r="H39" s="34">
        <f t="shared" si="6"/>
        <v>-500000</v>
      </c>
      <c r="I39" s="17">
        <f t="shared" si="7"/>
        <v>0</v>
      </c>
      <c r="J39" s="17">
        <f>IFERROR(D39/サマリー!$B$7,0)</f>
        <v>0</v>
      </c>
      <c r="K39" s="17">
        <f>IFERROR(E39/サマリー!$B$7,0)</f>
        <v>0</v>
      </c>
    </row>
    <row r="40" spans="1:11">
      <c r="A40" s="15">
        <v>38</v>
      </c>
      <c r="B40" s="19">
        <f>サマリー!$B$14-WEEKDAY(サマリー!$B$14,2)+1+(38-1)*7</f>
        <v>46580</v>
      </c>
      <c r="C40" s="19">
        <f t="shared" si="4"/>
        <v>46586</v>
      </c>
      <c r="D40" s="16">
        <f>SUMIFS(受注ログ!$C$6:$C$100000,受注ログ!$B$6:$B$100000,"&gt;="&amp;B40,受注ログ!$B$6:$B$100000,"&lt;="&amp;C40)</f>
        <v>0</v>
      </c>
      <c r="E40" s="16">
        <f>SUMIFS(受注ログ!$D$6:$D$100000,受注ログ!$B$6:$B$100000,"&gt;="&amp;B40,受注ログ!$B$6:$B$100000,"&lt;="&amp;C40)</f>
        <v>0</v>
      </c>
      <c r="F40" s="16">
        <f t="shared" si="5"/>
        <v>0</v>
      </c>
      <c r="G40" s="16">
        <f>サマリー!$B$15</f>
        <v>500000</v>
      </c>
      <c r="H40" s="34">
        <f t="shared" si="6"/>
        <v>-500000</v>
      </c>
      <c r="I40" s="17">
        <f t="shared" si="7"/>
        <v>0</v>
      </c>
      <c r="J40" s="17">
        <f>IFERROR(D40/サマリー!$B$7,0)</f>
        <v>0</v>
      </c>
      <c r="K40" s="17">
        <f>IFERROR(E40/サマリー!$B$7,0)</f>
        <v>0</v>
      </c>
    </row>
    <row r="41" spans="1:11">
      <c r="A41" s="15">
        <v>39</v>
      </c>
      <c r="B41" s="19">
        <f>サマリー!$B$14-WEEKDAY(サマリー!$B$14,2)+1+(39-1)*7</f>
        <v>46587</v>
      </c>
      <c r="C41" s="19">
        <f t="shared" si="4"/>
        <v>46593</v>
      </c>
      <c r="D41" s="16">
        <f>SUMIFS(受注ログ!$C$6:$C$100000,受注ログ!$B$6:$B$100000,"&gt;="&amp;B41,受注ログ!$B$6:$B$100000,"&lt;="&amp;C41)</f>
        <v>0</v>
      </c>
      <c r="E41" s="16">
        <f>SUMIFS(受注ログ!$D$6:$D$100000,受注ログ!$B$6:$B$100000,"&gt;="&amp;B41,受注ログ!$B$6:$B$100000,"&lt;="&amp;C41)</f>
        <v>0</v>
      </c>
      <c r="F41" s="16">
        <f t="shared" si="5"/>
        <v>0</v>
      </c>
      <c r="G41" s="16">
        <f>サマリー!$B$15</f>
        <v>500000</v>
      </c>
      <c r="H41" s="34">
        <f t="shared" si="6"/>
        <v>-500000</v>
      </c>
      <c r="I41" s="17">
        <f t="shared" si="7"/>
        <v>0</v>
      </c>
      <c r="J41" s="17">
        <f>IFERROR(D41/サマリー!$B$7,0)</f>
        <v>0</v>
      </c>
      <c r="K41" s="17">
        <f>IFERROR(E41/サマリー!$B$7,0)</f>
        <v>0</v>
      </c>
    </row>
    <row r="42" spans="1:11">
      <c r="A42" s="15">
        <v>40</v>
      </c>
      <c r="B42" s="19">
        <f>サマリー!$B$14-WEEKDAY(サマリー!$B$14,2)+1+(40-1)*7</f>
        <v>46594</v>
      </c>
      <c r="C42" s="19">
        <f t="shared" si="4"/>
        <v>46600</v>
      </c>
      <c r="D42" s="16">
        <f>SUMIFS(受注ログ!$C$6:$C$100000,受注ログ!$B$6:$B$100000,"&gt;="&amp;B42,受注ログ!$B$6:$B$100000,"&lt;="&amp;C42)</f>
        <v>0</v>
      </c>
      <c r="E42" s="16">
        <f>SUMIFS(受注ログ!$D$6:$D$100000,受注ログ!$B$6:$B$100000,"&gt;="&amp;B42,受注ログ!$B$6:$B$100000,"&lt;="&amp;C42)</f>
        <v>0</v>
      </c>
      <c r="F42" s="16">
        <f t="shared" si="5"/>
        <v>0</v>
      </c>
      <c r="G42" s="16">
        <f>サマリー!$B$15</f>
        <v>500000</v>
      </c>
      <c r="H42" s="34">
        <f t="shared" si="6"/>
        <v>-500000</v>
      </c>
      <c r="I42" s="17">
        <f t="shared" si="7"/>
        <v>0</v>
      </c>
      <c r="J42" s="17">
        <f>IFERROR(D42/サマリー!$B$7,0)</f>
        <v>0</v>
      </c>
      <c r="K42" s="17">
        <f>IFERROR(E42/サマリー!$B$7,0)</f>
        <v>0</v>
      </c>
    </row>
    <row r="43" spans="1:11">
      <c r="A43" s="15">
        <v>41</v>
      </c>
      <c r="B43" s="19">
        <f>サマリー!$B$14-WEEKDAY(サマリー!$B$14,2)+1+(41-1)*7</f>
        <v>46601</v>
      </c>
      <c r="C43" s="19">
        <f t="shared" si="4"/>
        <v>46607</v>
      </c>
      <c r="D43" s="16">
        <f>SUMIFS(受注ログ!$C$6:$C$100000,受注ログ!$B$6:$B$100000,"&gt;="&amp;B43,受注ログ!$B$6:$B$100000,"&lt;="&amp;C43)</f>
        <v>0</v>
      </c>
      <c r="E43" s="16">
        <f>SUMIFS(受注ログ!$D$6:$D$100000,受注ログ!$B$6:$B$100000,"&gt;="&amp;B43,受注ログ!$B$6:$B$100000,"&lt;="&amp;C43)</f>
        <v>0</v>
      </c>
      <c r="F43" s="16">
        <f t="shared" si="5"/>
        <v>0</v>
      </c>
      <c r="G43" s="16">
        <f>サマリー!$B$15</f>
        <v>500000</v>
      </c>
      <c r="H43" s="34">
        <f t="shared" si="6"/>
        <v>-500000</v>
      </c>
      <c r="I43" s="17">
        <f t="shared" si="7"/>
        <v>0</v>
      </c>
      <c r="J43" s="17">
        <f>IFERROR(D43/サマリー!$B$7,0)</f>
        <v>0</v>
      </c>
      <c r="K43" s="17">
        <f>IFERROR(E43/サマリー!$B$7,0)</f>
        <v>0</v>
      </c>
    </row>
    <row r="44" spans="1:11">
      <c r="A44" s="15">
        <v>42</v>
      </c>
      <c r="B44" s="19">
        <f>サマリー!$B$14-WEEKDAY(サマリー!$B$14,2)+1+(42-1)*7</f>
        <v>46608</v>
      </c>
      <c r="C44" s="19">
        <f t="shared" si="4"/>
        <v>46614</v>
      </c>
      <c r="D44" s="16">
        <f>SUMIFS(受注ログ!$C$6:$C$100000,受注ログ!$B$6:$B$100000,"&gt;="&amp;B44,受注ログ!$B$6:$B$100000,"&lt;="&amp;C44)</f>
        <v>0</v>
      </c>
      <c r="E44" s="16">
        <f>SUMIFS(受注ログ!$D$6:$D$100000,受注ログ!$B$6:$B$100000,"&gt;="&amp;B44,受注ログ!$B$6:$B$100000,"&lt;="&amp;C44)</f>
        <v>0</v>
      </c>
      <c r="F44" s="16">
        <f t="shared" si="5"/>
        <v>0</v>
      </c>
      <c r="G44" s="16">
        <f>サマリー!$B$15</f>
        <v>500000</v>
      </c>
      <c r="H44" s="34">
        <f t="shared" si="6"/>
        <v>-500000</v>
      </c>
      <c r="I44" s="17">
        <f t="shared" si="7"/>
        <v>0</v>
      </c>
      <c r="J44" s="17">
        <f>IFERROR(D44/サマリー!$B$7,0)</f>
        <v>0</v>
      </c>
      <c r="K44" s="17">
        <f>IFERROR(E44/サマリー!$B$7,0)</f>
        <v>0</v>
      </c>
    </row>
    <row r="45" spans="1:11">
      <c r="A45" s="15">
        <v>43</v>
      </c>
      <c r="B45" s="19">
        <f>サマリー!$B$14-WEEKDAY(サマリー!$B$14,2)+1+(43-1)*7</f>
        <v>46615</v>
      </c>
      <c r="C45" s="19">
        <f t="shared" si="4"/>
        <v>46621</v>
      </c>
      <c r="D45" s="16">
        <f>SUMIFS(受注ログ!$C$6:$C$100000,受注ログ!$B$6:$B$100000,"&gt;="&amp;B45,受注ログ!$B$6:$B$100000,"&lt;="&amp;C45)</f>
        <v>0</v>
      </c>
      <c r="E45" s="16">
        <f>SUMIFS(受注ログ!$D$6:$D$100000,受注ログ!$B$6:$B$100000,"&gt;="&amp;B45,受注ログ!$B$6:$B$100000,"&lt;="&amp;C45)</f>
        <v>0</v>
      </c>
      <c r="F45" s="16">
        <f t="shared" si="5"/>
        <v>0</v>
      </c>
      <c r="G45" s="16">
        <f>サマリー!$B$15</f>
        <v>500000</v>
      </c>
      <c r="H45" s="34">
        <f t="shared" si="6"/>
        <v>-500000</v>
      </c>
      <c r="I45" s="17">
        <f t="shared" si="7"/>
        <v>0</v>
      </c>
      <c r="J45" s="17">
        <f>IFERROR(D45/サマリー!$B$7,0)</f>
        <v>0</v>
      </c>
      <c r="K45" s="17">
        <f>IFERROR(E45/サマリー!$B$7,0)</f>
        <v>0</v>
      </c>
    </row>
    <row r="46" spans="1:11">
      <c r="A46" s="15">
        <v>44</v>
      </c>
      <c r="B46" s="19">
        <f>サマリー!$B$14-WEEKDAY(サマリー!$B$14,2)+1+(44-1)*7</f>
        <v>46622</v>
      </c>
      <c r="C46" s="19">
        <f t="shared" si="4"/>
        <v>46628</v>
      </c>
      <c r="D46" s="16">
        <f>SUMIFS(受注ログ!$C$6:$C$100000,受注ログ!$B$6:$B$100000,"&gt;="&amp;B46,受注ログ!$B$6:$B$100000,"&lt;="&amp;C46)</f>
        <v>0</v>
      </c>
      <c r="E46" s="16">
        <f>SUMIFS(受注ログ!$D$6:$D$100000,受注ログ!$B$6:$B$100000,"&gt;="&amp;B46,受注ログ!$B$6:$B$100000,"&lt;="&amp;C46)</f>
        <v>0</v>
      </c>
      <c r="F46" s="16">
        <f t="shared" si="5"/>
        <v>0</v>
      </c>
      <c r="G46" s="16">
        <f>サマリー!$B$15</f>
        <v>500000</v>
      </c>
      <c r="H46" s="34">
        <f t="shared" si="6"/>
        <v>-500000</v>
      </c>
      <c r="I46" s="17">
        <f t="shared" si="7"/>
        <v>0</v>
      </c>
      <c r="J46" s="17">
        <f>IFERROR(D46/サマリー!$B$7,0)</f>
        <v>0</v>
      </c>
      <c r="K46" s="17">
        <f>IFERROR(E46/サマリー!$B$7,0)</f>
        <v>0</v>
      </c>
    </row>
    <row r="47" spans="1:11">
      <c r="A47" s="15">
        <v>45</v>
      </c>
      <c r="B47" s="19">
        <f>サマリー!$B$14-WEEKDAY(サマリー!$B$14,2)+1+(45-1)*7</f>
        <v>46629</v>
      </c>
      <c r="C47" s="19">
        <f t="shared" si="4"/>
        <v>46635</v>
      </c>
      <c r="D47" s="16">
        <f>SUMIFS(受注ログ!$C$6:$C$100000,受注ログ!$B$6:$B$100000,"&gt;="&amp;B47,受注ログ!$B$6:$B$100000,"&lt;="&amp;C47)</f>
        <v>0</v>
      </c>
      <c r="E47" s="16">
        <f>SUMIFS(受注ログ!$D$6:$D$100000,受注ログ!$B$6:$B$100000,"&gt;="&amp;B47,受注ログ!$B$6:$B$100000,"&lt;="&amp;C47)</f>
        <v>0</v>
      </c>
      <c r="F47" s="16">
        <f t="shared" si="5"/>
        <v>0</v>
      </c>
      <c r="G47" s="16">
        <f>サマリー!$B$15</f>
        <v>500000</v>
      </c>
      <c r="H47" s="34">
        <f t="shared" si="6"/>
        <v>-500000</v>
      </c>
      <c r="I47" s="17">
        <f t="shared" si="7"/>
        <v>0</v>
      </c>
      <c r="J47" s="17">
        <f>IFERROR(D47/サマリー!$B$7,0)</f>
        <v>0</v>
      </c>
      <c r="K47" s="17">
        <f>IFERROR(E47/サマリー!$B$7,0)</f>
        <v>0</v>
      </c>
    </row>
    <row r="48" spans="1:11">
      <c r="A48" s="15">
        <v>46</v>
      </c>
      <c r="B48" s="19">
        <f>サマリー!$B$14-WEEKDAY(サマリー!$B$14,2)+1+(46-1)*7</f>
        <v>46636</v>
      </c>
      <c r="C48" s="19">
        <f t="shared" si="4"/>
        <v>46642</v>
      </c>
      <c r="D48" s="16">
        <f>SUMIFS(受注ログ!$C$6:$C$100000,受注ログ!$B$6:$B$100000,"&gt;="&amp;B48,受注ログ!$B$6:$B$100000,"&lt;="&amp;C48)</f>
        <v>0</v>
      </c>
      <c r="E48" s="16">
        <f>SUMIFS(受注ログ!$D$6:$D$100000,受注ログ!$B$6:$B$100000,"&gt;="&amp;B48,受注ログ!$B$6:$B$100000,"&lt;="&amp;C48)</f>
        <v>0</v>
      </c>
      <c r="F48" s="16">
        <f t="shared" si="5"/>
        <v>0</v>
      </c>
      <c r="G48" s="16">
        <f>サマリー!$B$15</f>
        <v>500000</v>
      </c>
      <c r="H48" s="34">
        <f t="shared" si="6"/>
        <v>-500000</v>
      </c>
      <c r="I48" s="17">
        <f t="shared" si="7"/>
        <v>0</v>
      </c>
      <c r="J48" s="17">
        <f>IFERROR(D48/サマリー!$B$7,0)</f>
        <v>0</v>
      </c>
      <c r="K48" s="17">
        <f>IFERROR(E48/サマリー!$B$7,0)</f>
        <v>0</v>
      </c>
    </row>
    <row r="49" spans="1:11">
      <c r="A49" s="15">
        <v>47</v>
      </c>
      <c r="B49" s="19">
        <f>サマリー!$B$14-WEEKDAY(サマリー!$B$14,2)+1+(47-1)*7</f>
        <v>46643</v>
      </c>
      <c r="C49" s="19">
        <f t="shared" si="4"/>
        <v>46649</v>
      </c>
      <c r="D49" s="16">
        <f>SUMIFS(受注ログ!$C$6:$C$100000,受注ログ!$B$6:$B$100000,"&gt;="&amp;B49,受注ログ!$B$6:$B$100000,"&lt;="&amp;C49)</f>
        <v>0</v>
      </c>
      <c r="E49" s="16">
        <f>SUMIFS(受注ログ!$D$6:$D$100000,受注ログ!$B$6:$B$100000,"&gt;="&amp;B49,受注ログ!$B$6:$B$100000,"&lt;="&amp;C49)</f>
        <v>0</v>
      </c>
      <c r="F49" s="16">
        <f t="shared" si="5"/>
        <v>0</v>
      </c>
      <c r="G49" s="16">
        <f>サマリー!$B$15</f>
        <v>500000</v>
      </c>
      <c r="H49" s="34">
        <f t="shared" si="6"/>
        <v>-500000</v>
      </c>
      <c r="I49" s="17">
        <f t="shared" si="7"/>
        <v>0</v>
      </c>
      <c r="J49" s="17">
        <f>IFERROR(D49/サマリー!$B$7,0)</f>
        <v>0</v>
      </c>
      <c r="K49" s="17">
        <f>IFERROR(E49/サマリー!$B$7,0)</f>
        <v>0</v>
      </c>
    </row>
    <row r="50" spans="1:11">
      <c r="A50" s="15">
        <v>48</v>
      </c>
      <c r="B50" s="19">
        <f>サマリー!$B$14-WEEKDAY(サマリー!$B$14,2)+1+(48-1)*7</f>
        <v>46650</v>
      </c>
      <c r="C50" s="19">
        <f t="shared" si="4"/>
        <v>46656</v>
      </c>
      <c r="D50" s="16">
        <f>SUMIFS(受注ログ!$C$6:$C$100000,受注ログ!$B$6:$B$100000,"&gt;="&amp;B50,受注ログ!$B$6:$B$100000,"&lt;="&amp;C50)</f>
        <v>0</v>
      </c>
      <c r="E50" s="16">
        <f>SUMIFS(受注ログ!$D$6:$D$100000,受注ログ!$B$6:$B$100000,"&gt;="&amp;B50,受注ログ!$B$6:$B$100000,"&lt;="&amp;C50)</f>
        <v>0</v>
      </c>
      <c r="F50" s="16">
        <f t="shared" si="5"/>
        <v>0</v>
      </c>
      <c r="G50" s="16">
        <f>サマリー!$B$15</f>
        <v>500000</v>
      </c>
      <c r="H50" s="34">
        <f t="shared" si="6"/>
        <v>-500000</v>
      </c>
      <c r="I50" s="17">
        <f t="shared" si="7"/>
        <v>0</v>
      </c>
      <c r="J50" s="17">
        <f>IFERROR(D50/サマリー!$B$7,0)</f>
        <v>0</v>
      </c>
      <c r="K50" s="17">
        <f>IFERROR(E50/サマリー!$B$7,0)</f>
        <v>0</v>
      </c>
    </row>
    <row r="51" spans="1:11">
      <c r="A51" s="15">
        <v>49</v>
      </c>
      <c r="B51" s="19">
        <f>サマリー!$B$14-WEEKDAY(サマリー!$B$14,2)+1+(49-1)*7</f>
        <v>46657</v>
      </c>
      <c r="C51" s="19">
        <f t="shared" si="4"/>
        <v>46663</v>
      </c>
      <c r="D51" s="16">
        <f>SUMIFS(受注ログ!$C$6:$C$100000,受注ログ!$B$6:$B$100000,"&gt;="&amp;B51,受注ログ!$B$6:$B$100000,"&lt;="&amp;C51)</f>
        <v>0</v>
      </c>
      <c r="E51" s="16">
        <f>SUMIFS(受注ログ!$D$6:$D$100000,受注ログ!$B$6:$B$100000,"&gt;="&amp;B51,受注ログ!$B$6:$B$100000,"&lt;="&amp;C51)</f>
        <v>0</v>
      </c>
      <c r="F51" s="16">
        <f t="shared" si="5"/>
        <v>0</v>
      </c>
      <c r="G51" s="16">
        <f>サマリー!$B$15</f>
        <v>500000</v>
      </c>
      <c r="H51" s="34">
        <f t="shared" si="6"/>
        <v>-500000</v>
      </c>
      <c r="I51" s="17">
        <f t="shared" si="7"/>
        <v>0</v>
      </c>
      <c r="J51" s="17">
        <f>IFERROR(D51/サマリー!$B$7,0)</f>
        <v>0</v>
      </c>
      <c r="K51" s="17">
        <f>IFERROR(E51/サマリー!$B$7,0)</f>
        <v>0</v>
      </c>
    </row>
    <row r="52" spans="1:11">
      <c r="A52" s="15">
        <v>50</v>
      </c>
      <c r="B52" s="19">
        <f>サマリー!$B$14-WEEKDAY(サマリー!$B$14,2)+1+(50-1)*7</f>
        <v>46664</v>
      </c>
      <c r="C52" s="19">
        <f t="shared" si="4"/>
        <v>46670</v>
      </c>
      <c r="D52" s="16">
        <f>SUMIFS(受注ログ!$C$6:$C$100000,受注ログ!$B$6:$B$100000,"&gt;="&amp;B52,受注ログ!$B$6:$B$100000,"&lt;="&amp;C52)</f>
        <v>0</v>
      </c>
      <c r="E52" s="16">
        <f>SUMIFS(受注ログ!$D$6:$D$100000,受注ログ!$B$6:$B$100000,"&gt;="&amp;B52,受注ログ!$B$6:$B$100000,"&lt;="&amp;C52)</f>
        <v>0</v>
      </c>
      <c r="F52" s="16">
        <f t="shared" si="5"/>
        <v>0</v>
      </c>
      <c r="G52" s="16">
        <f>サマリー!$B$15</f>
        <v>500000</v>
      </c>
      <c r="H52" s="34">
        <f t="shared" si="6"/>
        <v>-500000</v>
      </c>
      <c r="I52" s="17">
        <f t="shared" si="7"/>
        <v>0</v>
      </c>
      <c r="J52" s="17">
        <f>IFERROR(D52/サマリー!$B$7,0)</f>
        <v>0</v>
      </c>
      <c r="K52" s="17">
        <f>IFERROR(E52/サマリー!$B$7,0)</f>
        <v>0</v>
      </c>
    </row>
    <row r="53" spans="1:11">
      <c r="A53" s="15">
        <v>51</v>
      </c>
      <c r="B53" s="19">
        <f>サマリー!$B$14-WEEKDAY(サマリー!$B$14,2)+1+(51-1)*7</f>
        <v>46671</v>
      </c>
      <c r="C53" s="19">
        <f t="shared" si="4"/>
        <v>46677</v>
      </c>
      <c r="D53" s="16">
        <f>SUMIFS(受注ログ!$C$6:$C$100000,受注ログ!$B$6:$B$100000,"&gt;="&amp;B53,受注ログ!$B$6:$B$100000,"&lt;="&amp;C53)</f>
        <v>0</v>
      </c>
      <c r="E53" s="16">
        <f>SUMIFS(受注ログ!$D$6:$D$100000,受注ログ!$B$6:$B$100000,"&gt;="&amp;B53,受注ログ!$B$6:$B$100000,"&lt;="&amp;C53)</f>
        <v>0</v>
      </c>
      <c r="F53" s="16">
        <f t="shared" si="5"/>
        <v>0</v>
      </c>
      <c r="G53" s="16">
        <f>サマリー!$B$15</f>
        <v>500000</v>
      </c>
      <c r="H53" s="34">
        <f t="shared" si="6"/>
        <v>-500000</v>
      </c>
      <c r="I53" s="17">
        <f t="shared" si="7"/>
        <v>0</v>
      </c>
      <c r="J53" s="17">
        <f>IFERROR(D53/サマリー!$B$7,0)</f>
        <v>0</v>
      </c>
      <c r="K53" s="17">
        <f>IFERROR(E53/サマリー!$B$7,0)</f>
        <v>0</v>
      </c>
    </row>
    <row r="54" spans="1:11">
      <c r="A54" s="15">
        <v>52</v>
      </c>
      <c r="B54" s="19">
        <f>サマリー!$B$14-WEEKDAY(サマリー!$B$14,2)+1+(52-1)*7</f>
        <v>46678</v>
      </c>
      <c r="C54" s="19">
        <f t="shared" si="4"/>
        <v>46684</v>
      </c>
      <c r="D54" s="16">
        <f>SUMIFS(受注ログ!$C$6:$C$100000,受注ログ!$B$6:$B$100000,"&gt;="&amp;B54,受注ログ!$B$6:$B$100000,"&lt;="&amp;C54)</f>
        <v>0</v>
      </c>
      <c r="E54" s="16">
        <f>SUMIFS(受注ログ!$D$6:$D$100000,受注ログ!$B$6:$B$100000,"&gt;="&amp;B54,受注ログ!$B$6:$B$100000,"&lt;="&amp;C54)</f>
        <v>0</v>
      </c>
      <c r="F54" s="16">
        <f t="shared" si="5"/>
        <v>0</v>
      </c>
      <c r="G54" s="16">
        <f>サマリー!$B$15</f>
        <v>500000</v>
      </c>
      <c r="H54" s="34">
        <f t="shared" si="6"/>
        <v>-500000</v>
      </c>
      <c r="I54" s="17">
        <f t="shared" si="7"/>
        <v>0</v>
      </c>
      <c r="J54" s="17">
        <f>IFERROR(D54/サマリー!$B$7,0)</f>
        <v>0</v>
      </c>
      <c r="K54" s="17">
        <f>IFERROR(E54/サマリー!$B$7,0)</f>
        <v>0</v>
      </c>
    </row>
    <row r="55" spans="1:11">
      <c r="A55" s="15">
        <v>53</v>
      </c>
      <c r="B55" s="19">
        <f>サマリー!$B$14-WEEKDAY(サマリー!$B$14,2)+1+(53-1)*7</f>
        <v>46685</v>
      </c>
      <c r="C55" s="19">
        <f t="shared" si="4"/>
        <v>46691</v>
      </c>
      <c r="D55" s="16">
        <f>SUMIFS(受注ログ!$C$6:$C$100000,受注ログ!$B$6:$B$100000,"&gt;="&amp;B55,受注ログ!$B$6:$B$100000,"&lt;="&amp;C55)</f>
        <v>0</v>
      </c>
      <c r="E55" s="16">
        <f>SUMIFS(受注ログ!$D$6:$D$100000,受注ログ!$B$6:$B$100000,"&gt;="&amp;B55,受注ログ!$B$6:$B$100000,"&lt;="&amp;C55)</f>
        <v>0</v>
      </c>
      <c r="F55" s="16">
        <f t="shared" si="5"/>
        <v>0</v>
      </c>
      <c r="G55" s="16">
        <f>サマリー!$B$15</f>
        <v>500000</v>
      </c>
      <c r="H55" s="34">
        <f t="shared" si="6"/>
        <v>-500000</v>
      </c>
      <c r="I55" s="17">
        <f t="shared" si="7"/>
        <v>0</v>
      </c>
      <c r="J55" s="17">
        <f>IFERROR(D55/サマリー!$B$7,0)</f>
        <v>0</v>
      </c>
      <c r="K55" s="17">
        <f>IFERROR(E55/サマリー!$B$7,0)</f>
        <v>0</v>
      </c>
    </row>
    <row r="56" spans="1:11">
      <c r="A56" s="15">
        <v>54</v>
      </c>
      <c r="B56" s="19">
        <f>サマリー!$B$14-WEEKDAY(サマリー!$B$14,2)+1+(54-1)*7</f>
        <v>46692</v>
      </c>
      <c r="C56" s="19">
        <f t="shared" si="4"/>
        <v>46698</v>
      </c>
      <c r="D56" s="16">
        <f>SUMIFS(受注ログ!$C$6:$C$100000,受注ログ!$B$6:$B$100000,"&gt;="&amp;B56,受注ログ!$B$6:$B$100000,"&lt;="&amp;C56)</f>
        <v>0</v>
      </c>
      <c r="E56" s="16">
        <f>SUMIFS(受注ログ!$D$6:$D$100000,受注ログ!$B$6:$B$100000,"&gt;="&amp;B56,受注ログ!$B$6:$B$100000,"&lt;="&amp;C56)</f>
        <v>0</v>
      </c>
      <c r="F56" s="16">
        <f t="shared" si="5"/>
        <v>0</v>
      </c>
      <c r="G56" s="16">
        <f>サマリー!$B$15</f>
        <v>500000</v>
      </c>
      <c r="H56" s="34">
        <f t="shared" si="6"/>
        <v>-500000</v>
      </c>
      <c r="I56" s="17">
        <f t="shared" si="7"/>
        <v>0</v>
      </c>
      <c r="J56" s="17">
        <f>IFERROR(D56/サマリー!$B$7,0)</f>
        <v>0</v>
      </c>
      <c r="K56" s="17">
        <f>IFERROR(E56/サマリー!$B$7,0)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showGridLines="0" zoomScaleNormal="100" workbookViewId="0"/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9" t="s">
        <v>94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25.5" customHeight="1">
      <c r="A2" s="14" t="s">
        <v>95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96</v>
      </c>
      <c r="H2" s="14" t="s">
        <v>91</v>
      </c>
      <c r="I2" s="14" t="s">
        <v>24</v>
      </c>
      <c r="J2" s="14" t="s">
        <v>92</v>
      </c>
      <c r="K2" s="14" t="s">
        <v>93</v>
      </c>
    </row>
    <row r="3" spans="1:11">
      <c r="A3" s="15">
        <v>1</v>
      </c>
      <c r="B3" s="19">
        <f>EDATE(サマリー!$B$14,1-1)</f>
        <v>46327</v>
      </c>
      <c r="C3" s="19">
        <f t="shared" ref="C3:C15" si="0">EOMONTH(B3,0)</f>
        <v>46356</v>
      </c>
      <c r="D3" s="16">
        <f>SUMIFS(受注ログ!$C$6:$C$100000,受注ログ!$B$6:$B$100000,"&gt;="&amp;B3,受注ログ!$B$6:$B$100000,"&lt;="&amp;C3)</f>
        <v>0</v>
      </c>
      <c r="E3" s="16">
        <f>SUMIFS(受注ログ!$D$6:$D$100000,受注ログ!$B$6:$B$100000,"&gt;="&amp;B3,受注ログ!$B$6:$B$100000,"&lt;="&amp;C3)</f>
        <v>0</v>
      </c>
      <c r="F3" s="16">
        <f t="shared" ref="F3:F15" si="1">D3+E3</f>
        <v>0</v>
      </c>
      <c r="G3" s="16">
        <f>サマリー!$B$16</f>
        <v>2000000</v>
      </c>
      <c r="H3" s="34">
        <f t="shared" ref="H3:H15" si="2">F3-G3</f>
        <v>-2000000</v>
      </c>
      <c r="I3" s="17">
        <f t="shared" ref="I3:I15" si="3">IFERROR(F3/G3,0)</f>
        <v>0</v>
      </c>
      <c r="J3" s="17">
        <f>IFERROR(D3/サマリー!$B$8,0)</f>
        <v>0</v>
      </c>
      <c r="K3" s="17">
        <f>IFERROR(E3/サマリー!$B$8,0)</f>
        <v>0</v>
      </c>
    </row>
    <row r="4" spans="1:11">
      <c r="A4" s="15">
        <v>2</v>
      </c>
      <c r="B4" s="19">
        <f>EDATE(サマリー!$B$14,2-1)</f>
        <v>46357</v>
      </c>
      <c r="C4" s="19">
        <f t="shared" si="0"/>
        <v>46387</v>
      </c>
      <c r="D4" s="16">
        <f>SUMIFS(受注ログ!$C$6:$C$100000,受注ログ!$B$6:$B$100000,"&gt;="&amp;B4,受注ログ!$B$6:$B$100000,"&lt;="&amp;C4)</f>
        <v>0</v>
      </c>
      <c r="E4" s="16">
        <f>SUMIFS(受注ログ!$D$6:$D$100000,受注ログ!$B$6:$B$100000,"&gt;="&amp;B4,受注ログ!$B$6:$B$100000,"&lt;="&amp;C4)</f>
        <v>0</v>
      </c>
      <c r="F4" s="16">
        <f t="shared" si="1"/>
        <v>0</v>
      </c>
      <c r="G4" s="16">
        <f>サマリー!$B$16</f>
        <v>2000000</v>
      </c>
      <c r="H4" s="34">
        <f t="shared" si="2"/>
        <v>-2000000</v>
      </c>
      <c r="I4" s="17">
        <f t="shared" si="3"/>
        <v>0</v>
      </c>
      <c r="J4" s="17">
        <f>IFERROR(D4/サマリー!$B$8,0)</f>
        <v>0</v>
      </c>
      <c r="K4" s="17">
        <f>IFERROR(E4/サマリー!$B$8,0)</f>
        <v>0</v>
      </c>
    </row>
    <row r="5" spans="1:11">
      <c r="A5" s="15">
        <v>3</v>
      </c>
      <c r="B5" s="19">
        <f>EDATE(サマリー!$B$14,3-1)</f>
        <v>46388</v>
      </c>
      <c r="C5" s="19">
        <f t="shared" si="0"/>
        <v>46418</v>
      </c>
      <c r="D5" s="16">
        <f>SUMIFS(受注ログ!$C$6:$C$100000,受注ログ!$B$6:$B$100000,"&gt;="&amp;B5,受注ログ!$B$6:$B$100000,"&lt;="&amp;C5)</f>
        <v>0</v>
      </c>
      <c r="E5" s="16">
        <f>SUMIFS(受注ログ!$D$6:$D$100000,受注ログ!$B$6:$B$100000,"&gt;="&amp;B5,受注ログ!$B$6:$B$100000,"&lt;="&amp;C5)</f>
        <v>0</v>
      </c>
      <c r="F5" s="16">
        <f t="shared" si="1"/>
        <v>0</v>
      </c>
      <c r="G5" s="16">
        <f>サマリー!$B$16</f>
        <v>2000000</v>
      </c>
      <c r="H5" s="34">
        <f t="shared" si="2"/>
        <v>-2000000</v>
      </c>
      <c r="I5" s="17">
        <f t="shared" si="3"/>
        <v>0</v>
      </c>
      <c r="J5" s="17">
        <f>IFERROR(D5/サマリー!$B$8,0)</f>
        <v>0</v>
      </c>
      <c r="K5" s="17">
        <f>IFERROR(E5/サマリー!$B$8,0)</f>
        <v>0</v>
      </c>
    </row>
    <row r="6" spans="1:11">
      <c r="A6" s="15">
        <v>4</v>
      </c>
      <c r="B6" s="19">
        <f>EDATE(サマリー!$B$14,4-1)</f>
        <v>46419</v>
      </c>
      <c r="C6" s="19">
        <f t="shared" si="0"/>
        <v>46446</v>
      </c>
      <c r="D6" s="16">
        <f>SUMIFS(受注ログ!$C$6:$C$100000,受注ログ!$B$6:$B$100000,"&gt;="&amp;B6,受注ログ!$B$6:$B$100000,"&lt;="&amp;C6)</f>
        <v>0</v>
      </c>
      <c r="E6" s="16">
        <f>SUMIFS(受注ログ!$D$6:$D$100000,受注ログ!$B$6:$B$100000,"&gt;="&amp;B6,受注ログ!$B$6:$B$100000,"&lt;="&amp;C6)</f>
        <v>0</v>
      </c>
      <c r="F6" s="16">
        <f t="shared" si="1"/>
        <v>0</v>
      </c>
      <c r="G6" s="16">
        <f>サマリー!$B$16</f>
        <v>2000000</v>
      </c>
      <c r="H6" s="34">
        <f t="shared" si="2"/>
        <v>-2000000</v>
      </c>
      <c r="I6" s="17">
        <f t="shared" si="3"/>
        <v>0</v>
      </c>
      <c r="J6" s="17">
        <f>IFERROR(D6/サマリー!$B$8,0)</f>
        <v>0</v>
      </c>
      <c r="K6" s="17">
        <f>IFERROR(E6/サマリー!$B$8,0)</f>
        <v>0</v>
      </c>
    </row>
    <row r="7" spans="1:11">
      <c r="A7" s="15">
        <v>5</v>
      </c>
      <c r="B7" s="19">
        <f>EDATE(サマリー!$B$14,5-1)</f>
        <v>46447</v>
      </c>
      <c r="C7" s="19">
        <f t="shared" si="0"/>
        <v>46477</v>
      </c>
      <c r="D7" s="16">
        <f>SUMIFS(受注ログ!$C$6:$C$100000,受注ログ!$B$6:$B$100000,"&gt;="&amp;B7,受注ログ!$B$6:$B$100000,"&lt;="&amp;C7)</f>
        <v>0</v>
      </c>
      <c r="E7" s="16">
        <f>SUMIFS(受注ログ!$D$6:$D$100000,受注ログ!$B$6:$B$100000,"&gt;="&amp;B7,受注ログ!$B$6:$B$100000,"&lt;="&amp;C7)</f>
        <v>0</v>
      </c>
      <c r="F7" s="16">
        <f t="shared" si="1"/>
        <v>0</v>
      </c>
      <c r="G7" s="16">
        <f>サマリー!$B$16</f>
        <v>2000000</v>
      </c>
      <c r="H7" s="34">
        <f t="shared" si="2"/>
        <v>-2000000</v>
      </c>
      <c r="I7" s="17">
        <f t="shared" si="3"/>
        <v>0</v>
      </c>
      <c r="J7" s="17">
        <f>IFERROR(D7/サマリー!$B$8,0)</f>
        <v>0</v>
      </c>
      <c r="K7" s="17">
        <f>IFERROR(E7/サマリー!$B$8,0)</f>
        <v>0</v>
      </c>
    </row>
    <row r="8" spans="1:11">
      <c r="A8" s="15">
        <v>6</v>
      </c>
      <c r="B8" s="19">
        <f>EDATE(サマリー!$B$14,6-1)</f>
        <v>46478</v>
      </c>
      <c r="C8" s="19">
        <f t="shared" si="0"/>
        <v>46507</v>
      </c>
      <c r="D8" s="16">
        <f>SUMIFS(受注ログ!$C$6:$C$100000,受注ログ!$B$6:$B$100000,"&gt;="&amp;B8,受注ログ!$B$6:$B$100000,"&lt;="&amp;C8)</f>
        <v>0</v>
      </c>
      <c r="E8" s="16">
        <f>SUMIFS(受注ログ!$D$6:$D$100000,受注ログ!$B$6:$B$100000,"&gt;="&amp;B8,受注ログ!$B$6:$B$100000,"&lt;="&amp;C8)</f>
        <v>0</v>
      </c>
      <c r="F8" s="16">
        <f t="shared" si="1"/>
        <v>0</v>
      </c>
      <c r="G8" s="16">
        <f>サマリー!$B$16</f>
        <v>2000000</v>
      </c>
      <c r="H8" s="34">
        <f t="shared" si="2"/>
        <v>-2000000</v>
      </c>
      <c r="I8" s="17">
        <f t="shared" si="3"/>
        <v>0</v>
      </c>
      <c r="J8" s="17">
        <f>IFERROR(D8/サマリー!$B$8,0)</f>
        <v>0</v>
      </c>
      <c r="K8" s="17">
        <f>IFERROR(E8/サマリー!$B$8,0)</f>
        <v>0</v>
      </c>
    </row>
    <row r="9" spans="1:11">
      <c r="A9" s="15">
        <v>7</v>
      </c>
      <c r="B9" s="19">
        <f>EDATE(サマリー!$B$14,7-1)</f>
        <v>46508</v>
      </c>
      <c r="C9" s="19">
        <f t="shared" si="0"/>
        <v>46538</v>
      </c>
      <c r="D9" s="16">
        <f>SUMIFS(受注ログ!$C$6:$C$100000,受注ログ!$B$6:$B$100000,"&gt;="&amp;B9,受注ログ!$B$6:$B$100000,"&lt;="&amp;C9)</f>
        <v>0</v>
      </c>
      <c r="E9" s="16">
        <f>SUMIFS(受注ログ!$D$6:$D$100000,受注ログ!$B$6:$B$100000,"&gt;="&amp;B9,受注ログ!$B$6:$B$100000,"&lt;="&amp;C9)</f>
        <v>0</v>
      </c>
      <c r="F9" s="16">
        <f t="shared" si="1"/>
        <v>0</v>
      </c>
      <c r="G9" s="16">
        <f>サマリー!$B$16</f>
        <v>2000000</v>
      </c>
      <c r="H9" s="34">
        <f t="shared" si="2"/>
        <v>-2000000</v>
      </c>
      <c r="I9" s="17">
        <f t="shared" si="3"/>
        <v>0</v>
      </c>
      <c r="J9" s="17">
        <f>IFERROR(D9/サマリー!$B$8,0)</f>
        <v>0</v>
      </c>
      <c r="K9" s="17">
        <f>IFERROR(E9/サマリー!$B$8,0)</f>
        <v>0</v>
      </c>
    </row>
    <row r="10" spans="1:11">
      <c r="A10" s="15">
        <v>8</v>
      </c>
      <c r="B10" s="19">
        <f>EDATE(サマリー!$B$14,8-1)</f>
        <v>46539</v>
      </c>
      <c r="C10" s="19">
        <f t="shared" si="0"/>
        <v>46568</v>
      </c>
      <c r="D10" s="16">
        <f>SUMIFS(受注ログ!$C$6:$C$100000,受注ログ!$B$6:$B$100000,"&gt;="&amp;B10,受注ログ!$B$6:$B$100000,"&lt;="&amp;C10)</f>
        <v>0</v>
      </c>
      <c r="E10" s="16">
        <f>SUMIFS(受注ログ!$D$6:$D$100000,受注ログ!$B$6:$B$100000,"&gt;="&amp;B10,受注ログ!$B$6:$B$100000,"&lt;="&amp;C10)</f>
        <v>0</v>
      </c>
      <c r="F10" s="16">
        <f t="shared" si="1"/>
        <v>0</v>
      </c>
      <c r="G10" s="16">
        <f>サマリー!$B$16</f>
        <v>2000000</v>
      </c>
      <c r="H10" s="34">
        <f t="shared" si="2"/>
        <v>-2000000</v>
      </c>
      <c r="I10" s="17">
        <f t="shared" si="3"/>
        <v>0</v>
      </c>
      <c r="J10" s="17">
        <f>IFERROR(D10/サマリー!$B$8,0)</f>
        <v>0</v>
      </c>
      <c r="K10" s="17">
        <f>IFERROR(E10/サマリー!$B$8,0)</f>
        <v>0</v>
      </c>
    </row>
    <row r="11" spans="1:11">
      <c r="A11" s="15">
        <v>9</v>
      </c>
      <c r="B11" s="19">
        <f>EDATE(サマリー!$B$14,9-1)</f>
        <v>46569</v>
      </c>
      <c r="C11" s="19">
        <f t="shared" si="0"/>
        <v>46599</v>
      </c>
      <c r="D11" s="16">
        <f>SUMIFS(受注ログ!$C$6:$C$100000,受注ログ!$B$6:$B$100000,"&gt;="&amp;B11,受注ログ!$B$6:$B$100000,"&lt;="&amp;C11)</f>
        <v>0</v>
      </c>
      <c r="E11" s="16">
        <f>SUMIFS(受注ログ!$D$6:$D$100000,受注ログ!$B$6:$B$100000,"&gt;="&amp;B11,受注ログ!$B$6:$B$100000,"&lt;="&amp;C11)</f>
        <v>0</v>
      </c>
      <c r="F11" s="16">
        <f t="shared" si="1"/>
        <v>0</v>
      </c>
      <c r="G11" s="16">
        <f>サマリー!$B$16</f>
        <v>2000000</v>
      </c>
      <c r="H11" s="34">
        <f t="shared" si="2"/>
        <v>-2000000</v>
      </c>
      <c r="I11" s="17">
        <f t="shared" si="3"/>
        <v>0</v>
      </c>
      <c r="J11" s="17">
        <f>IFERROR(D11/サマリー!$B$8,0)</f>
        <v>0</v>
      </c>
      <c r="K11" s="17">
        <f>IFERROR(E11/サマリー!$B$8,0)</f>
        <v>0</v>
      </c>
    </row>
    <row r="12" spans="1:11">
      <c r="A12" s="15">
        <v>10</v>
      </c>
      <c r="B12" s="19">
        <f>EDATE(サマリー!$B$14,10-1)</f>
        <v>46600</v>
      </c>
      <c r="C12" s="19">
        <f t="shared" si="0"/>
        <v>46630</v>
      </c>
      <c r="D12" s="16">
        <f>SUMIFS(受注ログ!$C$6:$C$100000,受注ログ!$B$6:$B$100000,"&gt;="&amp;B12,受注ログ!$B$6:$B$100000,"&lt;="&amp;C12)</f>
        <v>0</v>
      </c>
      <c r="E12" s="16">
        <f>SUMIFS(受注ログ!$D$6:$D$100000,受注ログ!$B$6:$B$100000,"&gt;="&amp;B12,受注ログ!$B$6:$B$100000,"&lt;="&amp;C12)</f>
        <v>0</v>
      </c>
      <c r="F12" s="16">
        <f t="shared" si="1"/>
        <v>0</v>
      </c>
      <c r="G12" s="16">
        <f>サマリー!$B$16</f>
        <v>2000000</v>
      </c>
      <c r="H12" s="34">
        <f t="shared" si="2"/>
        <v>-2000000</v>
      </c>
      <c r="I12" s="17">
        <f t="shared" si="3"/>
        <v>0</v>
      </c>
      <c r="J12" s="17">
        <f>IFERROR(D12/サマリー!$B$8,0)</f>
        <v>0</v>
      </c>
      <c r="K12" s="17">
        <f>IFERROR(E12/サマリー!$B$8,0)</f>
        <v>0</v>
      </c>
    </row>
    <row r="13" spans="1:11">
      <c r="A13" s="15">
        <v>11</v>
      </c>
      <c r="B13" s="19">
        <f>EDATE(サマリー!$B$14,11-1)</f>
        <v>46631</v>
      </c>
      <c r="C13" s="19">
        <f t="shared" si="0"/>
        <v>46660</v>
      </c>
      <c r="D13" s="16">
        <f>SUMIFS(受注ログ!$C$6:$C$100000,受注ログ!$B$6:$B$100000,"&gt;="&amp;B13,受注ログ!$B$6:$B$100000,"&lt;="&amp;C13)</f>
        <v>0</v>
      </c>
      <c r="E13" s="16">
        <f>SUMIFS(受注ログ!$D$6:$D$100000,受注ログ!$B$6:$B$100000,"&gt;="&amp;B13,受注ログ!$B$6:$B$100000,"&lt;="&amp;C13)</f>
        <v>0</v>
      </c>
      <c r="F13" s="16">
        <f t="shared" si="1"/>
        <v>0</v>
      </c>
      <c r="G13" s="16">
        <f>サマリー!$B$16</f>
        <v>2000000</v>
      </c>
      <c r="H13" s="34">
        <f t="shared" si="2"/>
        <v>-2000000</v>
      </c>
      <c r="I13" s="17">
        <f t="shared" si="3"/>
        <v>0</v>
      </c>
      <c r="J13" s="17">
        <f>IFERROR(D13/サマリー!$B$8,0)</f>
        <v>0</v>
      </c>
      <c r="K13" s="17">
        <f>IFERROR(E13/サマリー!$B$8,0)</f>
        <v>0</v>
      </c>
    </row>
    <row r="14" spans="1:11">
      <c r="A14" s="15">
        <v>12</v>
      </c>
      <c r="B14" s="19">
        <f>EDATE(サマリー!$B$14,12-1)</f>
        <v>46661</v>
      </c>
      <c r="C14" s="19">
        <f t="shared" si="0"/>
        <v>46691</v>
      </c>
      <c r="D14" s="16">
        <f>SUMIFS(受注ログ!$C$6:$C$100000,受注ログ!$B$6:$B$100000,"&gt;="&amp;B14,受注ログ!$B$6:$B$100000,"&lt;="&amp;C14)</f>
        <v>0</v>
      </c>
      <c r="E14" s="16">
        <f>SUMIFS(受注ログ!$D$6:$D$100000,受注ログ!$B$6:$B$100000,"&gt;="&amp;B14,受注ログ!$B$6:$B$100000,"&lt;="&amp;C14)</f>
        <v>0</v>
      </c>
      <c r="F14" s="16">
        <f t="shared" si="1"/>
        <v>0</v>
      </c>
      <c r="G14" s="16">
        <f>サマリー!$B$16</f>
        <v>2000000</v>
      </c>
      <c r="H14" s="34">
        <f t="shared" si="2"/>
        <v>-2000000</v>
      </c>
      <c r="I14" s="17">
        <f t="shared" si="3"/>
        <v>0</v>
      </c>
      <c r="J14" s="17">
        <f>IFERROR(D14/サマリー!$B$8,0)</f>
        <v>0</v>
      </c>
      <c r="K14" s="17">
        <f>IFERROR(E14/サマリー!$B$8,0)</f>
        <v>0</v>
      </c>
    </row>
    <row r="15" spans="1:11">
      <c r="A15" s="15">
        <v>13</v>
      </c>
      <c r="B15" s="19">
        <f>EDATE(サマリー!$B$14,13-1)</f>
        <v>46692</v>
      </c>
      <c r="C15" s="19">
        <f t="shared" si="0"/>
        <v>46721</v>
      </c>
      <c r="D15" s="16">
        <f>SUMIFS(受注ログ!$C$6:$C$100000,受注ログ!$B$6:$B$100000,"&gt;="&amp;B15,受注ログ!$B$6:$B$100000,"&lt;="&amp;C15)</f>
        <v>0</v>
      </c>
      <c r="E15" s="16">
        <f>SUMIFS(受注ログ!$D$6:$D$100000,受注ログ!$B$6:$B$100000,"&gt;="&amp;B15,受注ログ!$B$6:$B$100000,"&lt;="&amp;C15)</f>
        <v>0</v>
      </c>
      <c r="F15" s="16">
        <f t="shared" si="1"/>
        <v>0</v>
      </c>
      <c r="G15" s="16">
        <f>サマリー!$B$16</f>
        <v>2000000</v>
      </c>
      <c r="H15" s="34">
        <f t="shared" si="2"/>
        <v>-2000000</v>
      </c>
      <c r="I15" s="17">
        <f t="shared" si="3"/>
        <v>0</v>
      </c>
      <c r="J15" s="17">
        <f>IFERROR(D15/サマリー!$B$8,0)</f>
        <v>0</v>
      </c>
      <c r="K15" s="17">
        <f>IFERROR(E15/サマリー!$B$8,0)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showGridLines="0" zoomScaleNormal="100" workbookViewId="0"/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9" t="s">
        <v>97</v>
      </c>
      <c r="B1" s="39"/>
      <c r="C1" s="39"/>
      <c r="D1" s="39"/>
      <c r="E1" s="39"/>
      <c r="F1" s="39"/>
      <c r="G1" s="39"/>
      <c r="H1" s="39"/>
      <c r="I1" s="39"/>
    </row>
    <row r="2" spans="1:9" ht="25.5" customHeight="1">
      <c r="A2" s="14" t="s">
        <v>98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99</v>
      </c>
      <c r="H2" s="14" t="s">
        <v>91</v>
      </c>
      <c r="I2" s="14" t="s">
        <v>24</v>
      </c>
    </row>
    <row r="3" spans="1:9">
      <c r="A3" s="35" t="s">
        <v>100</v>
      </c>
      <c r="B3" s="19">
        <f>サマリー!$B$14</f>
        <v>46327</v>
      </c>
      <c r="C3" s="19">
        <f>EOMONTH(サマリー!$B$14,5)</f>
        <v>46507</v>
      </c>
      <c r="D3" s="16">
        <f>SUMIFS(受注ログ!$C$6:$C$100000,受注ログ!$B$6:$B$100000,"&gt;="&amp;B3,受注ログ!$B$6:$B$100000,"&lt;="&amp;C3)</f>
        <v>0</v>
      </c>
      <c r="E3" s="16">
        <f>SUMIFS(受注ログ!$D$6:$D$100000,受注ログ!$B$6:$B$100000,"&gt;="&amp;B3,受注ログ!$B$6:$B$100000,"&lt;="&amp;C3)</f>
        <v>0</v>
      </c>
      <c r="F3" s="16">
        <f>D3+E3</f>
        <v>0</v>
      </c>
      <c r="G3" s="16">
        <f>サマリー!$B$17</f>
        <v>12000000</v>
      </c>
      <c r="H3" s="34">
        <f>F3-G3</f>
        <v>-12000000</v>
      </c>
      <c r="I3" s="17">
        <f>IFERROR(F3/G3,0)</f>
        <v>0</v>
      </c>
    </row>
    <row r="4" spans="1:9">
      <c r="A4" s="35" t="s">
        <v>101</v>
      </c>
      <c r="B4" s="19">
        <f>EDATE(サマリー!$B$14,6)</f>
        <v>46508</v>
      </c>
      <c r="C4" s="19">
        <f>EOMONTH(サマリー!$B$14,11)</f>
        <v>46691</v>
      </c>
      <c r="D4" s="16">
        <f>SUMIFS(受注ログ!$C$6:$C$100000,受注ログ!$B$6:$B$100000,"&gt;="&amp;B4,受注ログ!$B$6:$B$100000,"&lt;="&amp;C4)</f>
        <v>0</v>
      </c>
      <c r="E4" s="16">
        <f>SUMIFS(受注ログ!$D$6:$D$100000,受注ログ!$B$6:$B$100000,"&gt;="&amp;B4,受注ログ!$B$6:$B$100000,"&lt;="&amp;C4)</f>
        <v>0</v>
      </c>
      <c r="F4" s="16">
        <f>D4+E4</f>
        <v>0</v>
      </c>
      <c r="G4" s="16">
        <f>サマリー!$B$17</f>
        <v>12000000</v>
      </c>
      <c r="H4" s="34">
        <f>F4-G4</f>
        <v>-12000000</v>
      </c>
      <c r="I4" s="17">
        <f>IFERROR(F4/G4,0)</f>
        <v>0</v>
      </c>
    </row>
    <row r="5" spans="1:9">
      <c r="A5" s="35" t="s">
        <v>102</v>
      </c>
      <c r="B5" s="19">
        <f>サマリー!$B$14</f>
        <v>46327</v>
      </c>
      <c r="C5" s="19">
        <f>EOMONTH(サマリー!$B$14,11)</f>
        <v>46691</v>
      </c>
      <c r="D5" s="16">
        <f>SUMIFS(受注ログ!$C$6:$C$100000,受注ログ!$B$6:$B$100000,"&gt;="&amp;B5,受注ログ!$B$6:$B$100000,"&lt;="&amp;C5)</f>
        <v>0</v>
      </c>
      <c r="E5" s="16">
        <f>SUMIFS(受注ログ!$D$6:$D$100000,受注ログ!$B$6:$B$100000,"&gt;="&amp;B5,受注ログ!$B$6:$B$100000,"&lt;="&amp;C5)</f>
        <v>0</v>
      </c>
      <c r="F5" s="16">
        <f>D5+E5</f>
        <v>0</v>
      </c>
      <c r="G5" s="16">
        <f>サマリー!$B$18</f>
        <v>24000000</v>
      </c>
      <c r="H5" s="34">
        <f>F5-G5</f>
        <v>-24000000</v>
      </c>
      <c r="I5" s="17">
        <f>IFERROR(F5/G5,0)</f>
        <v>0</v>
      </c>
    </row>
  </sheetData>
  <mergeCells count="1">
    <mergeCell ref="A1:I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zoomScaleNormal="100" workbookViewId="0"/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39" t="str">
        <f>"店舗別 売上状況（"&amp;サマリー!B13&amp;"）"</f>
        <v>店舗別 売上状況（39期 夏期）</v>
      </c>
      <c r="B1" s="39"/>
      <c r="C1" s="39"/>
    </row>
    <row r="2" spans="1:3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103</v>
      </c>
      <c r="B4" s="44"/>
      <c r="C4" s="44"/>
    </row>
    <row r="5" spans="1:3" ht="24" customHeight="1">
      <c r="A5" s="14" t="s">
        <v>104</v>
      </c>
      <c r="B5" s="14" t="s">
        <v>105</v>
      </c>
      <c r="C5" s="14" t="s">
        <v>106</v>
      </c>
    </row>
    <row r="6" spans="1:3" ht="25.5" customHeight="1">
      <c r="A6" s="36" t="s">
        <v>53</v>
      </c>
      <c r="B6" s="37">
        <f ca="1">SUMIFS(受注ログ!$M$6:$M$100000,受注ログ!$B$6:$B$100000,"&gt;="&amp;INDEX(週次集計!$B$3:$B$56,サマリー!$B$20),受注ログ!$B$6:$B$100000,"&lt;="&amp;INDEX(週次集計!$C$3:$C$56,サマリー!$B$20))</f>
        <v>0</v>
      </c>
      <c r="C6" s="37">
        <f ca="1">サマリー!D55</f>
        <v>0</v>
      </c>
    </row>
    <row r="7" spans="1:3" ht="25.5" customHeight="1">
      <c r="A7" s="36" t="s">
        <v>54</v>
      </c>
      <c r="B7" s="37">
        <f ca="1">SUMIFS(受注ログ!$N$6:$N$100000,受注ログ!$B$6:$B$100000,"&gt;="&amp;INDEX(週次集計!$B$3:$B$56,サマリー!$B$20),受注ログ!$B$6:$B$100000,"&lt;="&amp;INDEX(週次集計!$C$3:$C$56,サマリー!$B$20))</f>
        <v>0</v>
      </c>
      <c r="C7" s="37">
        <f ca="1">サマリー!D56</f>
        <v>0</v>
      </c>
    </row>
    <row r="8" spans="1:3" ht="25.5" customHeight="1">
      <c r="A8" s="36" t="s">
        <v>55</v>
      </c>
      <c r="B8" s="37">
        <f ca="1">SUMIFS(受注ログ!$O$6:$O$100000,受注ログ!$B$6:$B$100000,"&gt;="&amp;INDEX(週次集計!$B$3:$B$56,サマリー!$B$20),受注ログ!$B$6:$B$100000,"&lt;="&amp;INDEX(週次集計!$C$3:$C$56,サマリー!$B$20))</f>
        <v>0</v>
      </c>
      <c r="C8" s="37">
        <f ca="1">サマリー!D57</f>
        <v>0</v>
      </c>
    </row>
    <row r="9" spans="1:3" ht="25.5" customHeight="1">
      <c r="A9" s="36" t="s">
        <v>56</v>
      </c>
      <c r="B9" s="37">
        <f ca="1">SUMIFS(受注ログ!$W$6:$W$100000,受注ログ!$B$6:$B$100000,"&gt;="&amp;INDEX(週次集計!$B$3:$B$56,サマリー!$B$20),受注ログ!$B$6:$B$100000,"&lt;="&amp;INDEX(週次集計!$C$3:$C$56,サマリー!$B$20))</f>
        <v>0</v>
      </c>
      <c r="C9" s="37">
        <f ca="1">サマリー!D58</f>
        <v>0</v>
      </c>
    </row>
    <row r="11" spans="1:3">
      <c r="A11" s="40" t="s">
        <v>107</v>
      </c>
      <c r="B11" s="40"/>
      <c r="C11" s="40"/>
    </row>
    <row r="12" spans="1:3">
      <c r="A12" s="40" t="s">
        <v>108</v>
      </c>
      <c r="B12" s="40"/>
      <c r="C12" s="40"/>
    </row>
  </sheetData>
  <mergeCells count="5">
    <mergeCell ref="A1:C1"/>
    <mergeCell ref="A2:C2"/>
    <mergeCell ref="A4:C4"/>
    <mergeCell ref="A11:C11"/>
    <mergeCell ref="A12:C12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2026-10-25T02:42:48Z</dcterms:created>
  <dcterms:modified xsi:type="dcterms:W3CDTF">2026-10-25T02:55:09Z</dcterms:modified>
  <dc:language>en-US</dc:language>
</cp:coreProperties>
</file>