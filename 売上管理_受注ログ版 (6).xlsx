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AI\uriage-kanri\"/>
    </mc:Choice>
  </mc:AlternateContent>
  <xr:revisionPtr revIDLastSave="0" documentId="13_ncr:1_{D26DD1C2-34A6-4051-999A-2068B24F8231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サマリー" sheetId="1" r:id="rId1"/>
    <sheet name="受注ログ" sheetId="2" r:id="rId2"/>
    <sheet name="週次集計" sheetId="3" r:id="rId3"/>
    <sheet name="月次集計" sheetId="4" r:id="rId4"/>
    <sheet name="半期年間集計" sheetId="5" r:id="rId5"/>
    <sheet name="印刷用" sheetId="6" r:id="rId6"/>
  </sheets>
  <externalReferences>
    <externalReference r:id="rId7"/>
  </externalReferences>
  <definedNames>
    <definedName name="_xlnm.Print_Area" localSheetId="5">印刷用!$A$1:$C$14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58" i="2" l="1"/>
  <c r="C458" i="2"/>
  <c r="E458" i="2" s="1"/>
  <c r="D457" i="2"/>
  <c r="C457" i="2"/>
  <c r="E457" i="2" s="1"/>
  <c r="D456" i="2"/>
  <c r="C456" i="2"/>
  <c r="E456" i="2" s="1"/>
  <c r="D455" i="2"/>
  <c r="C455" i="2"/>
  <c r="E455" i="2" s="1"/>
  <c r="D454" i="2"/>
  <c r="C454" i="2"/>
  <c r="E454" i="2" s="1"/>
  <c r="D453" i="2"/>
  <c r="C453" i="2"/>
  <c r="E453" i="2" s="1"/>
  <c r="D452" i="2"/>
  <c r="C452" i="2"/>
  <c r="E452" i="2" s="1"/>
  <c r="D451" i="2"/>
  <c r="C451" i="2"/>
  <c r="E451" i="2" s="1"/>
  <c r="D450" i="2"/>
  <c r="C450" i="2"/>
  <c r="E450" i="2" s="1"/>
  <c r="D449" i="2"/>
  <c r="C449" i="2"/>
  <c r="E449" i="2" s="1"/>
  <c r="D448" i="2"/>
  <c r="C448" i="2"/>
  <c r="E448" i="2" s="1"/>
  <c r="D447" i="2"/>
  <c r="C447" i="2"/>
  <c r="E447" i="2" s="1"/>
  <c r="D446" i="2"/>
  <c r="C446" i="2"/>
  <c r="E446" i="2" s="1"/>
  <c r="D445" i="2"/>
  <c r="C445" i="2"/>
  <c r="E445" i="2" s="1"/>
  <c r="D444" i="2"/>
  <c r="C444" i="2"/>
  <c r="E444" i="2" s="1"/>
  <c r="D443" i="2"/>
  <c r="C443" i="2"/>
  <c r="E443" i="2" s="1"/>
  <c r="D442" i="2"/>
  <c r="C442" i="2"/>
  <c r="E442" i="2" s="1"/>
  <c r="B442" i="2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D441" i="2"/>
  <c r="C441" i="2"/>
  <c r="E441" i="2" s="1"/>
  <c r="B441" i="2"/>
  <c r="D1384" i="2"/>
  <c r="C1384" i="2"/>
  <c r="E1384" i="2" s="1"/>
  <c r="D1383" i="2"/>
  <c r="C1383" i="2"/>
  <c r="E1383" i="2" s="1"/>
  <c r="D1382" i="2"/>
  <c r="C1382" i="2"/>
  <c r="E1382" i="2" s="1"/>
  <c r="D1381" i="2"/>
  <c r="C1381" i="2"/>
  <c r="E1381" i="2" s="1"/>
  <c r="D1380" i="2"/>
  <c r="C1380" i="2"/>
  <c r="E1380" i="2" s="1"/>
  <c r="D1379" i="2"/>
  <c r="C1379" i="2"/>
  <c r="E1379" i="2" s="1"/>
  <c r="D1378" i="2"/>
  <c r="C1378" i="2"/>
  <c r="E1378" i="2" s="1"/>
  <c r="D1377" i="2"/>
  <c r="C1377" i="2"/>
  <c r="E1377" i="2" s="1"/>
  <c r="D1376" i="2"/>
  <c r="C1376" i="2"/>
  <c r="E1376" i="2" s="1"/>
  <c r="D1375" i="2"/>
  <c r="C1375" i="2"/>
  <c r="E1375" i="2" s="1"/>
  <c r="D1374" i="2"/>
  <c r="C1374" i="2"/>
  <c r="E1374" i="2" s="1"/>
  <c r="D1373" i="2"/>
  <c r="C1373" i="2"/>
  <c r="E1373" i="2" s="1"/>
  <c r="D1372" i="2"/>
  <c r="C1372" i="2"/>
  <c r="D1371" i="2"/>
  <c r="C1371" i="2"/>
  <c r="E1371" i="2" s="1"/>
  <c r="D1370" i="2"/>
  <c r="C1370" i="2"/>
  <c r="E1370" i="2" s="1"/>
  <c r="D1369" i="2"/>
  <c r="C1369" i="2"/>
  <c r="E1369" i="2" s="1"/>
  <c r="D1368" i="2"/>
  <c r="C1368" i="2"/>
  <c r="E1368" i="2" s="1"/>
  <c r="D1367" i="2"/>
  <c r="C1367" i="2"/>
  <c r="E1367" i="2" s="1"/>
  <c r="D1366" i="2"/>
  <c r="C1366" i="2"/>
  <c r="E1366" i="2" s="1"/>
  <c r="D1365" i="2"/>
  <c r="C1365" i="2"/>
  <c r="E1365" i="2" s="1"/>
  <c r="D1364" i="2"/>
  <c r="C1364" i="2"/>
  <c r="E1364" i="2" s="1"/>
  <c r="D1363" i="2"/>
  <c r="C1363" i="2"/>
  <c r="E1363" i="2" s="1"/>
  <c r="D1362" i="2"/>
  <c r="C1362" i="2"/>
  <c r="E1362" i="2" s="1"/>
  <c r="D1361" i="2"/>
  <c r="C1361" i="2"/>
  <c r="E1361" i="2" s="1"/>
  <c r="D1360" i="2"/>
  <c r="C1360" i="2"/>
  <c r="E1360" i="2" s="1"/>
  <c r="D1359" i="2"/>
  <c r="C1359" i="2"/>
  <c r="E1359" i="2" s="1"/>
  <c r="D1358" i="2"/>
  <c r="C1358" i="2"/>
  <c r="E1358" i="2" s="1"/>
  <c r="D1357" i="2"/>
  <c r="C1357" i="2"/>
  <c r="E1357" i="2" s="1"/>
  <c r="D1356" i="2"/>
  <c r="C1356" i="2"/>
  <c r="E1356" i="2" s="1"/>
  <c r="D1355" i="2"/>
  <c r="C1355" i="2"/>
  <c r="E1355" i="2" s="1"/>
  <c r="D1354" i="2"/>
  <c r="C1354" i="2"/>
  <c r="E1354" i="2" s="1"/>
  <c r="D1353" i="2"/>
  <c r="C1353" i="2"/>
  <c r="E1353" i="2" s="1"/>
  <c r="D1352" i="2"/>
  <c r="C1352" i="2"/>
  <c r="E1352" i="2" s="1"/>
  <c r="D1351" i="2"/>
  <c r="C1351" i="2"/>
  <c r="E1351" i="2" s="1"/>
  <c r="D1350" i="2"/>
  <c r="C1350" i="2"/>
  <c r="E1350" i="2" s="1"/>
  <c r="D1349" i="2"/>
  <c r="C1349" i="2"/>
  <c r="E1349" i="2" s="1"/>
  <c r="D1348" i="2"/>
  <c r="C1348" i="2"/>
  <c r="E1348" i="2" s="1"/>
  <c r="D1347" i="2"/>
  <c r="C1347" i="2"/>
  <c r="E1347" i="2" s="1"/>
  <c r="D1346" i="2"/>
  <c r="C1346" i="2"/>
  <c r="E1346" i="2" s="1"/>
  <c r="D1345" i="2"/>
  <c r="C1345" i="2"/>
  <c r="E1345" i="2" s="1"/>
  <c r="D1344" i="2"/>
  <c r="C1344" i="2"/>
  <c r="E1344" i="2" s="1"/>
  <c r="D1343" i="2"/>
  <c r="C1343" i="2"/>
  <c r="E1343" i="2" s="1"/>
  <c r="D1342" i="2"/>
  <c r="C1342" i="2"/>
  <c r="E1342" i="2" s="1"/>
  <c r="D1341" i="2"/>
  <c r="C1341" i="2"/>
  <c r="E1341" i="2" s="1"/>
  <c r="D1340" i="2"/>
  <c r="C1340" i="2"/>
  <c r="E1340" i="2" s="1"/>
  <c r="D1339" i="2"/>
  <c r="C1339" i="2"/>
  <c r="E1339" i="2" s="1"/>
  <c r="D1338" i="2"/>
  <c r="C1338" i="2"/>
  <c r="E1338" i="2" s="1"/>
  <c r="D1337" i="2"/>
  <c r="C1337" i="2"/>
  <c r="E1337" i="2" s="1"/>
  <c r="D1336" i="2"/>
  <c r="C1336" i="2"/>
  <c r="E1336" i="2" s="1"/>
  <c r="D1335" i="2"/>
  <c r="C1335" i="2"/>
  <c r="E1335" i="2" s="1"/>
  <c r="D1334" i="2"/>
  <c r="C1334" i="2"/>
  <c r="E1334" i="2" s="1"/>
  <c r="D1333" i="2"/>
  <c r="C1333" i="2"/>
  <c r="E1333" i="2" s="1"/>
  <c r="D1332" i="2"/>
  <c r="C1332" i="2"/>
  <c r="E1332" i="2" s="1"/>
  <c r="D1331" i="2"/>
  <c r="C1331" i="2"/>
  <c r="E1331" i="2" s="1"/>
  <c r="D1330" i="2"/>
  <c r="C1330" i="2"/>
  <c r="E1330" i="2" s="1"/>
  <c r="D1329" i="2"/>
  <c r="C1329" i="2"/>
  <c r="E1329" i="2" s="1"/>
  <c r="D1328" i="2"/>
  <c r="C1328" i="2"/>
  <c r="D1327" i="2"/>
  <c r="C1327" i="2"/>
  <c r="E1327" i="2" s="1"/>
  <c r="D1326" i="2"/>
  <c r="C1326" i="2"/>
  <c r="D1325" i="2"/>
  <c r="C1325" i="2"/>
  <c r="E1325" i="2" s="1"/>
  <c r="D1324" i="2"/>
  <c r="C1324" i="2"/>
  <c r="E1324" i="2" s="1"/>
  <c r="D1323" i="2"/>
  <c r="C1323" i="2"/>
  <c r="E1323" i="2" s="1"/>
  <c r="D1322" i="2"/>
  <c r="C1322" i="2"/>
  <c r="E1322" i="2" s="1"/>
  <c r="D1321" i="2"/>
  <c r="C1321" i="2"/>
  <c r="E1321" i="2" s="1"/>
  <c r="D1320" i="2"/>
  <c r="C1320" i="2"/>
  <c r="E1320" i="2" s="1"/>
  <c r="D1319" i="2"/>
  <c r="C1319" i="2"/>
  <c r="E1319" i="2" s="1"/>
  <c r="D1318" i="2"/>
  <c r="C1318" i="2"/>
  <c r="E1318" i="2" s="1"/>
  <c r="D1317" i="2"/>
  <c r="C1317" i="2"/>
  <c r="E1317" i="2" s="1"/>
  <c r="D1316" i="2"/>
  <c r="C1316" i="2"/>
  <c r="E1316" i="2" s="1"/>
  <c r="D1315" i="2"/>
  <c r="C1315" i="2"/>
  <c r="E1315" i="2" s="1"/>
  <c r="D1314" i="2"/>
  <c r="C1314" i="2"/>
  <c r="E1314" i="2" s="1"/>
  <c r="D1313" i="2"/>
  <c r="C1313" i="2"/>
  <c r="E1313" i="2" s="1"/>
  <c r="D1312" i="2"/>
  <c r="C1312" i="2"/>
  <c r="E1312" i="2" s="1"/>
  <c r="D1311" i="2"/>
  <c r="C1311" i="2"/>
  <c r="E1311" i="2" s="1"/>
  <c r="D1310" i="2"/>
  <c r="C1310" i="2"/>
  <c r="E1310" i="2" s="1"/>
  <c r="D1309" i="2"/>
  <c r="C1309" i="2"/>
  <c r="E1309" i="2" s="1"/>
  <c r="D1308" i="2"/>
  <c r="C1308" i="2"/>
  <c r="E1308" i="2" s="1"/>
  <c r="D1307" i="2"/>
  <c r="C1307" i="2"/>
  <c r="E1307" i="2" s="1"/>
  <c r="D1306" i="2"/>
  <c r="C1306" i="2"/>
  <c r="E1306" i="2" s="1"/>
  <c r="D1305" i="2"/>
  <c r="C1305" i="2"/>
  <c r="E1305" i="2" s="1"/>
  <c r="D1304" i="2"/>
  <c r="C1304" i="2"/>
  <c r="E1304" i="2" s="1"/>
  <c r="D1303" i="2"/>
  <c r="C1303" i="2"/>
  <c r="E1303" i="2" s="1"/>
  <c r="D1302" i="2"/>
  <c r="C1302" i="2"/>
  <c r="E1302" i="2" s="1"/>
  <c r="D1301" i="2"/>
  <c r="C1301" i="2"/>
  <c r="E1301" i="2" s="1"/>
  <c r="D1300" i="2"/>
  <c r="C1300" i="2"/>
  <c r="E1300" i="2" s="1"/>
  <c r="D1299" i="2"/>
  <c r="C1299" i="2"/>
  <c r="E1299" i="2" s="1"/>
  <c r="D1298" i="2"/>
  <c r="C1298" i="2"/>
  <c r="E1298" i="2" s="1"/>
  <c r="D1297" i="2"/>
  <c r="C1297" i="2"/>
  <c r="E1297" i="2" s="1"/>
  <c r="D1296" i="2"/>
  <c r="C1296" i="2"/>
  <c r="E1296" i="2" s="1"/>
  <c r="D1295" i="2"/>
  <c r="C1295" i="2"/>
  <c r="E1295" i="2" s="1"/>
  <c r="D1294" i="2"/>
  <c r="C1294" i="2"/>
  <c r="D1293" i="2"/>
  <c r="C1293" i="2"/>
  <c r="E1293" i="2" s="1"/>
  <c r="D1292" i="2"/>
  <c r="C1292" i="2"/>
  <c r="E1292" i="2" s="1"/>
  <c r="D1291" i="2"/>
  <c r="C1291" i="2"/>
  <c r="E1291" i="2" s="1"/>
  <c r="D1290" i="2"/>
  <c r="C1290" i="2"/>
  <c r="E1290" i="2" s="1"/>
  <c r="D1289" i="2"/>
  <c r="C1289" i="2"/>
  <c r="E1289" i="2" s="1"/>
  <c r="D1288" i="2"/>
  <c r="C1288" i="2"/>
  <c r="E1288" i="2" s="1"/>
  <c r="D1287" i="2"/>
  <c r="C1287" i="2"/>
  <c r="E1287" i="2" s="1"/>
  <c r="D1286" i="2"/>
  <c r="C1286" i="2"/>
  <c r="E1286" i="2" s="1"/>
  <c r="D1285" i="2"/>
  <c r="C1285" i="2"/>
  <c r="E1285" i="2" s="1"/>
  <c r="D1284" i="2"/>
  <c r="C1284" i="2"/>
  <c r="E1284" i="2" s="1"/>
  <c r="D1283" i="2"/>
  <c r="C1283" i="2"/>
  <c r="E1283" i="2" s="1"/>
  <c r="D1282" i="2"/>
  <c r="C1282" i="2"/>
  <c r="E1282" i="2" s="1"/>
  <c r="D1281" i="2"/>
  <c r="C1281" i="2"/>
  <c r="E1281" i="2" s="1"/>
  <c r="D1280" i="2"/>
  <c r="C1280" i="2"/>
  <c r="E1280" i="2" s="1"/>
  <c r="D1279" i="2"/>
  <c r="C1279" i="2"/>
  <c r="E1279" i="2" s="1"/>
  <c r="D1278" i="2"/>
  <c r="C1278" i="2"/>
  <c r="E1278" i="2" s="1"/>
  <c r="D1277" i="2"/>
  <c r="C1277" i="2"/>
  <c r="D1276" i="2"/>
  <c r="C1276" i="2"/>
  <c r="E1276" i="2" s="1"/>
  <c r="D1275" i="2"/>
  <c r="C1275" i="2"/>
  <c r="E1275" i="2" s="1"/>
  <c r="D1274" i="2"/>
  <c r="C1274" i="2"/>
  <c r="E1274" i="2" s="1"/>
  <c r="D1273" i="2"/>
  <c r="C1273" i="2"/>
  <c r="E1273" i="2" s="1"/>
  <c r="D1272" i="2"/>
  <c r="C1272" i="2"/>
  <c r="D1271" i="2"/>
  <c r="C1271" i="2"/>
  <c r="E1271" i="2" s="1"/>
  <c r="D1270" i="2"/>
  <c r="C1270" i="2"/>
  <c r="E1270" i="2" s="1"/>
  <c r="D1269" i="2"/>
  <c r="C1269" i="2"/>
  <c r="E1269" i="2" s="1"/>
  <c r="D1268" i="2"/>
  <c r="C1268" i="2"/>
  <c r="E1268" i="2" s="1"/>
  <c r="D1267" i="2"/>
  <c r="C1267" i="2"/>
  <c r="E1267" i="2" s="1"/>
  <c r="D1266" i="2"/>
  <c r="C1266" i="2"/>
  <c r="E1266" i="2" s="1"/>
  <c r="D1265" i="2"/>
  <c r="C1265" i="2"/>
  <c r="E1265" i="2" s="1"/>
  <c r="D1264" i="2"/>
  <c r="C1264" i="2"/>
  <c r="E1264" i="2" s="1"/>
  <c r="D1263" i="2"/>
  <c r="C1263" i="2"/>
  <c r="E1263" i="2" s="1"/>
  <c r="D1262" i="2"/>
  <c r="C1262" i="2"/>
  <c r="E1262" i="2" s="1"/>
  <c r="D1261" i="2"/>
  <c r="C1261" i="2"/>
  <c r="E1261" i="2" s="1"/>
  <c r="D1260" i="2"/>
  <c r="C1260" i="2"/>
  <c r="E1260" i="2" s="1"/>
  <c r="D1259" i="2"/>
  <c r="C1259" i="2"/>
  <c r="E1259" i="2" s="1"/>
  <c r="D1258" i="2"/>
  <c r="C1258" i="2"/>
  <c r="E1258" i="2" s="1"/>
  <c r="D1257" i="2"/>
  <c r="C1257" i="2"/>
  <c r="E1257" i="2" s="1"/>
  <c r="D1256" i="2"/>
  <c r="C1256" i="2"/>
  <c r="E1256" i="2" s="1"/>
  <c r="D1255" i="2"/>
  <c r="C1255" i="2"/>
  <c r="D1254" i="2"/>
  <c r="C1254" i="2"/>
  <c r="E1254" i="2" s="1"/>
  <c r="D1253" i="2"/>
  <c r="C1253" i="2"/>
  <c r="E1253" i="2" s="1"/>
  <c r="D1252" i="2"/>
  <c r="C1252" i="2"/>
  <c r="E1252" i="2" s="1"/>
  <c r="D1251" i="2"/>
  <c r="C1251" i="2"/>
  <c r="E1251" i="2" s="1"/>
  <c r="D1250" i="2"/>
  <c r="C1250" i="2"/>
  <c r="E1250" i="2" s="1"/>
  <c r="D1249" i="2"/>
  <c r="C1249" i="2"/>
  <c r="D1248" i="2"/>
  <c r="C1248" i="2"/>
  <c r="E1248" i="2" s="1"/>
  <c r="D1247" i="2"/>
  <c r="C1247" i="2"/>
  <c r="E1247" i="2" s="1"/>
  <c r="D1246" i="2"/>
  <c r="C1246" i="2"/>
  <c r="E1246" i="2" s="1"/>
  <c r="D1245" i="2"/>
  <c r="C1245" i="2"/>
  <c r="E1245" i="2" s="1"/>
  <c r="D1244" i="2"/>
  <c r="C1244" i="2"/>
  <c r="E1244" i="2" s="1"/>
  <c r="D1243" i="2"/>
  <c r="C1243" i="2"/>
  <c r="E1243" i="2" s="1"/>
  <c r="D1242" i="2"/>
  <c r="C1242" i="2"/>
  <c r="E1242" i="2" s="1"/>
  <c r="D1241" i="2"/>
  <c r="C1241" i="2"/>
  <c r="E1241" i="2" s="1"/>
  <c r="D1240" i="2"/>
  <c r="C1240" i="2"/>
  <c r="E1240" i="2" s="1"/>
  <c r="D1239" i="2"/>
  <c r="C1239" i="2"/>
  <c r="E1239" i="2" s="1"/>
  <c r="D1238" i="2"/>
  <c r="C1238" i="2"/>
  <c r="E1238" i="2" s="1"/>
  <c r="D1237" i="2"/>
  <c r="C1237" i="2"/>
  <c r="E1237" i="2" s="1"/>
  <c r="D1236" i="2"/>
  <c r="C1236" i="2"/>
  <c r="E1236" i="2" s="1"/>
  <c r="D1235" i="2"/>
  <c r="C1235" i="2"/>
  <c r="E1235" i="2" s="1"/>
  <c r="D1234" i="2"/>
  <c r="C1234" i="2"/>
  <c r="E1234" i="2" s="1"/>
  <c r="D1233" i="2"/>
  <c r="C1233" i="2"/>
  <c r="E1233" i="2" s="1"/>
  <c r="D1232" i="2"/>
  <c r="C1232" i="2"/>
  <c r="E1232" i="2" s="1"/>
  <c r="D1231" i="2"/>
  <c r="C1231" i="2"/>
  <c r="E1231" i="2" s="1"/>
  <c r="D1230" i="2"/>
  <c r="C1230" i="2"/>
  <c r="E1230" i="2" s="1"/>
  <c r="D1229" i="2"/>
  <c r="C1229" i="2"/>
  <c r="E1229" i="2" s="1"/>
  <c r="D1228" i="2"/>
  <c r="C1228" i="2"/>
  <c r="D1227" i="2"/>
  <c r="C1227" i="2"/>
  <c r="E1227" i="2" s="1"/>
  <c r="D1226" i="2"/>
  <c r="C1226" i="2"/>
  <c r="E1226" i="2" s="1"/>
  <c r="D1225" i="2"/>
  <c r="C1225" i="2"/>
  <c r="E1225" i="2" s="1"/>
  <c r="D1224" i="2"/>
  <c r="C1224" i="2"/>
  <c r="E1224" i="2" s="1"/>
  <c r="D1223" i="2"/>
  <c r="C1223" i="2"/>
  <c r="E1223" i="2" s="1"/>
  <c r="D1222" i="2"/>
  <c r="C1222" i="2"/>
  <c r="E1222" i="2" s="1"/>
  <c r="D1221" i="2"/>
  <c r="C1221" i="2"/>
  <c r="E1221" i="2" s="1"/>
  <c r="D1220" i="2"/>
  <c r="C1220" i="2"/>
  <c r="E1220" i="2" s="1"/>
  <c r="D1219" i="2"/>
  <c r="C1219" i="2"/>
  <c r="E1219" i="2" s="1"/>
  <c r="D1218" i="2"/>
  <c r="C1218" i="2"/>
  <c r="E1218" i="2" s="1"/>
  <c r="D1217" i="2"/>
  <c r="C1217" i="2"/>
  <c r="D1216" i="2"/>
  <c r="C1216" i="2"/>
  <c r="E1216" i="2" s="1"/>
  <c r="D1215" i="2"/>
  <c r="C1215" i="2"/>
  <c r="D1214" i="2"/>
  <c r="C1214" i="2"/>
  <c r="E1214" i="2" s="1"/>
  <c r="D1213" i="2"/>
  <c r="C1213" i="2"/>
  <c r="E1213" i="2" s="1"/>
  <c r="D1212" i="2"/>
  <c r="C1212" i="2"/>
  <c r="E1212" i="2" s="1"/>
  <c r="D1211" i="2"/>
  <c r="C1211" i="2"/>
  <c r="E1211" i="2" s="1"/>
  <c r="D1210" i="2"/>
  <c r="C1210" i="2"/>
  <c r="E1210" i="2" s="1"/>
  <c r="D1209" i="2"/>
  <c r="C1209" i="2"/>
  <c r="E1209" i="2" s="1"/>
  <c r="D1208" i="2"/>
  <c r="C1208" i="2"/>
  <c r="E1208" i="2" s="1"/>
  <c r="D1207" i="2"/>
  <c r="C1207" i="2"/>
  <c r="E1207" i="2" s="1"/>
  <c r="D1206" i="2"/>
  <c r="C1206" i="2"/>
  <c r="E1206" i="2" s="1"/>
  <c r="D1205" i="2"/>
  <c r="C1205" i="2"/>
  <c r="E1205" i="2" s="1"/>
  <c r="D1204" i="2"/>
  <c r="C1204" i="2"/>
  <c r="E1204" i="2" s="1"/>
  <c r="D1203" i="2"/>
  <c r="C1203" i="2"/>
  <c r="E1203" i="2" s="1"/>
  <c r="D1202" i="2"/>
  <c r="C1202" i="2"/>
  <c r="E1202" i="2" s="1"/>
  <c r="D1201" i="2"/>
  <c r="C1201" i="2"/>
  <c r="E1201" i="2" s="1"/>
  <c r="D1200" i="2"/>
  <c r="C1200" i="2"/>
  <c r="E1200" i="2" s="1"/>
  <c r="D1199" i="2"/>
  <c r="C1199" i="2"/>
  <c r="E1199" i="2" s="1"/>
  <c r="D1198" i="2"/>
  <c r="C1198" i="2"/>
  <c r="E1198" i="2" s="1"/>
  <c r="D1197" i="2"/>
  <c r="C1197" i="2"/>
  <c r="E1197" i="2" s="1"/>
  <c r="D1196" i="2"/>
  <c r="C1196" i="2"/>
  <c r="E1196" i="2" s="1"/>
  <c r="D1195" i="2"/>
  <c r="C1195" i="2"/>
  <c r="E1195" i="2" s="1"/>
  <c r="D1194" i="2"/>
  <c r="C1194" i="2"/>
  <c r="E1194" i="2" s="1"/>
  <c r="D1193" i="2"/>
  <c r="C1193" i="2"/>
  <c r="E1193" i="2" s="1"/>
  <c r="D1192" i="2"/>
  <c r="C1192" i="2"/>
  <c r="E1192" i="2" s="1"/>
  <c r="D1191" i="2"/>
  <c r="C1191" i="2"/>
  <c r="E1191" i="2" s="1"/>
  <c r="D1190" i="2"/>
  <c r="C1190" i="2"/>
  <c r="E1190" i="2" s="1"/>
  <c r="D1189" i="2"/>
  <c r="C1189" i="2"/>
  <c r="E1189" i="2" s="1"/>
  <c r="D1188" i="2"/>
  <c r="C1188" i="2"/>
  <c r="E1188" i="2" s="1"/>
  <c r="D1187" i="2"/>
  <c r="C1187" i="2"/>
  <c r="E1187" i="2" s="1"/>
  <c r="D1186" i="2"/>
  <c r="C1186" i="2"/>
  <c r="E1186" i="2" s="1"/>
  <c r="D1185" i="2"/>
  <c r="C1185" i="2"/>
  <c r="E1185" i="2" s="1"/>
  <c r="D1184" i="2"/>
  <c r="C1184" i="2"/>
  <c r="E1184" i="2" s="1"/>
  <c r="D1183" i="2"/>
  <c r="C1183" i="2"/>
  <c r="E1183" i="2" s="1"/>
  <c r="D1182" i="2"/>
  <c r="C1182" i="2"/>
  <c r="E1182" i="2" s="1"/>
  <c r="D1181" i="2"/>
  <c r="C1181" i="2"/>
  <c r="E1181" i="2" s="1"/>
  <c r="D1180" i="2"/>
  <c r="C1180" i="2"/>
  <c r="E1180" i="2" s="1"/>
  <c r="D1179" i="2"/>
  <c r="C1179" i="2"/>
  <c r="E1179" i="2" s="1"/>
  <c r="D1178" i="2"/>
  <c r="C1178" i="2"/>
  <c r="E1178" i="2" s="1"/>
  <c r="D1177" i="2"/>
  <c r="C1177" i="2"/>
  <c r="E1177" i="2" s="1"/>
  <c r="D1176" i="2"/>
  <c r="C1176" i="2"/>
  <c r="E1176" i="2" s="1"/>
  <c r="D1175" i="2"/>
  <c r="C1175" i="2"/>
  <c r="E1175" i="2" s="1"/>
  <c r="D1174" i="2"/>
  <c r="C1174" i="2"/>
  <c r="E1174" i="2" s="1"/>
  <c r="D1173" i="2"/>
  <c r="C1173" i="2"/>
  <c r="E1173" i="2" s="1"/>
  <c r="D1172" i="2"/>
  <c r="C1172" i="2"/>
  <c r="E1172" i="2" s="1"/>
  <c r="D1171" i="2"/>
  <c r="C1171" i="2"/>
  <c r="E1171" i="2" s="1"/>
  <c r="D1170" i="2"/>
  <c r="C1170" i="2"/>
  <c r="E1170" i="2" s="1"/>
  <c r="D1169" i="2"/>
  <c r="C1169" i="2"/>
  <c r="E1169" i="2" s="1"/>
  <c r="D1168" i="2"/>
  <c r="C1168" i="2"/>
  <c r="E1168" i="2" s="1"/>
  <c r="D1167" i="2"/>
  <c r="C1167" i="2"/>
  <c r="E1167" i="2" s="1"/>
  <c r="D1166" i="2"/>
  <c r="C1166" i="2"/>
  <c r="E1166" i="2" s="1"/>
  <c r="D1165" i="2"/>
  <c r="C1165" i="2"/>
  <c r="E1165" i="2" s="1"/>
  <c r="D1164" i="2"/>
  <c r="C1164" i="2"/>
  <c r="E1164" i="2" s="1"/>
  <c r="D1163" i="2"/>
  <c r="C1163" i="2"/>
  <c r="E1163" i="2" s="1"/>
  <c r="D1162" i="2"/>
  <c r="C1162" i="2"/>
  <c r="E1162" i="2" s="1"/>
  <c r="D1161" i="2"/>
  <c r="C1161" i="2"/>
  <c r="E1161" i="2" s="1"/>
  <c r="D1160" i="2"/>
  <c r="C1160" i="2"/>
  <c r="E1160" i="2" s="1"/>
  <c r="D1159" i="2"/>
  <c r="C1159" i="2"/>
  <c r="E1159" i="2" s="1"/>
  <c r="D1158" i="2"/>
  <c r="C1158" i="2"/>
  <c r="E1158" i="2" s="1"/>
  <c r="D1157" i="2"/>
  <c r="C1157" i="2"/>
  <c r="E1157" i="2" s="1"/>
  <c r="D1156" i="2"/>
  <c r="C1156" i="2"/>
  <c r="E1156" i="2" s="1"/>
  <c r="D1155" i="2"/>
  <c r="C1155" i="2"/>
  <c r="E1155" i="2" s="1"/>
  <c r="D1154" i="2"/>
  <c r="C1154" i="2"/>
  <c r="E1154" i="2" s="1"/>
  <c r="D1153" i="2"/>
  <c r="C1153" i="2"/>
  <c r="E1153" i="2" s="1"/>
  <c r="D1152" i="2"/>
  <c r="C1152" i="2"/>
  <c r="E1152" i="2" s="1"/>
  <c r="D1151" i="2"/>
  <c r="C1151" i="2"/>
  <c r="E1151" i="2" s="1"/>
  <c r="D1150" i="2"/>
  <c r="C1150" i="2"/>
  <c r="E1150" i="2" s="1"/>
  <c r="D1149" i="2"/>
  <c r="C1149" i="2"/>
  <c r="E1149" i="2" s="1"/>
  <c r="D1148" i="2"/>
  <c r="C1148" i="2"/>
  <c r="D1147" i="2"/>
  <c r="C1147" i="2"/>
  <c r="E1147" i="2" s="1"/>
  <c r="D1146" i="2"/>
  <c r="C1146" i="2"/>
  <c r="E1146" i="2" s="1"/>
  <c r="D1145" i="2"/>
  <c r="C1145" i="2"/>
  <c r="E1145" i="2" s="1"/>
  <c r="D1144" i="2"/>
  <c r="C1144" i="2"/>
  <c r="E1144" i="2" s="1"/>
  <c r="D1143" i="2"/>
  <c r="C1143" i="2"/>
  <c r="D1142" i="2"/>
  <c r="C1142" i="2"/>
  <c r="E1142" i="2" s="1"/>
  <c r="D1141" i="2"/>
  <c r="C1141" i="2"/>
  <c r="E1141" i="2" s="1"/>
  <c r="D1140" i="2"/>
  <c r="C1140" i="2"/>
  <c r="E1140" i="2" s="1"/>
  <c r="D1139" i="2"/>
  <c r="C1139" i="2"/>
  <c r="E1139" i="2" s="1"/>
  <c r="D1138" i="2"/>
  <c r="C1138" i="2"/>
  <c r="E1138" i="2" s="1"/>
  <c r="D1137" i="2"/>
  <c r="C1137" i="2"/>
  <c r="E1137" i="2" s="1"/>
  <c r="D1136" i="2"/>
  <c r="C1136" i="2"/>
  <c r="E1136" i="2" s="1"/>
  <c r="D1135" i="2"/>
  <c r="C1135" i="2"/>
  <c r="E1135" i="2" s="1"/>
  <c r="D1134" i="2"/>
  <c r="C1134" i="2"/>
  <c r="E1134" i="2" s="1"/>
  <c r="D1133" i="2"/>
  <c r="C1133" i="2"/>
  <c r="E1133" i="2" s="1"/>
  <c r="D1132" i="2"/>
  <c r="C1132" i="2"/>
  <c r="E1132" i="2" s="1"/>
  <c r="D1131" i="2"/>
  <c r="C1131" i="2"/>
  <c r="E1131" i="2" s="1"/>
  <c r="D1130" i="2"/>
  <c r="C1130" i="2"/>
  <c r="E1130" i="2" s="1"/>
  <c r="D1129" i="2"/>
  <c r="C1129" i="2"/>
  <c r="E1129" i="2" s="1"/>
  <c r="D1128" i="2"/>
  <c r="C1128" i="2"/>
  <c r="E1128" i="2" s="1"/>
  <c r="D1127" i="2"/>
  <c r="C1127" i="2"/>
  <c r="E1127" i="2" s="1"/>
  <c r="D1126" i="2"/>
  <c r="C1126" i="2"/>
  <c r="E1126" i="2" s="1"/>
  <c r="D1125" i="2"/>
  <c r="C1125" i="2"/>
  <c r="E1125" i="2" s="1"/>
  <c r="D1124" i="2"/>
  <c r="C1124" i="2"/>
  <c r="E1124" i="2" s="1"/>
  <c r="D1123" i="2"/>
  <c r="C1123" i="2"/>
  <c r="E1123" i="2" s="1"/>
  <c r="D1122" i="2"/>
  <c r="C1122" i="2"/>
  <c r="E1122" i="2" s="1"/>
  <c r="D1121" i="2"/>
  <c r="C1121" i="2"/>
  <c r="E1121" i="2" s="1"/>
  <c r="D1120" i="2"/>
  <c r="C1120" i="2"/>
  <c r="E1120" i="2" s="1"/>
  <c r="D1119" i="2"/>
  <c r="C1119" i="2"/>
  <c r="E1119" i="2" s="1"/>
  <c r="D1118" i="2"/>
  <c r="C1118" i="2"/>
  <c r="E1118" i="2" s="1"/>
  <c r="D1117" i="2"/>
  <c r="C1117" i="2"/>
  <c r="E1117" i="2" s="1"/>
  <c r="D1116" i="2"/>
  <c r="C1116" i="2"/>
  <c r="E1116" i="2" s="1"/>
  <c r="D1115" i="2"/>
  <c r="C1115" i="2"/>
  <c r="E1115" i="2" s="1"/>
  <c r="D1114" i="2"/>
  <c r="C1114" i="2"/>
  <c r="E1114" i="2" s="1"/>
  <c r="D1113" i="2"/>
  <c r="C1113" i="2"/>
  <c r="E1113" i="2" s="1"/>
  <c r="D1112" i="2"/>
  <c r="C1112" i="2"/>
  <c r="D1111" i="2"/>
  <c r="C1111" i="2"/>
  <c r="E1111" i="2" s="1"/>
  <c r="D1110" i="2"/>
  <c r="C1110" i="2"/>
  <c r="E1110" i="2" s="1"/>
  <c r="D1109" i="2"/>
  <c r="C1109" i="2"/>
  <c r="E1109" i="2" s="1"/>
  <c r="D1108" i="2"/>
  <c r="C1108" i="2"/>
  <c r="E1108" i="2" s="1"/>
  <c r="D1107" i="2"/>
  <c r="C1107" i="2"/>
  <c r="E1107" i="2" s="1"/>
  <c r="D1106" i="2"/>
  <c r="C1106" i="2"/>
  <c r="E1106" i="2" s="1"/>
  <c r="D1105" i="2"/>
  <c r="C1105" i="2"/>
  <c r="E1105" i="2" s="1"/>
  <c r="D1104" i="2"/>
  <c r="C1104" i="2"/>
  <c r="E1104" i="2" s="1"/>
  <c r="D1103" i="2"/>
  <c r="C1103" i="2"/>
  <c r="E1103" i="2" s="1"/>
  <c r="D1102" i="2"/>
  <c r="C1102" i="2"/>
  <c r="E1102" i="2" s="1"/>
  <c r="D1101" i="2"/>
  <c r="C1101" i="2"/>
  <c r="E1101" i="2" s="1"/>
  <c r="D1100" i="2"/>
  <c r="C1100" i="2"/>
  <c r="E1100" i="2" s="1"/>
  <c r="D1099" i="2"/>
  <c r="C1099" i="2"/>
  <c r="E1099" i="2" s="1"/>
  <c r="D1098" i="2"/>
  <c r="C1098" i="2"/>
  <c r="E1098" i="2" s="1"/>
  <c r="D1097" i="2"/>
  <c r="C1097" i="2"/>
  <c r="E1097" i="2" s="1"/>
  <c r="D1096" i="2"/>
  <c r="C1096" i="2"/>
  <c r="D1095" i="2"/>
  <c r="C1095" i="2"/>
  <c r="E1095" i="2" s="1"/>
  <c r="D1094" i="2"/>
  <c r="C1094" i="2"/>
  <c r="D1093" i="2"/>
  <c r="C1093" i="2"/>
  <c r="E1093" i="2" s="1"/>
  <c r="D1092" i="2"/>
  <c r="C1092" i="2"/>
  <c r="E1092" i="2" s="1"/>
  <c r="D1091" i="2"/>
  <c r="C1091" i="2"/>
  <c r="E1091" i="2" s="1"/>
  <c r="D1090" i="2"/>
  <c r="C1090" i="2"/>
  <c r="E1090" i="2" s="1"/>
  <c r="D1089" i="2"/>
  <c r="C1089" i="2"/>
  <c r="E1089" i="2" s="1"/>
  <c r="D1088" i="2"/>
  <c r="C1088" i="2"/>
  <c r="E1088" i="2" s="1"/>
  <c r="D1087" i="2"/>
  <c r="C1087" i="2"/>
  <c r="E1087" i="2" s="1"/>
  <c r="D1086" i="2"/>
  <c r="C1086" i="2"/>
  <c r="E1086" i="2" s="1"/>
  <c r="D1085" i="2"/>
  <c r="C1085" i="2"/>
  <c r="E1085" i="2" s="1"/>
  <c r="D1084" i="2"/>
  <c r="C1084" i="2"/>
  <c r="E1084" i="2" s="1"/>
  <c r="D1083" i="2"/>
  <c r="C1083" i="2"/>
  <c r="E1083" i="2" s="1"/>
  <c r="D1082" i="2"/>
  <c r="C1082" i="2"/>
  <c r="E1082" i="2" s="1"/>
  <c r="D1081" i="2"/>
  <c r="C1081" i="2"/>
  <c r="E1081" i="2" s="1"/>
  <c r="D1080" i="2"/>
  <c r="C1080" i="2"/>
  <c r="E1080" i="2" s="1"/>
  <c r="D1079" i="2"/>
  <c r="C1079" i="2"/>
  <c r="E1079" i="2" s="1"/>
  <c r="D1078" i="2"/>
  <c r="C1078" i="2"/>
  <c r="E1078" i="2" s="1"/>
  <c r="D1077" i="2"/>
  <c r="C1077" i="2"/>
  <c r="E1077" i="2" s="1"/>
  <c r="D1076" i="2"/>
  <c r="C1076" i="2"/>
  <c r="E1076" i="2" s="1"/>
  <c r="D1075" i="2"/>
  <c r="C1075" i="2"/>
  <c r="E1075" i="2" s="1"/>
  <c r="D1074" i="2"/>
  <c r="C1074" i="2"/>
  <c r="E1074" i="2" s="1"/>
  <c r="D1073" i="2"/>
  <c r="C1073" i="2"/>
  <c r="E1073" i="2" s="1"/>
  <c r="D1072" i="2"/>
  <c r="C1072" i="2"/>
  <c r="E1072" i="2" s="1"/>
  <c r="D1071" i="2"/>
  <c r="C1071" i="2"/>
  <c r="E1071" i="2" s="1"/>
  <c r="D1070" i="2"/>
  <c r="C1070" i="2"/>
  <c r="E1070" i="2" s="1"/>
  <c r="D1069" i="2"/>
  <c r="C1069" i="2"/>
  <c r="E1069" i="2" s="1"/>
  <c r="D1068" i="2"/>
  <c r="C1068" i="2"/>
  <c r="E1068" i="2" s="1"/>
  <c r="D1067" i="2"/>
  <c r="C1067" i="2"/>
  <c r="E1067" i="2" s="1"/>
  <c r="D1066" i="2"/>
  <c r="C1066" i="2"/>
  <c r="E1066" i="2" s="1"/>
  <c r="D1065" i="2"/>
  <c r="C1065" i="2"/>
  <c r="E1065" i="2" s="1"/>
  <c r="D1064" i="2"/>
  <c r="C1064" i="2"/>
  <c r="E1064" i="2" s="1"/>
  <c r="D1063" i="2"/>
  <c r="C1063" i="2"/>
  <c r="E1063" i="2" s="1"/>
  <c r="D1062" i="2"/>
  <c r="C1062" i="2"/>
  <c r="E1062" i="2" s="1"/>
  <c r="D1061" i="2"/>
  <c r="C1061" i="2"/>
  <c r="E1061" i="2" s="1"/>
  <c r="D1060" i="2"/>
  <c r="C1060" i="2"/>
  <c r="E1060" i="2" s="1"/>
  <c r="D1059" i="2"/>
  <c r="C1059" i="2"/>
  <c r="E1059" i="2" s="1"/>
  <c r="D1058" i="2"/>
  <c r="C1058" i="2"/>
  <c r="E1058" i="2" s="1"/>
  <c r="D1057" i="2"/>
  <c r="C1057" i="2"/>
  <c r="E1057" i="2" s="1"/>
  <c r="D1056" i="2"/>
  <c r="C1056" i="2"/>
  <c r="E1056" i="2" s="1"/>
  <c r="D1055" i="2"/>
  <c r="C1055" i="2"/>
  <c r="E1055" i="2" s="1"/>
  <c r="D1054" i="2"/>
  <c r="C1054" i="2"/>
  <c r="E1054" i="2" s="1"/>
  <c r="D1053" i="2"/>
  <c r="C1053" i="2"/>
  <c r="E1053" i="2" s="1"/>
  <c r="D1052" i="2"/>
  <c r="C1052" i="2"/>
  <c r="E1052" i="2" s="1"/>
  <c r="D1051" i="2"/>
  <c r="C1051" i="2"/>
  <c r="E1051" i="2" s="1"/>
  <c r="D1050" i="2"/>
  <c r="C1050" i="2"/>
  <c r="E1050" i="2" s="1"/>
  <c r="D1049" i="2"/>
  <c r="C1049" i="2"/>
  <c r="D1048" i="2"/>
  <c r="C1048" i="2"/>
  <c r="D1047" i="2"/>
  <c r="C1047" i="2"/>
  <c r="D1046" i="2"/>
  <c r="C1046" i="2"/>
  <c r="E1046" i="2" s="1"/>
  <c r="D1045" i="2"/>
  <c r="C1045" i="2"/>
  <c r="E1045" i="2" s="1"/>
  <c r="D1044" i="2"/>
  <c r="C1044" i="2"/>
  <c r="E1044" i="2" s="1"/>
  <c r="D1043" i="2"/>
  <c r="C1043" i="2"/>
  <c r="E1043" i="2" s="1"/>
  <c r="D1042" i="2"/>
  <c r="C1042" i="2"/>
  <c r="E1042" i="2" s="1"/>
  <c r="D1041" i="2"/>
  <c r="C1041" i="2"/>
  <c r="E1041" i="2" s="1"/>
  <c r="D1040" i="2"/>
  <c r="C1040" i="2"/>
  <c r="E1040" i="2" s="1"/>
  <c r="D1039" i="2"/>
  <c r="C1039" i="2"/>
  <c r="E1039" i="2" s="1"/>
  <c r="D1038" i="2"/>
  <c r="C1038" i="2"/>
  <c r="E1038" i="2" s="1"/>
  <c r="D1037" i="2"/>
  <c r="C1037" i="2"/>
  <c r="E1037" i="2" s="1"/>
  <c r="D1036" i="2"/>
  <c r="C1036" i="2"/>
  <c r="E1036" i="2" s="1"/>
  <c r="D1035" i="2"/>
  <c r="C1035" i="2"/>
  <c r="E1035" i="2" s="1"/>
  <c r="D1034" i="2"/>
  <c r="C1034" i="2"/>
  <c r="E1034" i="2" s="1"/>
  <c r="D1033" i="2"/>
  <c r="C1033" i="2"/>
  <c r="E1033" i="2" s="1"/>
  <c r="D1032" i="2"/>
  <c r="C1032" i="2"/>
  <c r="E1032" i="2" s="1"/>
  <c r="D1031" i="2"/>
  <c r="C1031" i="2"/>
  <c r="E1031" i="2" s="1"/>
  <c r="D1030" i="2"/>
  <c r="C1030" i="2"/>
  <c r="E1030" i="2" s="1"/>
  <c r="D1029" i="2"/>
  <c r="C1029" i="2"/>
  <c r="E1029" i="2" s="1"/>
  <c r="D1028" i="2"/>
  <c r="C1028" i="2"/>
  <c r="E1028" i="2" s="1"/>
  <c r="D1027" i="2"/>
  <c r="C1027" i="2"/>
  <c r="E1027" i="2" s="1"/>
  <c r="D1026" i="2"/>
  <c r="C1026" i="2"/>
  <c r="E1026" i="2" s="1"/>
  <c r="D1025" i="2"/>
  <c r="C1025" i="2"/>
  <c r="E1025" i="2" s="1"/>
  <c r="D1024" i="2"/>
  <c r="C1024" i="2"/>
  <c r="E1024" i="2" s="1"/>
  <c r="D1023" i="2"/>
  <c r="C1023" i="2"/>
  <c r="E1023" i="2" s="1"/>
  <c r="D1022" i="2"/>
  <c r="C1022" i="2"/>
  <c r="E1022" i="2" s="1"/>
  <c r="D1021" i="2"/>
  <c r="C1021" i="2"/>
  <c r="E1021" i="2" s="1"/>
  <c r="D1020" i="2"/>
  <c r="C1020" i="2"/>
  <c r="E1020" i="2" s="1"/>
  <c r="D1019" i="2"/>
  <c r="C1019" i="2"/>
  <c r="E1019" i="2" s="1"/>
  <c r="D1018" i="2"/>
  <c r="C1018" i="2"/>
  <c r="E1018" i="2" s="1"/>
  <c r="D1017" i="2"/>
  <c r="C1017" i="2"/>
  <c r="E1017" i="2" s="1"/>
  <c r="D1016" i="2"/>
  <c r="C1016" i="2"/>
  <c r="E1016" i="2" s="1"/>
  <c r="D1015" i="2"/>
  <c r="C1015" i="2"/>
  <c r="E1015" i="2" s="1"/>
  <c r="D1014" i="2"/>
  <c r="C1014" i="2"/>
  <c r="E1014" i="2" s="1"/>
  <c r="D1013" i="2"/>
  <c r="C1013" i="2"/>
  <c r="E1013" i="2" s="1"/>
  <c r="D1012" i="2"/>
  <c r="C1012" i="2"/>
  <c r="E1012" i="2" s="1"/>
  <c r="D1011" i="2"/>
  <c r="C1011" i="2"/>
  <c r="E1011" i="2" s="1"/>
  <c r="D1010" i="2"/>
  <c r="C1010" i="2"/>
  <c r="E1010" i="2" s="1"/>
  <c r="D1009" i="2"/>
  <c r="C1009" i="2"/>
  <c r="E1009" i="2" s="1"/>
  <c r="D1008" i="2"/>
  <c r="C1008" i="2"/>
  <c r="E1008" i="2" s="1"/>
  <c r="D1007" i="2"/>
  <c r="C1007" i="2"/>
  <c r="E1007" i="2" s="1"/>
  <c r="D1006" i="2"/>
  <c r="C1006" i="2"/>
  <c r="E1006" i="2" s="1"/>
  <c r="D1005" i="2"/>
  <c r="C1005" i="2"/>
  <c r="E1005" i="2" s="1"/>
  <c r="D1004" i="2"/>
  <c r="C1004" i="2"/>
  <c r="E1004" i="2" s="1"/>
  <c r="D1003" i="2"/>
  <c r="C1003" i="2"/>
  <c r="E1003" i="2" s="1"/>
  <c r="D1002" i="2"/>
  <c r="C1002" i="2"/>
  <c r="E1002" i="2" s="1"/>
  <c r="D1001" i="2"/>
  <c r="C1001" i="2"/>
  <c r="E1001" i="2" s="1"/>
  <c r="D1000" i="2"/>
  <c r="C1000" i="2"/>
  <c r="E1000" i="2" s="1"/>
  <c r="D999" i="2"/>
  <c r="C999" i="2"/>
  <c r="E999" i="2" s="1"/>
  <c r="D998" i="2"/>
  <c r="C998" i="2"/>
  <c r="E998" i="2" s="1"/>
  <c r="D997" i="2"/>
  <c r="C997" i="2"/>
  <c r="E997" i="2" s="1"/>
  <c r="D996" i="2"/>
  <c r="C996" i="2"/>
  <c r="E996" i="2" s="1"/>
  <c r="D995" i="2"/>
  <c r="C995" i="2"/>
  <c r="E995" i="2" s="1"/>
  <c r="D994" i="2"/>
  <c r="C994" i="2"/>
  <c r="E994" i="2" s="1"/>
  <c r="D993" i="2"/>
  <c r="C993" i="2"/>
  <c r="E993" i="2" s="1"/>
  <c r="D992" i="2"/>
  <c r="C992" i="2"/>
  <c r="E992" i="2" s="1"/>
  <c r="D991" i="2"/>
  <c r="C991" i="2"/>
  <c r="E991" i="2" s="1"/>
  <c r="D990" i="2"/>
  <c r="C990" i="2"/>
  <c r="E990" i="2" s="1"/>
  <c r="D989" i="2"/>
  <c r="C989" i="2"/>
  <c r="E989" i="2" s="1"/>
  <c r="D988" i="2"/>
  <c r="C988" i="2"/>
  <c r="E988" i="2" s="1"/>
  <c r="D987" i="2"/>
  <c r="C987" i="2"/>
  <c r="E987" i="2" s="1"/>
  <c r="D986" i="2"/>
  <c r="C986" i="2"/>
  <c r="E986" i="2" s="1"/>
  <c r="D985" i="2"/>
  <c r="C985" i="2"/>
  <c r="E985" i="2" s="1"/>
  <c r="D984" i="2"/>
  <c r="C984" i="2"/>
  <c r="E984" i="2" s="1"/>
  <c r="D983" i="2"/>
  <c r="C983" i="2"/>
  <c r="E983" i="2" s="1"/>
  <c r="D982" i="2"/>
  <c r="C982" i="2"/>
  <c r="E982" i="2" s="1"/>
  <c r="D981" i="2"/>
  <c r="C981" i="2"/>
  <c r="E981" i="2" s="1"/>
  <c r="D980" i="2"/>
  <c r="C980" i="2"/>
  <c r="E980" i="2" s="1"/>
  <c r="D979" i="2"/>
  <c r="C979" i="2"/>
  <c r="E979" i="2" s="1"/>
  <c r="D978" i="2"/>
  <c r="C978" i="2"/>
  <c r="E978" i="2" s="1"/>
  <c r="D977" i="2"/>
  <c r="C977" i="2"/>
  <c r="E977" i="2" s="1"/>
  <c r="D976" i="2"/>
  <c r="C976" i="2"/>
  <c r="E976" i="2" s="1"/>
  <c r="D975" i="2"/>
  <c r="C975" i="2"/>
  <c r="E975" i="2" s="1"/>
  <c r="D974" i="2"/>
  <c r="C974" i="2"/>
  <c r="E974" i="2" s="1"/>
  <c r="D973" i="2"/>
  <c r="C973" i="2"/>
  <c r="E973" i="2" s="1"/>
  <c r="D972" i="2"/>
  <c r="C972" i="2"/>
  <c r="E972" i="2" s="1"/>
  <c r="D971" i="2"/>
  <c r="C971" i="2"/>
  <c r="E971" i="2" s="1"/>
  <c r="D970" i="2"/>
  <c r="C970" i="2"/>
  <c r="E970" i="2" s="1"/>
  <c r="D969" i="2"/>
  <c r="C969" i="2"/>
  <c r="E969" i="2" s="1"/>
  <c r="D968" i="2"/>
  <c r="C968" i="2"/>
  <c r="E968" i="2" s="1"/>
  <c r="D967" i="2"/>
  <c r="C967" i="2"/>
  <c r="E967" i="2" s="1"/>
  <c r="D966" i="2"/>
  <c r="C966" i="2"/>
  <c r="E966" i="2" s="1"/>
  <c r="D965" i="2"/>
  <c r="C965" i="2"/>
  <c r="E965" i="2" s="1"/>
  <c r="D964" i="2"/>
  <c r="C964" i="2"/>
  <c r="E964" i="2" s="1"/>
  <c r="D963" i="2"/>
  <c r="C963" i="2"/>
  <c r="E963" i="2" s="1"/>
  <c r="D962" i="2"/>
  <c r="C962" i="2"/>
  <c r="E962" i="2" s="1"/>
  <c r="D961" i="2"/>
  <c r="C961" i="2"/>
  <c r="E961" i="2" s="1"/>
  <c r="D960" i="2"/>
  <c r="C960" i="2"/>
  <c r="E960" i="2" s="1"/>
  <c r="D959" i="2"/>
  <c r="C959" i="2"/>
  <c r="E959" i="2" s="1"/>
  <c r="D958" i="2"/>
  <c r="C958" i="2"/>
  <c r="D957" i="2"/>
  <c r="C957" i="2"/>
  <c r="E957" i="2" s="1"/>
  <c r="D956" i="2"/>
  <c r="C956" i="2"/>
  <c r="E956" i="2" s="1"/>
  <c r="D955" i="2"/>
  <c r="C955" i="2"/>
  <c r="E955" i="2" s="1"/>
  <c r="D954" i="2"/>
  <c r="C954" i="2"/>
  <c r="E954" i="2" s="1"/>
  <c r="D953" i="2"/>
  <c r="C953" i="2"/>
  <c r="E953" i="2" s="1"/>
  <c r="D952" i="2"/>
  <c r="C952" i="2"/>
  <c r="E952" i="2" s="1"/>
  <c r="D951" i="2"/>
  <c r="C951" i="2"/>
  <c r="E951" i="2" s="1"/>
  <c r="D950" i="2"/>
  <c r="C950" i="2"/>
  <c r="E950" i="2" s="1"/>
  <c r="D949" i="2"/>
  <c r="C949" i="2"/>
  <c r="E949" i="2" s="1"/>
  <c r="D948" i="2"/>
  <c r="C948" i="2"/>
  <c r="E948" i="2" s="1"/>
  <c r="D947" i="2"/>
  <c r="C947" i="2"/>
  <c r="E947" i="2" s="1"/>
  <c r="D946" i="2"/>
  <c r="C946" i="2"/>
  <c r="E946" i="2" s="1"/>
  <c r="D945" i="2"/>
  <c r="C945" i="2"/>
  <c r="E945" i="2" s="1"/>
  <c r="D944" i="2"/>
  <c r="C944" i="2"/>
  <c r="E944" i="2" s="1"/>
  <c r="D943" i="2"/>
  <c r="C943" i="2"/>
  <c r="E943" i="2" s="1"/>
  <c r="D942" i="2"/>
  <c r="C942" i="2"/>
  <c r="E942" i="2" s="1"/>
  <c r="D941" i="2"/>
  <c r="C941" i="2"/>
  <c r="E941" i="2" s="1"/>
  <c r="D940" i="2"/>
  <c r="C940" i="2"/>
  <c r="E940" i="2" s="1"/>
  <c r="D939" i="2"/>
  <c r="C939" i="2"/>
  <c r="E939" i="2" s="1"/>
  <c r="D938" i="2"/>
  <c r="C938" i="2"/>
  <c r="E938" i="2" s="1"/>
  <c r="D937" i="2"/>
  <c r="C937" i="2"/>
  <c r="E937" i="2" s="1"/>
  <c r="D936" i="2"/>
  <c r="C936" i="2"/>
  <c r="E936" i="2" s="1"/>
  <c r="D935" i="2"/>
  <c r="C935" i="2"/>
  <c r="E935" i="2" s="1"/>
  <c r="D934" i="2"/>
  <c r="C934" i="2"/>
  <c r="E934" i="2" s="1"/>
  <c r="D933" i="2"/>
  <c r="C933" i="2"/>
  <c r="E933" i="2" s="1"/>
  <c r="D932" i="2"/>
  <c r="C932" i="2"/>
  <c r="E932" i="2" s="1"/>
  <c r="D931" i="2"/>
  <c r="C931" i="2"/>
  <c r="E931" i="2" s="1"/>
  <c r="D930" i="2"/>
  <c r="C930" i="2"/>
  <c r="E930" i="2" s="1"/>
  <c r="D929" i="2"/>
  <c r="C929" i="2"/>
  <c r="E929" i="2" s="1"/>
  <c r="D928" i="2"/>
  <c r="C928" i="2"/>
  <c r="E928" i="2" s="1"/>
  <c r="D927" i="2"/>
  <c r="C927" i="2"/>
  <c r="E927" i="2" s="1"/>
  <c r="D926" i="2"/>
  <c r="C926" i="2"/>
  <c r="E926" i="2" s="1"/>
  <c r="D925" i="2"/>
  <c r="C925" i="2"/>
  <c r="E925" i="2" s="1"/>
  <c r="D924" i="2"/>
  <c r="C924" i="2"/>
  <c r="E924" i="2" s="1"/>
  <c r="D923" i="2"/>
  <c r="C923" i="2"/>
  <c r="E923" i="2" s="1"/>
  <c r="D922" i="2"/>
  <c r="C922" i="2"/>
  <c r="E922" i="2" s="1"/>
  <c r="D921" i="2"/>
  <c r="C921" i="2"/>
  <c r="E921" i="2" s="1"/>
  <c r="D920" i="2"/>
  <c r="C920" i="2"/>
  <c r="E920" i="2" s="1"/>
  <c r="D919" i="2"/>
  <c r="C919" i="2"/>
  <c r="E919" i="2" s="1"/>
  <c r="D918" i="2"/>
  <c r="C918" i="2"/>
  <c r="E918" i="2" s="1"/>
  <c r="D917" i="2"/>
  <c r="C917" i="2"/>
  <c r="E917" i="2" s="1"/>
  <c r="D916" i="2"/>
  <c r="C916" i="2"/>
  <c r="E916" i="2" s="1"/>
  <c r="D915" i="2"/>
  <c r="C915" i="2"/>
  <c r="E915" i="2" s="1"/>
  <c r="D914" i="2"/>
  <c r="C914" i="2"/>
  <c r="E914" i="2" s="1"/>
  <c r="D913" i="2"/>
  <c r="C913" i="2"/>
  <c r="E913" i="2" s="1"/>
  <c r="D912" i="2"/>
  <c r="C912" i="2"/>
  <c r="E912" i="2" s="1"/>
  <c r="D911" i="2"/>
  <c r="C911" i="2"/>
  <c r="E911" i="2" s="1"/>
  <c r="D910" i="2"/>
  <c r="C910" i="2"/>
  <c r="E910" i="2" s="1"/>
  <c r="D909" i="2"/>
  <c r="C909" i="2"/>
  <c r="E909" i="2" s="1"/>
  <c r="D908" i="2"/>
  <c r="C908" i="2"/>
  <c r="E908" i="2" s="1"/>
  <c r="D907" i="2"/>
  <c r="C907" i="2"/>
  <c r="E907" i="2" s="1"/>
  <c r="D906" i="2"/>
  <c r="C906" i="2"/>
  <c r="E906" i="2" s="1"/>
  <c r="D905" i="2"/>
  <c r="C905" i="2"/>
  <c r="E905" i="2" s="1"/>
  <c r="D904" i="2"/>
  <c r="C904" i="2"/>
  <c r="E904" i="2" s="1"/>
  <c r="D903" i="2"/>
  <c r="C903" i="2"/>
  <c r="E903" i="2" s="1"/>
  <c r="D902" i="2"/>
  <c r="C902" i="2"/>
  <c r="E902" i="2" s="1"/>
  <c r="D901" i="2"/>
  <c r="C901" i="2"/>
  <c r="E901" i="2" s="1"/>
  <c r="D900" i="2"/>
  <c r="C900" i="2"/>
  <c r="E900" i="2" s="1"/>
  <c r="D899" i="2"/>
  <c r="C899" i="2"/>
  <c r="E899" i="2" s="1"/>
  <c r="D898" i="2"/>
  <c r="C898" i="2"/>
  <c r="E898" i="2" s="1"/>
  <c r="D897" i="2"/>
  <c r="C897" i="2"/>
  <c r="E897" i="2" s="1"/>
  <c r="D896" i="2"/>
  <c r="C896" i="2"/>
  <c r="E896" i="2" s="1"/>
  <c r="D895" i="2"/>
  <c r="C895" i="2"/>
  <c r="E895" i="2" s="1"/>
  <c r="D894" i="2"/>
  <c r="C894" i="2"/>
  <c r="E894" i="2" s="1"/>
  <c r="D893" i="2"/>
  <c r="C893" i="2"/>
  <c r="E893" i="2" s="1"/>
  <c r="D892" i="2"/>
  <c r="C892" i="2"/>
  <c r="E892" i="2" s="1"/>
  <c r="D891" i="2"/>
  <c r="C891" i="2"/>
  <c r="E891" i="2" s="1"/>
  <c r="D890" i="2"/>
  <c r="C890" i="2"/>
  <c r="E890" i="2" s="1"/>
  <c r="D889" i="2"/>
  <c r="C889" i="2"/>
  <c r="E889" i="2" s="1"/>
  <c r="D888" i="2"/>
  <c r="C888" i="2"/>
  <c r="E888" i="2" s="1"/>
  <c r="D887" i="2"/>
  <c r="C887" i="2"/>
  <c r="E887" i="2" s="1"/>
  <c r="D886" i="2"/>
  <c r="C886" i="2"/>
  <c r="E886" i="2" s="1"/>
  <c r="D885" i="2"/>
  <c r="C885" i="2"/>
  <c r="E885" i="2" s="1"/>
  <c r="D884" i="2"/>
  <c r="C884" i="2"/>
  <c r="E884" i="2" s="1"/>
  <c r="D883" i="2"/>
  <c r="C883" i="2"/>
  <c r="E883" i="2" s="1"/>
  <c r="D882" i="2"/>
  <c r="C882" i="2"/>
  <c r="D881" i="2"/>
  <c r="C881" i="2"/>
  <c r="E881" i="2" s="1"/>
  <c r="D880" i="2"/>
  <c r="C880" i="2"/>
  <c r="E880" i="2" s="1"/>
  <c r="D879" i="2"/>
  <c r="C879" i="2"/>
  <c r="E879" i="2" s="1"/>
  <c r="D878" i="2"/>
  <c r="C878" i="2"/>
  <c r="D877" i="2"/>
  <c r="C877" i="2"/>
  <c r="E877" i="2" s="1"/>
  <c r="D876" i="2"/>
  <c r="C876" i="2"/>
  <c r="D875" i="2"/>
  <c r="C875" i="2"/>
  <c r="E875" i="2" s="1"/>
  <c r="D874" i="2"/>
  <c r="C874" i="2"/>
  <c r="E874" i="2" s="1"/>
  <c r="D873" i="2"/>
  <c r="C873" i="2"/>
  <c r="E873" i="2" s="1"/>
  <c r="D872" i="2"/>
  <c r="C872" i="2"/>
  <c r="E872" i="2" s="1"/>
  <c r="D871" i="2"/>
  <c r="C871" i="2"/>
  <c r="E871" i="2" s="1"/>
  <c r="D870" i="2"/>
  <c r="C870" i="2"/>
  <c r="E870" i="2" s="1"/>
  <c r="D869" i="2"/>
  <c r="C869" i="2"/>
  <c r="E869" i="2" s="1"/>
  <c r="D868" i="2"/>
  <c r="C868" i="2"/>
  <c r="E868" i="2" s="1"/>
  <c r="D867" i="2"/>
  <c r="C867" i="2"/>
  <c r="E867" i="2" s="1"/>
  <c r="D866" i="2"/>
  <c r="C866" i="2"/>
  <c r="E866" i="2" s="1"/>
  <c r="D865" i="2"/>
  <c r="C865" i="2"/>
  <c r="E865" i="2" s="1"/>
  <c r="D864" i="2"/>
  <c r="C864" i="2"/>
  <c r="E864" i="2" s="1"/>
  <c r="D863" i="2"/>
  <c r="C863" i="2"/>
  <c r="E863" i="2" s="1"/>
  <c r="D862" i="2"/>
  <c r="C862" i="2"/>
  <c r="E862" i="2" s="1"/>
  <c r="D861" i="2"/>
  <c r="C861" i="2"/>
  <c r="E861" i="2" s="1"/>
  <c r="D860" i="2"/>
  <c r="C860" i="2"/>
  <c r="E860" i="2" s="1"/>
  <c r="D859" i="2"/>
  <c r="C859" i="2"/>
  <c r="E859" i="2" s="1"/>
  <c r="D858" i="2"/>
  <c r="C858" i="2"/>
  <c r="E858" i="2" s="1"/>
  <c r="D857" i="2"/>
  <c r="C857" i="2"/>
  <c r="E857" i="2" s="1"/>
  <c r="D856" i="2"/>
  <c r="C856" i="2"/>
  <c r="E856" i="2" s="1"/>
  <c r="D855" i="2"/>
  <c r="C855" i="2"/>
  <c r="E855" i="2" s="1"/>
  <c r="D854" i="2"/>
  <c r="C854" i="2"/>
  <c r="E854" i="2" s="1"/>
  <c r="D853" i="2"/>
  <c r="C853" i="2"/>
  <c r="E853" i="2" s="1"/>
  <c r="D852" i="2"/>
  <c r="C852" i="2"/>
  <c r="E852" i="2" s="1"/>
  <c r="D851" i="2"/>
  <c r="C851" i="2"/>
  <c r="E851" i="2" s="1"/>
  <c r="D850" i="2"/>
  <c r="C850" i="2"/>
  <c r="E850" i="2" s="1"/>
  <c r="D849" i="2"/>
  <c r="C849" i="2"/>
  <c r="E849" i="2" s="1"/>
  <c r="D848" i="2"/>
  <c r="C848" i="2"/>
  <c r="E848" i="2" s="1"/>
  <c r="D847" i="2"/>
  <c r="C847" i="2"/>
  <c r="E847" i="2" s="1"/>
  <c r="D846" i="2"/>
  <c r="C846" i="2"/>
  <c r="E846" i="2" s="1"/>
  <c r="D845" i="2"/>
  <c r="C845" i="2"/>
  <c r="E845" i="2" s="1"/>
  <c r="D844" i="2"/>
  <c r="C844" i="2"/>
  <c r="E844" i="2" s="1"/>
  <c r="D843" i="2"/>
  <c r="C843" i="2"/>
  <c r="E843" i="2" s="1"/>
  <c r="D842" i="2"/>
  <c r="C842" i="2"/>
  <c r="E842" i="2" s="1"/>
  <c r="D841" i="2"/>
  <c r="C841" i="2"/>
  <c r="E841" i="2" s="1"/>
  <c r="D840" i="2"/>
  <c r="C840" i="2"/>
  <c r="E840" i="2" s="1"/>
  <c r="D839" i="2"/>
  <c r="C839" i="2"/>
  <c r="E839" i="2" s="1"/>
  <c r="D838" i="2"/>
  <c r="C838" i="2"/>
  <c r="E838" i="2" s="1"/>
  <c r="D837" i="2"/>
  <c r="C837" i="2"/>
  <c r="E837" i="2" s="1"/>
  <c r="D836" i="2"/>
  <c r="C836" i="2"/>
  <c r="E836" i="2" s="1"/>
  <c r="D835" i="2"/>
  <c r="C835" i="2"/>
  <c r="E835" i="2" s="1"/>
  <c r="D834" i="2"/>
  <c r="C834" i="2"/>
  <c r="E834" i="2" s="1"/>
  <c r="D833" i="2"/>
  <c r="C833" i="2"/>
  <c r="E833" i="2" s="1"/>
  <c r="D832" i="2"/>
  <c r="C832" i="2"/>
  <c r="E832" i="2" s="1"/>
  <c r="D831" i="2"/>
  <c r="C831" i="2"/>
  <c r="E831" i="2" s="1"/>
  <c r="D830" i="2"/>
  <c r="C830" i="2"/>
  <c r="E830" i="2" s="1"/>
  <c r="D829" i="2"/>
  <c r="C829" i="2"/>
  <c r="E829" i="2" s="1"/>
  <c r="D828" i="2"/>
  <c r="C828" i="2"/>
  <c r="E828" i="2" s="1"/>
  <c r="D827" i="2"/>
  <c r="C827" i="2"/>
  <c r="E827" i="2" s="1"/>
  <c r="D826" i="2"/>
  <c r="C826" i="2"/>
  <c r="E826" i="2" s="1"/>
  <c r="D825" i="2"/>
  <c r="C825" i="2"/>
  <c r="E825" i="2" s="1"/>
  <c r="D824" i="2"/>
  <c r="C824" i="2"/>
  <c r="E824" i="2" s="1"/>
  <c r="D823" i="2"/>
  <c r="C823" i="2"/>
  <c r="E823" i="2" s="1"/>
  <c r="D822" i="2"/>
  <c r="C822" i="2"/>
  <c r="E822" i="2" s="1"/>
  <c r="D821" i="2"/>
  <c r="C821" i="2"/>
  <c r="E821" i="2" s="1"/>
  <c r="D820" i="2"/>
  <c r="C820" i="2"/>
  <c r="E820" i="2" s="1"/>
  <c r="D819" i="2"/>
  <c r="C819" i="2"/>
  <c r="E819" i="2" s="1"/>
  <c r="D818" i="2"/>
  <c r="C818" i="2"/>
  <c r="E818" i="2" s="1"/>
  <c r="D817" i="2"/>
  <c r="C817" i="2"/>
  <c r="E817" i="2" s="1"/>
  <c r="D816" i="2"/>
  <c r="C816" i="2"/>
  <c r="E816" i="2" s="1"/>
  <c r="D815" i="2"/>
  <c r="C815" i="2"/>
  <c r="E815" i="2" s="1"/>
  <c r="D814" i="2"/>
  <c r="C814" i="2"/>
  <c r="E814" i="2" s="1"/>
  <c r="D813" i="2"/>
  <c r="C813" i="2"/>
  <c r="E813" i="2" s="1"/>
  <c r="D812" i="2"/>
  <c r="C812" i="2"/>
  <c r="E812" i="2" s="1"/>
  <c r="D811" i="2"/>
  <c r="C811" i="2"/>
  <c r="E811" i="2" s="1"/>
  <c r="D810" i="2"/>
  <c r="C810" i="2"/>
  <c r="E810" i="2" s="1"/>
  <c r="D809" i="2"/>
  <c r="C809" i="2"/>
  <c r="E809" i="2" s="1"/>
  <c r="D808" i="2"/>
  <c r="C808" i="2"/>
  <c r="E808" i="2" s="1"/>
  <c r="D807" i="2"/>
  <c r="C807" i="2"/>
  <c r="E807" i="2" s="1"/>
  <c r="D806" i="2"/>
  <c r="C806" i="2"/>
  <c r="E806" i="2" s="1"/>
  <c r="D805" i="2"/>
  <c r="C805" i="2"/>
  <c r="E805" i="2" s="1"/>
  <c r="D804" i="2"/>
  <c r="C804" i="2"/>
  <c r="E804" i="2" s="1"/>
  <c r="D803" i="2"/>
  <c r="C803" i="2"/>
  <c r="E803" i="2" s="1"/>
  <c r="D802" i="2"/>
  <c r="C802" i="2"/>
  <c r="E802" i="2" s="1"/>
  <c r="D801" i="2"/>
  <c r="C801" i="2"/>
  <c r="E801" i="2" s="1"/>
  <c r="D800" i="2"/>
  <c r="C800" i="2"/>
  <c r="E800" i="2" s="1"/>
  <c r="D799" i="2"/>
  <c r="C799" i="2"/>
  <c r="E799" i="2" s="1"/>
  <c r="D798" i="2"/>
  <c r="C798" i="2"/>
  <c r="E798" i="2" s="1"/>
  <c r="D797" i="2"/>
  <c r="C797" i="2"/>
  <c r="D796" i="2"/>
  <c r="C796" i="2"/>
  <c r="E796" i="2" s="1"/>
  <c r="D795" i="2"/>
  <c r="C795" i="2"/>
  <c r="E795" i="2" s="1"/>
  <c r="D794" i="2"/>
  <c r="C794" i="2"/>
  <c r="E794" i="2" s="1"/>
  <c r="D793" i="2"/>
  <c r="C793" i="2"/>
  <c r="E793" i="2" s="1"/>
  <c r="D792" i="2"/>
  <c r="C792" i="2"/>
  <c r="E792" i="2" s="1"/>
  <c r="D791" i="2"/>
  <c r="C791" i="2"/>
  <c r="E791" i="2" s="1"/>
  <c r="D790" i="2"/>
  <c r="C790" i="2"/>
  <c r="E790" i="2" s="1"/>
  <c r="D789" i="2"/>
  <c r="C789" i="2"/>
  <c r="E789" i="2" s="1"/>
  <c r="D788" i="2"/>
  <c r="C788" i="2"/>
  <c r="E788" i="2" s="1"/>
  <c r="D787" i="2"/>
  <c r="C787" i="2"/>
  <c r="E787" i="2" s="1"/>
  <c r="D786" i="2"/>
  <c r="C786" i="2"/>
  <c r="E786" i="2" s="1"/>
  <c r="D785" i="2"/>
  <c r="C785" i="2"/>
  <c r="E785" i="2" s="1"/>
  <c r="D784" i="2"/>
  <c r="C784" i="2"/>
  <c r="E784" i="2" s="1"/>
  <c r="D783" i="2"/>
  <c r="C783" i="2"/>
  <c r="E783" i="2" s="1"/>
  <c r="D782" i="2"/>
  <c r="C782" i="2"/>
  <c r="E782" i="2" s="1"/>
  <c r="D781" i="2"/>
  <c r="C781" i="2"/>
  <c r="E781" i="2" s="1"/>
  <c r="D780" i="2"/>
  <c r="C780" i="2"/>
  <c r="E780" i="2" s="1"/>
  <c r="D779" i="2"/>
  <c r="C779" i="2"/>
  <c r="E779" i="2" s="1"/>
  <c r="D778" i="2"/>
  <c r="C778" i="2"/>
  <c r="E778" i="2" s="1"/>
  <c r="D777" i="2"/>
  <c r="C777" i="2"/>
  <c r="E777" i="2" s="1"/>
  <c r="D776" i="2"/>
  <c r="C776" i="2"/>
  <c r="E776" i="2" s="1"/>
  <c r="D775" i="2"/>
  <c r="C775" i="2"/>
  <c r="D774" i="2"/>
  <c r="C774" i="2"/>
  <c r="E774" i="2" s="1"/>
  <c r="D773" i="2"/>
  <c r="C773" i="2"/>
  <c r="E773" i="2" s="1"/>
  <c r="D772" i="2"/>
  <c r="C772" i="2"/>
  <c r="E772" i="2" s="1"/>
  <c r="D771" i="2"/>
  <c r="C771" i="2"/>
  <c r="E771" i="2" s="1"/>
  <c r="D770" i="2"/>
  <c r="C770" i="2"/>
  <c r="E770" i="2" s="1"/>
  <c r="D769" i="2"/>
  <c r="C769" i="2"/>
  <c r="E769" i="2" s="1"/>
  <c r="D768" i="2"/>
  <c r="C768" i="2"/>
  <c r="E768" i="2" s="1"/>
  <c r="D767" i="2"/>
  <c r="C767" i="2"/>
  <c r="E767" i="2" s="1"/>
  <c r="D766" i="2"/>
  <c r="C766" i="2"/>
  <c r="E766" i="2" s="1"/>
  <c r="D765" i="2"/>
  <c r="C765" i="2"/>
  <c r="E765" i="2" s="1"/>
  <c r="D764" i="2"/>
  <c r="C764" i="2"/>
  <c r="E764" i="2" s="1"/>
  <c r="D763" i="2"/>
  <c r="C763" i="2"/>
  <c r="E763" i="2" s="1"/>
  <c r="D762" i="2"/>
  <c r="C762" i="2"/>
  <c r="E762" i="2" s="1"/>
  <c r="D761" i="2"/>
  <c r="C761" i="2"/>
  <c r="E761" i="2" s="1"/>
  <c r="D760" i="2"/>
  <c r="C760" i="2"/>
  <c r="E760" i="2" s="1"/>
  <c r="D759" i="2"/>
  <c r="C759" i="2"/>
  <c r="E759" i="2" s="1"/>
  <c r="D758" i="2"/>
  <c r="C758" i="2"/>
  <c r="E758" i="2" s="1"/>
  <c r="D757" i="2"/>
  <c r="C757" i="2"/>
  <c r="E757" i="2" s="1"/>
  <c r="D756" i="2"/>
  <c r="C756" i="2"/>
  <c r="E756" i="2" s="1"/>
  <c r="D755" i="2"/>
  <c r="C755" i="2"/>
  <c r="E755" i="2" s="1"/>
  <c r="D754" i="2"/>
  <c r="C754" i="2"/>
  <c r="E754" i="2" s="1"/>
  <c r="D753" i="2"/>
  <c r="C753" i="2"/>
  <c r="E753" i="2" s="1"/>
  <c r="D752" i="2"/>
  <c r="C752" i="2"/>
  <c r="E752" i="2" s="1"/>
  <c r="D751" i="2"/>
  <c r="C751" i="2"/>
  <c r="E751" i="2" s="1"/>
  <c r="D750" i="2"/>
  <c r="C750" i="2"/>
  <c r="E750" i="2" s="1"/>
  <c r="D749" i="2"/>
  <c r="C749" i="2"/>
  <c r="E749" i="2" s="1"/>
  <c r="D748" i="2"/>
  <c r="C748" i="2"/>
  <c r="E748" i="2" s="1"/>
  <c r="D747" i="2"/>
  <c r="C747" i="2"/>
  <c r="E747" i="2" s="1"/>
  <c r="D746" i="2"/>
  <c r="C746" i="2"/>
  <c r="E746" i="2" s="1"/>
  <c r="D745" i="2"/>
  <c r="C745" i="2"/>
  <c r="E745" i="2" s="1"/>
  <c r="D744" i="2"/>
  <c r="C744" i="2"/>
  <c r="E744" i="2" s="1"/>
  <c r="D743" i="2"/>
  <c r="C743" i="2"/>
  <c r="E743" i="2" s="1"/>
  <c r="D742" i="2"/>
  <c r="C742" i="2"/>
  <c r="E742" i="2" s="1"/>
  <c r="D741" i="2"/>
  <c r="C741" i="2"/>
  <c r="E741" i="2" s="1"/>
  <c r="D740" i="2"/>
  <c r="C740" i="2"/>
  <c r="E740" i="2" s="1"/>
  <c r="D739" i="2"/>
  <c r="C739" i="2"/>
  <c r="E739" i="2" s="1"/>
  <c r="D738" i="2"/>
  <c r="C738" i="2"/>
  <c r="E738" i="2" s="1"/>
  <c r="D737" i="2"/>
  <c r="C737" i="2"/>
  <c r="E737" i="2" s="1"/>
  <c r="D736" i="2"/>
  <c r="C736" i="2"/>
  <c r="E736" i="2" s="1"/>
  <c r="D735" i="2"/>
  <c r="C735" i="2"/>
  <c r="D734" i="2"/>
  <c r="C734" i="2"/>
  <c r="E734" i="2" s="1"/>
  <c r="D733" i="2"/>
  <c r="C733" i="2"/>
  <c r="E733" i="2" s="1"/>
  <c r="D732" i="2"/>
  <c r="C732" i="2"/>
  <c r="E732" i="2" s="1"/>
  <c r="D731" i="2"/>
  <c r="C731" i="2"/>
  <c r="E731" i="2" s="1"/>
  <c r="D730" i="2"/>
  <c r="C730" i="2"/>
  <c r="E730" i="2" s="1"/>
  <c r="D729" i="2"/>
  <c r="C729" i="2"/>
  <c r="E729" i="2" s="1"/>
  <c r="D728" i="2"/>
  <c r="C728" i="2"/>
  <c r="E728" i="2" s="1"/>
  <c r="D727" i="2"/>
  <c r="C727" i="2"/>
  <c r="E727" i="2" s="1"/>
  <c r="D726" i="2"/>
  <c r="C726" i="2"/>
  <c r="E726" i="2" s="1"/>
  <c r="D725" i="2"/>
  <c r="C725" i="2"/>
  <c r="E725" i="2" s="1"/>
  <c r="D724" i="2"/>
  <c r="C724" i="2"/>
  <c r="E724" i="2" s="1"/>
  <c r="D723" i="2"/>
  <c r="C723" i="2"/>
  <c r="E723" i="2" s="1"/>
  <c r="D722" i="2"/>
  <c r="C722" i="2"/>
  <c r="E722" i="2" s="1"/>
  <c r="D721" i="2"/>
  <c r="C721" i="2"/>
  <c r="E721" i="2" s="1"/>
  <c r="D720" i="2"/>
  <c r="C720" i="2"/>
  <c r="E720" i="2" s="1"/>
  <c r="D719" i="2"/>
  <c r="C719" i="2"/>
  <c r="D718" i="2"/>
  <c r="C718" i="2"/>
  <c r="E718" i="2" s="1"/>
  <c r="D717" i="2"/>
  <c r="C717" i="2"/>
  <c r="D716" i="2"/>
  <c r="C716" i="2"/>
  <c r="E716" i="2" s="1"/>
  <c r="D715" i="2"/>
  <c r="C715" i="2"/>
  <c r="E715" i="2" s="1"/>
  <c r="D714" i="2"/>
  <c r="C714" i="2"/>
  <c r="E714" i="2" s="1"/>
  <c r="D713" i="2"/>
  <c r="C713" i="2"/>
  <c r="E713" i="2" s="1"/>
  <c r="D712" i="2"/>
  <c r="C712" i="2"/>
  <c r="E712" i="2" s="1"/>
  <c r="D711" i="2"/>
  <c r="C711" i="2"/>
  <c r="E711" i="2" s="1"/>
  <c r="D710" i="2"/>
  <c r="C710" i="2"/>
  <c r="E710" i="2" s="1"/>
  <c r="D709" i="2"/>
  <c r="C709" i="2"/>
  <c r="E709" i="2" s="1"/>
  <c r="D708" i="2"/>
  <c r="C708" i="2"/>
  <c r="E708" i="2" s="1"/>
  <c r="D707" i="2"/>
  <c r="C707" i="2"/>
  <c r="D706" i="2"/>
  <c r="C706" i="2"/>
  <c r="E706" i="2" s="1"/>
  <c r="D705" i="2"/>
  <c r="C705" i="2"/>
  <c r="E705" i="2" s="1"/>
  <c r="D704" i="2"/>
  <c r="C704" i="2"/>
  <c r="E704" i="2" s="1"/>
  <c r="D703" i="2"/>
  <c r="C703" i="2"/>
  <c r="E703" i="2" s="1"/>
  <c r="D702" i="2"/>
  <c r="C702" i="2"/>
  <c r="E702" i="2" s="1"/>
  <c r="D701" i="2"/>
  <c r="C701" i="2"/>
  <c r="E701" i="2" s="1"/>
  <c r="D700" i="2"/>
  <c r="C700" i="2"/>
  <c r="E700" i="2" s="1"/>
  <c r="D699" i="2"/>
  <c r="C699" i="2"/>
  <c r="E699" i="2" s="1"/>
  <c r="D698" i="2"/>
  <c r="C698" i="2"/>
  <c r="E698" i="2" s="1"/>
  <c r="D697" i="2"/>
  <c r="C697" i="2"/>
  <c r="E697" i="2" s="1"/>
  <c r="D696" i="2"/>
  <c r="C696" i="2"/>
  <c r="E696" i="2" s="1"/>
  <c r="D695" i="2"/>
  <c r="C695" i="2"/>
  <c r="E695" i="2" s="1"/>
  <c r="D694" i="2"/>
  <c r="C694" i="2"/>
  <c r="E694" i="2" s="1"/>
  <c r="D693" i="2"/>
  <c r="C693" i="2"/>
  <c r="E693" i="2" s="1"/>
  <c r="D692" i="2"/>
  <c r="C692" i="2"/>
  <c r="E692" i="2" s="1"/>
  <c r="D691" i="2"/>
  <c r="C691" i="2"/>
  <c r="E691" i="2" s="1"/>
  <c r="D690" i="2"/>
  <c r="C690" i="2"/>
  <c r="E690" i="2" s="1"/>
  <c r="D689" i="2"/>
  <c r="C689" i="2"/>
  <c r="E689" i="2" s="1"/>
  <c r="D688" i="2"/>
  <c r="C688" i="2"/>
  <c r="E688" i="2" s="1"/>
  <c r="D687" i="2"/>
  <c r="C687" i="2"/>
  <c r="E687" i="2" s="1"/>
  <c r="D686" i="2"/>
  <c r="C686" i="2"/>
  <c r="E686" i="2" s="1"/>
  <c r="D685" i="2"/>
  <c r="C685" i="2"/>
  <c r="E685" i="2" s="1"/>
  <c r="D684" i="2"/>
  <c r="C684" i="2"/>
  <c r="E684" i="2" s="1"/>
  <c r="D683" i="2"/>
  <c r="C683" i="2"/>
  <c r="E683" i="2" s="1"/>
  <c r="D682" i="2"/>
  <c r="C682" i="2"/>
  <c r="E682" i="2" s="1"/>
  <c r="D681" i="2"/>
  <c r="C681" i="2"/>
  <c r="E681" i="2" s="1"/>
  <c r="D680" i="2"/>
  <c r="C680" i="2"/>
  <c r="E680" i="2" s="1"/>
  <c r="D679" i="2"/>
  <c r="C679" i="2"/>
  <c r="E679" i="2" s="1"/>
  <c r="D678" i="2"/>
  <c r="C678" i="2"/>
  <c r="E678" i="2" s="1"/>
  <c r="D677" i="2"/>
  <c r="C677" i="2"/>
  <c r="E677" i="2" s="1"/>
  <c r="D676" i="2"/>
  <c r="C676" i="2"/>
  <c r="E676" i="2" s="1"/>
  <c r="D675" i="2"/>
  <c r="C675" i="2"/>
  <c r="E675" i="2" s="1"/>
  <c r="D674" i="2"/>
  <c r="C674" i="2"/>
  <c r="E674" i="2" s="1"/>
  <c r="D673" i="2"/>
  <c r="C673" i="2"/>
  <c r="E673" i="2" s="1"/>
  <c r="D672" i="2"/>
  <c r="C672" i="2"/>
  <c r="E672" i="2" s="1"/>
  <c r="D671" i="2"/>
  <c r="C671" i="2"/>
  <c r="E671" i="2" s="1"/>
  <c r="D670" i="2"/>
  <c r="C670" i="2"/>
  <c r="E670" i="2" s="1"/>
  <c r="D669" i="2"/>
  <c r="C669" i="2"/>
  <c r="E669" i="2" s="1"/>
  <c r="D668" i="2"/>
  <c r="C668" i="2"/>
  <c r="E668" i="2" s="1"/>
  <c r="D667" i="2"/>
  <c r="C667" i="2"/>
  <c r="E667" i="2" s="1"/>
  <c r="D666" i="2"/>
  <c r="C666" i="2"/>
  <c r="E666" i="2" s="1"/>
  <c r="D665" i="2"/>
  <c r="C665" i="2"/>
  <c r="E665" i="2" s="1"/>
  <c r="D664" i="2"/>
  <c r="C664" i="2"/>
  <c r="E664" i="2" s="1"/>
  <c r="D663" i="2"/>
  <c r="C663" i="2"/>
  <c r="E663" i="2" s="1"/>
  <c r="D662" i="2"/>
  <c r="C662" i="2"/>
  <c r="E662" i="2" s="1"/>
  <c r="D661" i="2"/>
  <c r="C661" i="2"/>
  <c r="E661" i="2" s="1"/>
  <c r="D660" i="2"/>
  <c r="C660" i="2"/>
  <c r="E660" i="2" s="1"/>
  <c r="D659" i="2"/>
  <c r="C659" i="2"/>
  <c r="E659" i="2" s="1"/>
  <c r="D658" i="2"/>
  <c r="C658" i="2"/>
  <c r="E658" i="2" s="1"/>
  <c r="D657" i="2"/>
  <c r="C657" i="2"/>
  <c r="E657" i="2" s="1"/>
  <c r="D656" i="2"/>
  <c r="C656" i="2"/>
  <c r="E656" i="2" s="1"/>
  <c r="D655" i="2"/>
  <c r="C655" i="2"/>
  <c r="E655" i="2" s="1"/>
  <c r="D654" i="2"/>
  <c r="C654" i="2"/>
  <c r="E654" i="2" s="1"/>
  <c r="D653" i="2"/>
  <c r="C653" i="2"/>
  <c r="E653" i="2" s="1"/>
  <c r="D652" i="2"/>
  <c r="C652" i="2"/>
  <c r="E652" i="2" s="1"/>
  <c r="D651" i="2"/>
  <c r="C651" i="2"/>
  <c r="E651" i="2" s="1"/>
  <c r="D650" i="2"/>
  <c r="C650" i="2"/>
  <c r="E650" i="2" s="1"/>
  <c r="D649" i="2"/>
  <c r="C649" i="2"/>
  <c r="E649" i="2" s="1"/>
  <c r="D648" i="2"/>
  <c r="C648" i="2"/>
  <c r="E648" i="2" s="1"/>
  <c r="D647" i="2"/>
  <c r="C647" i="2"/>
  <c r="E647" i="2" s="1"/>
  <c r="D646" i="2"/>
  <c r="C646" i="2"/>
  <c r="E646" i="2" s="1"/>
  <c r="D645" i="2"/>
  <c r="C645" i="2"/>
  <c r="E645" i="2" s="1"/>
  <c r="D644" i="2"/>
  <c r="C644" i="2"/>
  <c r="E644" i="2" s="1"/>
  <c r="D643" i="2"/>
  <c r="C643" i="2"/>
  <c r="E643" i="2" s="1"/>
  <c r="D642" i="2"/>
  <c r="C642" i="2"/>
  <c r="E642" i="2" s="1"/>
  <c r="D641" i="2"/>
  <c r="C641" i="2"/>
  <c r="E641" i="2" s="1"/>
  <c r="D640" i="2"/>
  <c r="C640" i="2"/>
  <c r="E640" i="2" s="1"/>
  <c r="D639" i="2"/>
  <c r="C639" i="2"/>
  <c r="E639" i="2" s="1"/>
  <c r="D638" i="2"/>
  <c r="C638" i="2"/>
  <c r="E638" i="2" s="1"/>
  <c r="D637" i="2"/>
  <c r="C637" i="2"/>
  <c r="E637" i="2" s="1"/>
  <c r="D636" i="2"/>
  <c r="C636" i="2"/>
  <c r="E636" i="2" s="1"/>
  <c r="D635" i="2"/>
  <c r="C635" i="2"/>
  <c r="E635" i="2" s="1"/>
  <c r="D634" i="2"/>
  <c r="C634" i="2"/>
  <c r="E634" i="2" s="1"/>
  <c r="D633" i="2"/>
  <c r="C633" i="2"/>
  <c r="E633" i="2" s="1"/>
  <c r="D632" i="2"/>
  <c r="C632" i="2"/>
  <c r="E632" i="2" s="1"/>
  <c r="D631" i="2"/>
  <c r="C631" i="2"/>
  <c r="E631" i="2" s="1"/>
  <c r="D630" i="2"/>
  <c r="C630" i="2"/>
  <c r="E630" i="2" s="1"/>
  <c r="D629" i="2"/>
  <c r="C629" i="2"/>
  <c r="D628" i="2"/>
  <c r="C628" i="2"/>
  <c r="E628" i="2" s="1"/>
  <c r="D627" i="2"/>
  <c r="C627" i="2"/>
  <c r="D626" i="2"/>
  <c r="C626" i="2"/>
  <c r="E626" i="2" s="1"/>
  <c r="D625" i="2"/>
  <c r="C625" i="2"/>
  <c r="E625" i="2" s="1"/>
  <c r="D624" i="2"/>
  <c r="C624" i="2"/>
  <c r="E624" i="2" s="1"/>
  <c r="D623" i="2"/>
  <c r="C623" i="2"/>
  <c r="E623" i="2" s="1"/>
  <c r="D622" i="2"/>
  <c r="C622" i="2"/>
  <c r="E622" i="2" s="1"/>
  <c r="D621" i="2"/>
  <c r="C621" i="2"/>
  <c r="E621" i="2" s="1"/>
  <c r="D620" i="2"/>
  <c r="C620" i="2"/>
  <c r="E620" i="2" s="1"/>
  <c r="D619" i="2"/>
  <c r="C619" i="2"/>
  <c r="D618" i="2"/>
  <c r="C618" i="2"/>
  <c r="E618" i="2" s="1"/>
  <c r="D617" i="2"/>
  <c r="C617" i="2"/>
  <c r="E617" i="2" s="1"/>
  <c r="D616" i="2"/>
  <c r="C616" i="2"/>
  <c r="E616" i="2" s="1"/>
  <c r="D615" i="2"/>
  <c r="C615" i="2"/>
  <c r="D614" i="2"/>
  <c r="C614" i="2"/>
  <c r="D613" i="2"/>
  <c r="C613" i="2"/>
  <c r="E613" i="2" s="1"/>
  <c r="D595" i="2"/>
  <c r="D612" i="2"/>
  <c r="C612" i="2"/>
  <c r="E612" i="2" s="1"/>
  <c r="D611" i="2"/>
  <c r="C611" i="2"/>
  <c r="E611" i="2" s="1"/>
  <c r="D610" i="2"/>
  <c r="C610" i="2"/>
  <c r="E610" i="2" s="1"/>
  <c r="D609" i="2"/>
  <c r="C609" i="2"/>
  <c r="E609" i="2" s="1"/>
  <c r="D608" i="2"/>
  <c r="C608" i="2"/>
  <c r="E608" i="2" s="1"/>
  <c r="D607" i="2"/>
  <c r="C607" i="2"/>
  <c r="E607" i="2" s="1"/>
  <c r="D606" i="2"/>
  <c r="C606" i="2"/>
  <c r="D605" i="2"/>
  <c r="C605" i="2"/>
  <c r="E605" i="2" s="1"/>
  <c r="D604" i="2"/>
  <c r="C604" i="2"/>
  <c r="E604" i="2" s="1"/>
  <c r="D603" i="2"/>
  <c r="C603" i="2"/>
  <c r="D602" i="2"/>
  <c r="C602" i="2"/>
  <c r="E602" i="2" s="1"/>
  <c r="D601" i="2"/>
  <c r="C601" i="2"/>
  <c r="E601" i="2" s="1"/>
  <c r="D600" i="2"/>
  <c r="C600" i="2"/>
  <c r="E600" i="2" s="1"/>
  <c r="D599" i="2"/>
  <c r="C599" i="2"/>
  <c r="D598" i="2"/>
  <c r="C598" i="2"/>
  <c r="E598" i="2" s="1"/>
  <c r="D597" i="2"/>
  <c r="C597" i="2"/>
  <c r="E597" i="2" s="1"/>
  <c r="D596" i="2"/>
  <c r="C596" i="2"/>
  <c r="C595" i="2"/>
  <c r="D594" i="2"/>
  <c r="C594" i="2"/>
  <c r="E594" i="2" s="1"/>
  <c r="D593" i="2"/>
  <c r="C593" i="2"/>
  <c r="E593" i="2" s="1"/>
  <c r="D592" i="2"/>
  <c r="C592" i="2"/>
  <c r="E592" i="2" s="1"/>
  <c r="D591" i="2"/>
  <c r="C591" i="2"/>
  <c r="D590" i="2"/>
  <c r="C590" i="2"/>
  <c r="D589" i="2"/>
  <c r="C589" i="2"/>
  <c r="E589" i="2" s="1"/>
  <c r="D588" i="2"/>
  <c r="C588" i="2"/>
  <c r="E588" i="2" s="1"/>
  <c r="D587" i="2"/>
  <c r="C587" i="2"/>
  <c r="D586" i="2"/>
  <c r="C586" i="2"/>
  <c r="E586" i="2" s="1"/>
  <c r="D585" i="2"/>
  <c r="C585" i="2"/>
  <c r="E585" i="2" s="1"/>
  <c r="D584" i="2"/>
  <c r="C584" i="2"/>
  <c r="E584" i="2" s="1"/>
  <c r="D583" i="2"/>
  <c r="C583" i="2"/>
  <c r="E583" i="2" s="1"/>
  <c r="D582" i="2"/>
  <c r="C582" i="2"/>
  <c r="E582" i="2" s="1"/>
  <c r="D581" i="2"/>
  <c r="C581" i="2"/>
  <c r="E581" i="2" s="1"/>
  <c r="D580" i="2"/>
  <c r="C580" i="2"/>
  <c r="E580" i="2" s="1"/>
  <c r="D579" i="2"/>
  <c r="C579" i="2"/>
  <c r="E579" i="2" s="1"/>
  <c r="D578" i="2"/>
  <c r="C578" i="2"/>
  <c r="E578" i="2" s="1"/>
  <c r="D577" i="2"/>
  <c r="C577" i="2"/>
  <c r="D576" i="2"/>
  <c r="C576" i="2"/>
  <c r="E576" i="2" s="1"/>
  <c r="D575" i="2"/>
  <c r="C575" i="2"/>
  <c r="D574" i="2"/>
  <c r="C574" i="2"/>
  <c r="E574" i="2" s="1"/>
  <c r="D573" i="2"/>
  <c r="C573" i="2"/>
  <c r="E573" i="2" s="1"/>
  <c r="D572" i="2"/>
  <c r="C572" i="2"/>
  <c r="E572" i="2" s="1"/>
  <c r="D571" i="2"/>
  <c r="C571" i="2"/>
  <c r="E571" i="2" s="1"/>
  <c r="D570" i="2"/>
  <c r="C570" i="2"/>
  <c r="E570" i="2" s="1"/>
  <c r="D569" i="2"/>
  <c r="C569" i="2"/>
  <c r="E569" i="2" s="1"/>
  <c r="D568" i="2"/>
  <c r="C568" i="2"/>
  <c r="E568" i="2" s="1"/>
  <c r="D567" i="2"/>
  <c r="C567" i="2"/>
  <c r="E567" i="2" s="1"/>
  <c r="D566" i="2"/>
  <c r="C566" i="2"/>
  <c r="E566" i="2" s="1"/>
  <c r="D565" i="2"/>
  <c r="C565" i="2"/>
  <c r="E565" i="2" s="1"/>
  <c r="D564" i="2"/>
  <c r="C564" i="2"/>
  <c r="E564" i="2" s="1"/>
  <c r="D563" i="2"/>
  <c r="C563" i="2"/>
  <c r="E563" i="2" s="1"/>
  <c r="D562" i="2"/>
  <c r="C562" i="2"/>
  <c r="E562" i="2" s="1"/>
  <c r="D561" i="2"/>
  <c r="C561" i="2"/>
  <c r="E561" i="2" s="1"/>
  <c r="D560" i="2"/>
  <c r="C560" i="2"/>
  <c r="D559" i="2"/>
  <c r="C559" i="2"/>
  <c r="D558" i="2"/>
  <c r="C558" i="2"/>
  <c r="E558" i="2" s="1"/>
  <c r="D557" i="2"/>
  <c r="C557" i="2"/>
  <c r="E557" i="2" s="1"/>
  <c r="D556" i="2"/>
  <c r="C556" i="2"/>
  <c r="E556" i="2" s="1"/>
  <c r="D555" i="2"/>
  <c r="C555" i="2"/>
  <c r="E555" i="2" s="1"/>
  <c r="D554" i="2"/>
  <c r="C554" i="2"/>
  <c r="E554" i="2" s="1"/>
  <c r="D553" i="2"/>
  <c r="C553" i="2"/>
  <c r="E553" i="2" s="1"/>
  <c r="D552" i="2"/>
  <c r="C552" i="2"/>
  <c r="D551" i="2"/>
  <c r="C551" i="2"/>
  <c r="E551" i="2" s="1"/>
  <c r="D550" i="2"/>
  <c r="C550" i="2"/>
  <c r="E550" i="2" s="1"/>
  <c r="D549" i="2"/>
  <c r="C549" i="2"/>
  <c r="D548" i="2"/>
  <c r="C548" i="2"/>
  <c r="D547" i="2"/>
  <c r="C547" i="2"/>
  <c r="D546" i="2"/>
  <c r="C546" i="2"/>
  <c r="E546" i="2" s="1"/>
  <c r="D545" i="2"/>
  <c r="C545" i="2"/>
  <c r="D544" i="2"/>
  <c r="C544" i="2"/>
  <c r="E544" i="2" s="1"/>
  <c r="D543" i="2"/>
  <c r="C543" i="2"/>
  <c r="E543" i="2" s="1"/>
  <c r="D542" i="2"/>
  <c r="C542" i="2"/>
  <c r="D541" i="2"/>
  <c r="C541" i="2"/>
  <c r="E541" i="2" s="1"/>
  <c r="D540" i="2"/>
  <c r="C540" i="2"/>
  <c r="D539" i="2"/>
  <c r="C539" i="2"/>
  <c r="E539" i="2" s="1"/>
  <c r="D538" i="2"/>
  <c r="C538" i="2"/>
  <c r="E538" i="2" s="1"/>
  <c r="D537" i="2"/>
  <c r="C537" i="2"/>
  <c r="E537" i="2" s="1"/>
  <c r="D536" i="2"/>
  <c r="C536" i="2"/>
  <c r="E536" i="2" s="1"/>
  <c r="D535" i="2"/>
  <c r="C535" i="2"/>
  <c r="E535" i="2" s="1"/>
  <c r="D534" i="2"/>
  <c r="C534" i="2"/>
  <c r="E534" i="2" s="1"/>
  <c r="D533" i="2"/>
  <c r="C533" i="2"/>
  <c r="E533" i="2" s="1"/>
  <c r="D532" i="2"/>
  <c r="C532" i="2"/>
  <c r="E532" i="2" s="1"/>
  <c r="D531" i="2"/>
  <c r="C531" i="2"/>
  <c r="E531" i="2" s="1"/>
  <c r="D530" i="2"/>
  <c r="C530" i="2"/>
  <c r="E530" i="2" s="1"/>
  <c r="D529" i="2"/>
  <c r="C529" i="2"/>
  <c r="E529" i="2" s="1"/>
  <c r="D528" i="2"/>
  <c r="C528" i="2"/>
  <c r="E528" i="2" s="1"/>
  <c r="D527" i="2"/>
  <c r="C527" i="2"/>
  <c r="E527" i="2" s="1"/>
  <c r="D526" i="2"/>
  <c r="C526" i="2"/>
  <c r="E526" i="2" s="1"/>
  <c r="D525" i="2"/>
  <c r="C525" i="2"/>
  <c r="E525" i="2" s="1"/>
  <c r="D524" i="2"/>
  <c r="C524" i="2"/>
  <c r="E524" i="2" s="1"/>
  <c r="D523" i="2"/>
  <c r="C523" i="2"/>
  <c r="E523" i="2" s="1"/>
  <c r="D522" i="2"/>
  <c r="C522" i="2"/>
  <c r="E522" i="2" s="1"/>
  <c r="D521" i="2"/>
  <c r="C521" i="2"/>
  <c r="E521" i="2" s="1"/>
  <c r="D520" i="2"/>
  <c r="C520" i="2"/>
  <c r="E520" i="2" s="1"/>
  <c r="D519" i="2"/>
  <c r="C519" i="2"/>
  <c r="E519" i="2" s="1"/>
  <c r="D518" i="2"/>
  <c r="C518" i="2"/>
  <c r="E518" i="2" s="1"/>
  <c r="D517" i="2"/>
  <c r="C517" i="2"/>
  <c r="E517" i="2" s="1"/>
  <c r="D516" i="2"/>
  <c r="C516" i="2"/>
  <c r="E516" i="2" s="1"/>
  <c r="D515" i="2"/>
  <c r="C515" i="2"/>
  <c r="E515" i="2" s="1"/>
  <c r="D514" i="2"/>
  <c r="C514" i="2"/>
  <c r="E514" i="2" s="1"/>
  <c r="D513" i="2"/>
  <c r="C513" i="2"/>
  <c r="E513" i="2" s="1"/>
  <c r="D512" i="2"/>
  <c r="C512" i="2"/>
  <c r="E512" i="2" s="1"/>
  <c r="D511" i="2"/>
  <c r="C511" i="2"/>
  <c r="E511" i="2" s="1"/>
  <c r="D510" i="2"/>
  <c r="C510" i="2"/>
  <c r="E510" i="2" s="1"/>
  <c r="D509" i="2"/>
  <c r="C509" i="2"/>
  <c r="E509" i="2" s="1"/>
  <c r="D508" i="2"/>
  <c r="C508" i="2"/>
  <c r="E508" i="2" s="1"/>
  <c r="D507" i="2"/>
  <c r="C507" i="2"/>
  <c r="E507" i="2" s="1"/>
  <c r="D506" i="2"/>
  <c r="C506" i="2"/>
  <c r="E506" i="2" s="1"/>
  <c r="D505" i="2"/>
  <c r="C505" i="2"/>
  <c r="E505" i="2" s="1"/>
  <c r="D504" i="2"/>
  <c r="C504" i="2"/>
  <c r="E504" i="2" s="1"/>
  <c r="D503" i="2"/>
  <c r="C503" i="2"/>
  <c r="E503" i="2" s="1"/>
  <c r="D502" i="2"/>
  <c r="C502" i="2"/>
  <c r="E502" i="2" s="1"/>
  <c r="D501" i="2"/>
  <c r="C501" i="2"/>
  <c r="E501" i="2" s="1"/>
  <c r="D500" i="2"/>
  <c r="C500" i="2"/>
  <c r="E500" i="2" s="1"/>
  <c r="D499" i="2"/>
  <c r="C499" i="2"/>
  <c r="E499" i="2" s="1"/>
  <c r="D498" i="2"/>
  <c r="C498" i="2"/>
  <c r="E498" i="2" s="1"/>
  <c r="D497" i="2"/>
  <c r="C497" i="2"/>
  <c r="E497" i="2" s="1"/>
  <c r="D496" i="2"/>
  <c r="C496" i="2"/>
  <c r="E496" i="2" s="1"/>
  <c r="D495" i="2"/>
  <c r="C495" i="2"/>
  <c r="E495" i="2" s="1"/>
  <c r="D494" i="2"/>
  <c r="C494" i="2"/>
  <c r="E494" i="2" s="1"/>
  <c r="D493" i="2"/>
  <c r="C493" i="2"/>
  <c r="E493" i="2" s="1"/>
  <c r="D492" i="2"/>
  <c r="C492" i="2"/>
  <c r="E492" i="2" s="1"/>
  <c r="D491" i="2"/>
  <c r="C491" i="2"/>
  <c r="E491" i="2" s="1"/>
  <c r="D490" i="2"/>
  <c r="C490" i="2"/>
  <c r="E490" i="2" s="1"/>
  <c r="D489" i="2"/>
  <c r="C489" i="2"/>
  <c r="E489" i="2" s="1"/>
  <c r="D488" i="2"/>
  <c r="C488" i="2"/>
  <c r="E488" i="2" s="1"/>
  <c r="D487" i="2"/>
  <c r="C487" i="2"/>
  <c r="E487" i="2" s="1"/>
  <c r="D486" i="2"/>
  <c r="C486" i="2"/>
  <c r="E486" i="2" s="1"/>
  <c r="D485" i="2"/>
  <c r="C485" i="2"/>
  <c r="E485" i="2" s="1"/>
  <c r="D484" i="2"/>
  <c r="C484" i="2"/>
  <c r="E484" i="2" s="1"/>
  <c r="D483" i="2"/>
  <c r="C483" i="2"/>
  <c r="E483" i="2" s="1"/>
  <c r="D482" i="2"/>
  <c r="C482" i="2"/>
  <c r="E482" i="2" s="1"/>
  <c r="D481" i="2"/>
  <c r="C481" i="2"/>
  <c r="E481" i="2" s="1"/>
  <c r="D480" i="2"/>
  <c r="C480" i="2"/>
  <c r="E480" i="2" s="1"/>
  <c r="D479" i="2"/>
  <c r="C479" i="2"/>
  <c r="E479" i="2" s="1"/>
  <c r="D478" i="2"/>
  <c r="C478" i="2"/>
  <c r="E478" i="2" s="1"/>
  <c r="D477" i="2"/>
  <c r="C477" i="2"/>
  <c r="E477" i="2" s="1"/>
  <c r="D476" i="2"/>
  <c r="C476" i="2"/>
  <c r="E476" i="2" s="1"/>
  <c r="D475" i="2"/>
  <c r="C475" i="2"/>
  <c r="E475" i="2" s="1"/>
  <c r="D474" i="2"/>
  <c r="C474" i="2"/>
  <c r="E474" i="2" s="1"/>
  <c r="D473" i="2"/>
  <c r="C473" i="2"/>
  <c r="E473" i="2" s="1"/>
  <c r="D472" i="2"/>
  <c r="C472" i="2"/>
  <c r="D471" i="2"/>
  <c r="C471" i="2"/>
  <c r="E471" i="2" s="1"/>
  <c r="D470" i="2"/>
  <c r="C470" i="2"/>
  <c r="E470" i="2" s="1"/>
  <c r="D469" i="2"/>
  <c r="C469" i="2"/>
  <c r="E469" i="2" s="1"/>
  <c r="D468" i="2"/>
  <c r="C468" i="2"/>
  <c r="E468" i="2" s="1"/>
  <c r="D467" i="2"/>
  <c r="C467" i="2"/>
  <c r="E467" i="2" s="1"/>
  <c r="D466" i="2"/>
  <c r="C466" i="2"/>
  <c r="E466" i="2" s="1"/>
  <c r="D465" i="2"/>
  <c r="C465" i="2"/>
  <c r="E465" i="2" s="1"/>
  <c r="D464" i="2"/>
  <c r="C464" i="2"/>
  <c r="E464" i="2" s="1"/>
  <c r="D463" i="2"/>
  <c r="C463" i="2"/>
  <c r="E463" i="2" s="1"/>
  <c r="D462" i="2"/>
  <c r="C462" i="2"/>
  <c r="E462" i="2" s="1"/>
  <c r="D461" i="2"/>
  <c r="C461" i="2"/>
  <c r="E461" i="2" s="1"/>
  <c r="D460" i="2"/>
  <c r="C460" i="2"/>
  <c r="E460" i="2" s="1"/>
  <c r="D459" i="2"/>
  <c r="C459" i="2"/>
  <c r="E459" i="2" s="1"/>
  <c r="D440" i="2"/>
  <c r="C440" i="2"/>
  <c r="D439" i="2"/>
  <c r="C439" i="2"/>
  <c r="E439" i="2" s="1"/>
  <c r="D438" i="2"/>
  <c r="C438" i="2"/>
  <c r="D437" i="2"/>
  <c r="C437" i="2"/>
  <c r="E437" i="2" s="1"/>
  <c r="D436" i="2"/>
  <c r="C436" i="2"/>
  <c r="E436" i="2" s="1"/>
  <c r="D435" i="2"/>
  <c r="C435" i="2"/>
  <c r="D434" i="2"/>
  <c r="C434" i="2"/>
  <c r="D433" i="2"/>
  <c r="C433" i="2"/>
  <c r="E433" i="2" s="1"/>
  <c r="D432" i="2"/>
  <c r="C432" i="2"/>
  <c r="E432" i="2" s="1"/>
  <c r="D431" i="2"/>
  <c r="C431" i="2"/>
  <c r="D430" i="2"/>
  <c r="C430" i="2"/>
  <c r="D429" i="2"/>
  <c r="C429" i="2"/>
  <c r="E429" i="2" s="1"/>
  <c r="D428" i="2"/>
  <c r="C428" i="2"/>
  <c r="E428" i="2" s="1"/>
  <c r="D427" i="2"/>
  <c r="C427" i="2"/>
  <c r="E427" i="2" s="1"/>
  <c r="D426" i="2"/>
  <c r="C426" i="2"/>
  <c r="D425" i="2"/>
  <c r="C425" i="2"/>
  <c r="D424" i="2"/>
  <c r="C424" i="2"/>
  <c r="E424" i="2" s="1"/>
  <c r="D423" i="2"/>
  <c r="C423" i="2"/>
  <c r="D422" i="2"/>
  <c r="C422" i="2"/>
  <c r="E422" i="2" s="1"/>
  <c r="D421" i="2"/>
  <c r="C421" i="2"/>
  <c r="E421" i="2" s="1"/>
  <c r="D420" i="2"/>
  <c r="C420" i="2"/>
  <c r="E420" i="2" s="1"/>
  <c r="D419" i="2"/>
  <c r="C419" i="2"/>
  <c r="E419" i="2" s="1"/>
  <c r="D418" i="2"/>
  <c r="C418" i="2"/>
  <c r="E418" i="2" s="1"/>
  <c r="D417" i="2"/>
  <c r="C417" i="2"/>
  <c r="E417" i="2" s="1"/>
  <c r="D416" i="2"/>
  <c r="C416" i="2"/>
  <c r="D415" i="2"/>
  <c r="C415" i="2"/>
  <c r="E415" i="2" s="1"/>
  <c r="D414" i="2"/>
  <c r="C414" i="2"/>
  <c r="E414" i="2" s="1"/>
  <c r="D413" i="2"/>
  <c r="C413" i="2"/>
  <c r="E413" i="2" s="1"/>
  <c r="D412" i="2"/>
  <c r="C412" i="2"/>
  <c r="E412" i="2" s="1"/>
  <c r="D411" i="2"/>
  <c r="C411" i="2"/>
  <c r="E411" i="2" s="1"/>
  <c r="D410" i="2"/>
  <c r="C410" i="2"/>
  <c r="E410" i="2" s="1"/>
  <c r="D409" i="2"/>
  <c r="C409" i="2"/>
  <c r="E409" i="2" s="1"/>
  <c r="D408" i="2"/>
  <c r="C408" i="2"/>
  <c r="E408" i="2" s="1"/>
  <c r="D407" i="2"/>
  <c r="C407" i="2"/>
  <c r="D406" i="2"/>
  <c r="C406" i="2"/>
  <c r="E406" i="2" s="1"/>
  <c r="D405" i="2"/>
  <c r="C405" i="2"/>
  <c r="E405" i="2" s="1"/>
  <c r="D404" i="2"/>
  <c r="C404" i="2"/>
  <c r="E404" i="2" s="1"/>
  <c r="D403" i="2"/>
  <c r="C403" i="2"/>
  <c r="D402" i="2"/>
  <c r="C402" i="2"/>
  <c r="E402" i="2" s="1"/>
  <c r="D401" i="2"/>
  <c r="C401" i="2"/>
  <c r="D400" i="2"/>
  <c r="C400" i="2"/>
  <c r="E400" i="2" s="1"/>
  <c r="D399" i="2"/>
  <c r="C399" i="2"/>
  <c r="E399" i="2" s="1"/>
  <c r="D398" i="2"/>
  <c r="C398" i="2"/>
  <c r="E398" i="2" s="1"/>
  <c r="D397" i="2"/>
  <c r="C397" i="2"/>
  <c r="E397" i="2" s="1"/>
  <c r="D396" i="2"/>
  <c r="C396" i="2"/>
  <c r="E396" i="2" s="1"/>
  <c r="D395" i="2"/>
  <c r="C395" i="2"/>
  <c r="E395" i="2" s="1"/>
  <c r="D394" i="2"/>
  <c r="C394" i="2"/>
  <c r="E394" i="2" s="1"/>
  <c r="D393" i="2"/>
  <c r="C393" i="2"/>
  <c r="E393" i="2" s="1"/>
  <c r="D392" i="2"/>
  <c r="C392" i="2"/>
  <c r="E392" i="2" s="1"/>
  <c r="D391" i="2"/>
  <c r="C391" i="2"/>
  <c r="E391" i="2" s="1"/>
  <c r="D390" i="2"/>
  <c r="C390" i="2"/>
  <c r="E390" i="2" s="1"/>
  <c r="D389" i="2"/>
  <c r="C389" i="2"/>
  <c r="E389" i="2" s="1"/>
  <c r="D388" i="2"/>
  <c r="C388" i="2"/>
  <c r="D387" i="2"/>
  <c r="C387" i="2"/>
  <c r="E387" i="2" s="1"/>
  <c r="D386" i="2"/>
  <c r="C386" i="2"/>
  <c r="E386" i="2" s="1"/>
  <c r="D385" i="2"/>
  <c r="C385" i="2"/>
  <c r="D384" i="2"/>
  <c r="C384" i="2"/>
  <c r="D383" i="2"/>
  <c r="C383" i="2"/>
  <c r="E383" i="2" s="1"/>
  <c r="D382" i="2"/>
  <c r="C382" i="2"/>
  <c r="E382" i="2" s="1"/>
  <c r="D381" i="2"/>
  <c r="C381" i="2"/>
  <c r="E381" i="2" s="1"/>
  <c r="D380" i="2"/>
  <c r="C380" i="2"/>
  <c r="E380" i="2" s="1"/>
  <c r="D379" i="2"/>
  <c r="C379" i="2"/>
  <c r="E379" i="2" s="1"/>
  <c r="D378" i="2"/>
  <c r="C378" i="2"/>
  <c r="E378" i="2" s="1"/>
  <c r="D377" i="2"/>
  <c r="C377" i="2"/>
  <c r="E377" i="2" s="1"/>
  <c r="D376" i="2"/>
  <c r="C376" i="2"/>
  <c r="E376" i="2" s="1"/>
  <c r="D375" i="2"/>
  <c r="C375" i="2"/>
  <c r="D374" i="2"/>
  <c r="C374" i="2"/>
  <c r="D373" i="2"/>
  <c r="C373" i="2"/>
  <c r="E373" i="2" s="1"/>
  <c r="D372" i="2"/>
  <c r="C372" i="2"/>
  <c r="E372" i="2" s="1"/>
  <c r="D371" i="2"/>
  <c r="C371" i="2"/>
  <c r="E371" i="2" s="1"/>
  <c r="D370" i="2"/>
  <c r="C370" i="2"/>
  <c r="D369" i="2"/>
  <c r="C369" i="2"/>
  <c r="D368" i="2"/>
  <c r="C368" i="2"/>
  <c r="E368" i="2" s="1"/>
  <c r="D367" i="2"/>
  <c r="C367" i="2"/>
  <c r="E367" i="2" s="1"/>
  <c r="D366" i="2"/>
  <c r="C366" i="2"/>
  <c r="E366" i="2" s="1"/>
  <c r="D365" i="2"/>
  <c r="C365" i="2"/>
  <c r="E365" i="2" s="1"/>
  <c r="D364" i="2"/>
  <c r="C364" i="2"/>
  <c r="E364" i="2" s="1"/>
  <c r="D363" i="2"/>
  <c r="C363" i="2"/>
  <c r="E363" i="2" s="1"/>
  <c r="D362" i="2"/>
  <c r="C362" i="2"/>
  <c r="E362" i="2" s="1"/>
  <c r="D361" i="2"/>
  <c r="C361" i="2"/>
  <c r="E361" i="2" s="1"/>
  <c r="D360" i="2"/>
  <c r="C360" i="2"/>
  <c r="E360" i="2" s="1"/>
  <c r="D359" i="2"/>
  <c r="C359" i="2"/>
  <c r="E359" i="2" s="1"/>
  <c r="D358" i="2"/>
  <c r="C358" i="2"/>
  <c r="E358" i="2" s="1"/>
  <c r="D357" i="2"/>
  <c r="C357" i="2"/>
  <c r="E357" i="2" s="1"/>
  <c r="D356" i="2"/>
  <c r="C356" i="2"/>
  <c r="E356" i="2" s="1"/>
  <c r="D355" i="2"/>
  <c r="C355" i="2"/>
  <c r="E355" i="2" s="1"/>
  <c r="D354" i="2"/>
  <c r="C354" i="2"/>
  <c r="E354" i="2" s="1"/>
  <c r="D353" i="2"/>
  <c r="C353" i="2"/>
  <c r="E353" i="2" s="1"/>
  <c r="D352" i="2"/>
  <c r="C352" i="2"/>
  <c r="E352" i="2" s="1"/>
  <c r="D351" i="2"/>
  <c r="C351" i="2"/>
  <c r="E351" i="2" s="1"/>
  <c r="D350" i="2"/>
  <c r="C350" i="2"/>
  <c r="E350" i="2" s="1"/>
  <c r="D349" i="2"/>
  <c r="C349" i="2"/>
  <c r="E349" i="2" s="1"/>
  <c r="D348" i="2"/>
  <c r="C348" i="2"/>
  <c r="E348" i="2" s="1"/>
  <c r="D347" i="2"/>
  <c r="C347" i="2"/>
  <c r="E347" i="2" s="1"/>
  <c r="D346" i="2"/>
  <c r="C346" i="2"/>
  <c r="E346" i="2" s="1"/>
  <c r="D345" i="2"/>
  <c r="C345" i="2"/>
  <c r="E345" i="2" s="1"/>
  <c r="D344" i="2"/>
  <c r="C344" i="2"/>
  <c r="D343" i="2"/>
  <c r="C343" i="2"/>
  <c r="E343" i="2" s="1"/>
  <c r="D342" i="2"/>
  <c r="C342" i="2"/>
  <c r="E342" i="2" s="1"/>
  <c r="D341" i="2"/>
  <c r="C341" i="2"/>
  <c r="E341" i="2" s="1"/>
  <c r="D340" i="2"/>
  <c r="C340" i="2"/>
  <c r="E340" i="2" s="1"/>
  <c r="D339" i="2"/>
  <c r="C339" i="2"/>
  <c r="E339" i="2" s="1"/>
  <c r="D338" i="2"/>
  <c r="C338" i="2"/>
  <c r="E338" i="2" s="1"/>
  <c r="D337" i="2"/>
  <c r="C337" i="2"/>
  <c r="E337" i="2" s="1"/>
  <c r="D336" i="2"/>
  <c r="C336" i="2"/>
  <c r="E336" i="2" s="1"/>
  <c r="D335" i="2"/>
  <c r="C335" i="2"/>
  <c r="E335" i="2" s="1"/>
  <c r="D334" i="2"/>
  <c r="C334" i="2"/>
  <c r="D333" i="2"/>
  <c r="C333" i="2"/>
  <c r="E333" i="2" s="1"/>
  <c r="D332" i="2"/>
  <c r="C332" i="2"/>
  <c r="E332" i="2" s="1"/>
  <c r="D331" i="2"/>
  <c r="C331" i="2"/>
  <c r="E331" i="2" s="1"/>
  <c r="D330" i="2"/>
  <c r="C330" i="2"/>
  <c r="E330" i="2" s="1"/>
  <c r="D329" i="2"/>
  <c r="C329" i="2"/>
  <c r="E329" i="2" s="1"/>
  <c r="D328" i="2"/>
  <c r="C328" i="2"/>
  <c r="E328" i="2" s="1"/>
  <c r="D327" i="2"/>
  <c r="C327" i="2"/>
  <c r="E327" i="2" s="1"/>
  <c r="D326" i="2"/>
  <c r="C326" i="2"/>
  <c r="E326" i="2" s="1"/>
  <c r="D325" i="2"/>
  <c r="C325" i="2"/>
  <c r="E325" i="2" s="1"/>
  <c r="D324" i="2"/>
  <c r="C324" i="2"/>
  <c r="E324" i="2" s="1"/>
  <c r="D323" i="2"/>
  <c r="C323" i="2"/>
  <c r="E323" i="2" s="1"/>
  <c r="D322" i="2"/>
  <c r="C322" i="2"/>
  <c r="E322" i="2" s="1"/>
  <c r="D321" i="2"/>
  <c r="C321" i="2"/>
  <c r="E321" i="2" s="1"/>
  <c r="D320" i="2"/>
  <c r="C320" i="2"/>
  <c r="E320" i="2" s="1"/>
  <c r="D319" i="2"/>
  <c r="C319" i="2"/>
  <c r="E319" i="2" s="1"/>
  <c r="D318" i="2"/>
  <c r="C318" i="2"/>
  <c r="E318" i="2" s="1"/>
  <c r="D317" i="2"/>
  <c r="C317" i="2"/>
  <c r="E317" i="2" s="1"/>
  <c r="D316" i="2"/>
  <c r="C316" i="2"/>
  <c r="E316" i="2" s="1"/>
  <c r="D315" i="2"/>
  <c r="C315" i="2"/>
  <c r="E315" i="2" s="1"/>
  <c r="D314" i="2"/>
  <c r="C314" i="2"/>
  <c r="E314" i="2" s="1"/>
  <c r="D313" i="2"/>
  <c r="C313" i="2"/>
  <c r="E313" i="2" s="1"/>
  <c r="D312" i="2"/>
  <c r="C312" i="2"/>
  <c r="D311" i="2"/>
  <c r="C311" i="2"/>
  <c r="E311" i="2" s="1"/>
  <c r="D310" i="2"/>
  <c r="C310" i="2"/>
  <c r="E310" i="2" s="1"/>
  <c r="D309" i="2"/>
  <c r="C309" i="2"/>
  <c r="E309" i="2" s="1"/>
  <c r="D308" i="2"/>
  <c r="C308" i="2"/>
  <c r="E308" i="2" s="1"/>
  <c r="D307" i="2"/>
  <c r="C307" i="2"/>
  <c r="E307" i="2" s="1"/>
  <c r="D306" i="2"/>
  <c r="C306" i="2"/>
  <c r="E306" i="2" s="1"/>
  <c r="D305" i="2"/>
  <c r="C305" i="2"/>
  <c r="E305" i="2" s="1"/>
  <c r="D304" i="2"/>
  <c r="C304" i="2"/>
  <c r="E304" i="2" s="1"/>
  <c r="D303" i="2"/>
  <c r="C303" i="2"/>
  <c r="E303" i="2" s="1"/>
  <c r="D302" i="2"/>
  <c r="C302" i="2"/>
  <c r="E302" i="2" s="1"/>
  <c r="D301" i="2"/>
  <c r="C301" i="2"/>
  <c r="D300" i="2"/>
  <c r="C300" i="2"/>
  <c r="D299" i="2"/>
  <c r="C299" i="2"/>
  <c r="E299" i="2" s="1"/>
  <c r="D298" i="2"/>
  <c r="C298" i="2"/>
  <c r="E298" i="2" s="1"/>
  <c r="D297" i="2"/>
  <c r="C297" i="2"/>
  <c r="E297" i="2" s="1"/>
  <c r="D296" i="2"/>
  <c r="C296" i="2"/>
  <c r="E296" i="2" s="1"/>
  <c r="D295" i="2"/>
  <c r="C295" i="2"/>
  <c r="E295" i="2" s="1"/>
  <c r="D294" i="2"/>
  <c r="C294" i="2"/>
  <c r="D293" i="2"/>
  <c r="C293" i="2"/>
  <c r="E293" i="2" s="1"/>
  <c r="D292" i="2"/>
  <c r="C292" i="2"/>
  <c r="D291" i="2"/>
  <c r="C291" i="2"/>
  <c r="D290" i="2"/>
  <c r="C290" i="2"/>
  <c r="E290" i="2" s="1"/>
  <c r="D289" i="2"/>
  <c r="C289" i="2"/>
  <c r="E289" i="2" s="1"/>
  <c r="D288" i="2"/>
  <c r="C288" i="2"/>
  <c r="D287" i="2"/>
  <c r="C287" i="2"/>
  <c r="E287" i="2" s="1"/>
  <c r="D286" i="2"/>
  <c r="C286" i="2"/>
  <c r="D285" i="2"/>
  <c r="C285" i="2"/>
  <c r="E285" i="2" s="1"/>
  <c r="D284" i="2"/>
  <c r="C284" i="2"/>
  <c r="D283" i="2"/>
  <c r="C283" i="2"/>
  <c r="E283" i="2" s="1"/>
  <c r="D282" i="2"/>
  <c r="C282" i="2"/>
  <c r="E282" i="2" s="1"/>
  <c r="D281" i="2"/>
  <c r="C281" i="2"/>
  <c r="E281" i="2" s="1"/>
  <c r="D280" i="2"/>
  <c r="C280" i="2"/>
  <c r="E280" i="2" s="1"/>
  <c r="D279" i="2"/>
  <c r="C279" i="2"/>
  <c r="E279" i="2" s="1"/>
  <c r="D278" i="2"/>
  <c r="C278" i="2"/>
  <c r="E278" i="2" s="1"/>
  <c r="D277" i="2"/>
  <c r="C277" i="2"/>
  <c r="E277" i="2" s="1"/>
  <c r="D276" i="2"/>
  <c r="C276" i="2"/>
  <c r="E276" i="2" s="1"/>
  <c r="D275" i="2"/>
  <c r="C275" i="2"/>
  <c r="E275" i="2" s="1"/>
  <c r="D274" i="2"/>
  <c r="C274" i="2"/>
  <c r="E274" i="2" s="1"/>
  <c r="D273" i="2"/>
  <c r="C273" i="2"/>
  <c r="E273" i="2" s="1"/>
  <c r="D272" i="2"/>
  <c r="C272" i="2"/>
  <c r="E272" i="2" s="1"/>
  <c r="D271" i="2"/>
  <c r="C271" i="2"/>
  <c r="E271" i="2" s="1"/>
  <c r="D270" i="2"/>
  <c r="C270" i="2"/>
  <c r="E270" i="2" s="1"/>
  <c r="D269" i="2"/>
  <c r="C269" i="2"/>
  <c r="E269" i="2" s="1"/>
  <c r="D268" i="2"/>
  <c r="C268" i="2"/>
  <c r="E268" i="2" s="1"/>
  <c r="D267" i="2"/>
  <c r="C267" i="2"/>
  <c r="E267" i="2" s="1"/>
  <c r="D266" i="2"/>
  <c r="C266" i="2"/>
  <c r="E266" i="2" s="1"/>
  <c r="D265" i="2"/>
  <c r="C265" i="2"/>
  <c r="E265" i="2" s="1"/>
  <c r="D264" i="2"/>
  <c r="C264" i="2"/>
  <c r="D263" i="2"/>
  <c r="C263" i="2"/>
  <c r="E263" i="2" s="1"/>
  <c r="D262" i="2"/>
  <c r="C262" i="2"/>
  <c r="D261" i="2"/>
  <c r="C261" i="2"/>
  <c r="E261" i="2" s="1"/>
  <c r="D260" i="2"/>
  <c r="C260" i="2"/>
  <c r="D259" i="2"/>
  <c r="C259" i="2"/>
  <c r="E259" i="2" s="1"/>
  <c r="D258" i="2"/>
  <c r="C258" i="2"/>
  <c r="E258" i="2" s="1"/>
  <c r="D257" i="2"/>
  <c r="C257" i="2"/>
  <c r="D256" i="2"/>
  <c r="C256" i="2"/>
  <c r="E256" i="2" s="1"/>
  <c r="D255" i="2"/>
  <c r="C255" i="2"/>
  <c r="E255" i="2" s="1"/>
  <c r="D254" i="2"/>
  <c r="C254" i="2"/>
  <c r="D253" i="2"/>
  <c r="C253" i="2"/>
  <c r="D252" i="2"/>
  <c r="C252" i="2"/>
  <c r="E252" i="2" s="1"/>
  <c r="D251" i="2"/>
  <c r="C251" i="2"/>
  <c r="D250" i="2"/>
  <c r="C250" i="2"/>
  <c r="E250" i="2" s="1"/>
  <c r="D249" i="2"/>
  <c r="C249" i="2"/>
  <c r="E249" i="2" s="1"/>
  <c r="D248" i="2"/>
  <c r="C248" i="2"/>
  <c r="E248" i="2" s="1"/>
  <c r="D247" i="2"/>
  <c r="C247" i="2"/>
  <c r="E247" i="2" s="1"/>
  <c r="D246" i="2"/>
  <c r="C246" i="2"/>
  <c r="E246" i="2" s="1"/>
  <c r="D245" i="2"/>
  <c r="C245" i="2"/>
  <c r="E245" i="2" s="1"/>
  <c r="D244" i="2"/>
  <c r="C244" i="2"/>
  <c r="E244" i="2" s="1"/>
  <c r="D243" i="2"/>
  <c r="C243" i="2"/>
  <c r="E243" i="2" s="1"/>
  <c r="D242" i="2"/>
  <c r="C242" i="2"/>
  <c r="D241" i="2"/>
  <c r="C241" i="2"/>
  <c r="E241" i="2" s="1"/>
  <c r="D240" i="2"/>
  <c r="C240" i="2"/>
  <c r="E240" i="2" s="1"/>
  <c r="D239" i="2"/>
  <c r="C239" i="2"/>
  <c r="E239" i="2" s="1"/>
  <c r="D238" i="2"/>
  <c r="C238" i="2"/>
  <c r="E238" i="2" s="1"/>
  <c r="D237" i="2"/>
  <c r="C237" i="2"/>
  <c r="E237" i="2" s="1"/>
  <c r="D236" i="2"/>
  <c r="C236" i="2"/>
  <c r="E236" i="2" s="1"/>
  <c r="D235" i="2"/>
  <c r="C235" i="2"/>
  <c r="E235" i="2" s="1"/>
  <c r="D234" i="2"/>
  <c r="C234" i="2"/>
  <c r="D233" i="2"/>
  <c r="C233" i="2"/>
  <c r="E233" i="2" s="1"/>
  <c r="D232" i="2"/>
  <c r="C232" i="2"/>
  <c r="E232" i="2" s="1"/>
  <c r="D231" i="2"/>
  <c r="C231" i="2"/>
  <c r="E231" i="2" s="1"/>
  <c r="D230" i="2"/>
  <c r="C230" i="2"/>
  <c r="E230" i="2" s="1"/>
  <c r="D229" i="2"/>
  <c r="C229" i="2"/>
  <c r="E229" i="2" s="1"/>
  <c r="D228" i="2"/>
  <c r="C228" i="2"/>
  <c r="E228" i="2" s="1"/>
  <c r="D227" i="2"/>
  <c r="C227" i="2"/>
  <c r="E227" i="2" s="1"/>
  <c r="D226" i="2"/>
  <c r="C226" i="2"/>
  <c r="E226" i="2" s="1"/>
  <c r="D225" i="2"/>
  <c r="C225" i="2"/>
  <c r="E225" i="2" s="1"/>
  <c r="D224" i="2"/>
  <c r="C224" i="2"/>
  <c r="E224" i="2" s="1"/>
  <c r="D223" i="2"/>
  <c r="C223" i="2"/>
  <c r="E223" i="2" s="1"/>
  <c r="D222" i="2"/>
  <c r="C222" i="2"/>
  <c r="E222" i="2" s="1"/>
  <c r="D221" i="2"/>
  <c r="C221" i="2"/>
  <c r="E221" i="2" s="1"/>
  <c r="D220" i="2"/>
  <c r="C220" i="2"/>
  <c r="E220" i="2" s="1"/>
  <c r="D219" i="2"/>
  <c r="C219" i="2"/>
  <c r="E219" i="2" s="1"/>
  <c r="D218" i="2"/>
  <c r="C218" i="2"/>
  <c r="E218" i="2" s="1"/>
  <c r="D217" i="2"/>
  <c r="C217" i="2"/>
  <c r="E217" i="2" s="1"/>
  <c r="D216" i="2"/>
  <c r="C216" i="2"/>
  <c r="E216" i="2" s="1"/>
  <c r="D215" i="2"/>
  <c r="C215" i="2"/>
  <c r="E215" i="2" s="1"/>
  <c r="D214" i="2"/>
  <c r="C214" i="2"/>
  <c r="D213" i="2"/>
  <c r="C213" i="2"/>
  <c r="D212" i="2"/>
  <c r="C212" i="2"/>
  <c r="E212" i="2" s="1"/>
  <c r="D211" i="2"/>
  <c r="C211" i="2"/>
  <c r="E211" i="2" s="1"/>
  <c r="D210" i="2"/>
  <c r="C210" i="2"/>
  <c r="E210" i="2" s="1"/>
  <c r="D209" i="2"/>
  <c r="C209" i="2"/>
  <c r="E209" i="2" s="1"/>
  <c r="D208" i="2"/>
  <c r="C208" i="2"/>
  <c r="E208" i="2" s="1"/>
  <c r="D207" i="2"/>
  <c r="C207" i="2"/>
  <c r="D206" i="2"/>
  <c r="C206" i="2"/>
  <c r="E206" i="2" s="1"/>
  <c r="D205" i="2"/>
  <c r="C205" i="2"/>
  <c r="E205" i="2" s="1"/>
  <c r="D204" i="2"/>
  <c r="C204" i="2"/>
  <c r="E204" i="2" s="1"/>
  <c r="D203" i="2"/>
  <c r="C203" i="2"/>
  <c r="E203" i="2" s="1"/>
  <c r="D202" i="2"/>
  <c r="C202" i="2"/>
  <c r="E202" i="2" s="1"/>
  <c r="D201" i="2"/>
  <c r="C201" i="2"/>
  <c r="E201" i="2" s="1"/>
  <c r="D200" i="2"/>
  <c r="C200" i="2"/>
  <c r="E200" i="2" s="1"/>
  <c r="D199" i="2"/>
  <c r="C199" i="2"/>
  <c r="D198" i="2"/>
  <c r="C198" i="2"/>
  <c r="D197" i="2"/>
  <c r="C197" i="2"/>
  <c r="E197" i="2" s="1"/>
  <c r="D196" i="2"/>
  <c r="C196" i="2"/>
  <c r="E196" i="2" s="1"/>
  <c r="D195" i="2"/>
  <c r="C195" i="2"/>
  <c r="E195" i="2" s="1"/>
  <c r="D194" i="2"/>
  <c r="C194" i="2"/>
  <c r="E194" i="2" s="1"/>
  <c r="D193" i="2"/>
  <c r="C193" i="2"/>
  <c r="E193" i="2" s="1"/>
  <c r="D192" i="2"/>
  <c r="C192" i="2"/>
  <c r="D191" i="2"/>
  <c r="C191" i="2"/>
  <c r="E191" i="2" s="1"/>
  <c r="D190" i="2"/>
  <c r="C190" i="2"/>
  <c r="E190" i="2" s="1"/>
  <c r="D189" i="2"/>
  <c r="C189" i="2"/>
  <c r="D188" i="2"/>
  <c r="C188" i="2"/>
  <c r="D187" i="2"/>
  <c r="C187" i="2"/>
  <c r="E187" i="2" s="1"/>
  <c r="D186" i="2"/>
  <c r="C186" i="2"/>
  <c r="D185" i="2"/>
  <c r="C185" i="2"/>
  <c r="D184" i="2"/>
  <c r="C184" i="2"/>
  <c r="E184" i="2" s="1"/>
  <c r="D183" i="2"/>
  <c r="C183" i="2"/>
  <c r="D182" i="2"/>
  <c r="C182" i="2"/>
  <c r="E182" i="2" s="1"/>
  <c r="D181" i="2"/>
  <c r="C181" i="2"/>
  <c r="E181" i="2" s="1"/>
  <c r="D180" i="2"/>
  <c r="C180" i="2"/>
  <c r="E180" i="2" s="1"/>
  <c r="D179" i="2"/>
  <c r="C179" i="2"/>
  <c r="E179" i="2" s="1"/>
  <c r="D178" i="2"/>
  <c r="C178" i="2"/>
  <c r="D177" i="2"/>
  <c r="C177" i="2"/>
  <c r="E177" i="2" s="1"/>
  <c r="D176" i="2"/>
  <c r="C176" i="2"/>
  <c r="D175" i="2"/>
  <c r="C175" i="2"/>
  <c r="E175" i="2" s="1"/>
  <c r="D174" i="2"/>
  <c r="C174" i="2"/>
  <c r="E174" i="2" s="1"/>
  <c r="D173" i="2"/>
  <c r="C173" i="2"/>
  <c r="E173" i="2" s="1"/>
  <c r="D172" i="2"/>
  <c r="C172" i="2"/>
  <c r="E172" i="2" s="1"/>
  <c r="D171" i="2"/>
  <c r="C171" i="2"/>
  <c r="E171" i="2" s="1"/>
  <c r="D170" i="2"/>
  <c r="C170" i="2"/>
  <c r="E170" i="2" s="1"/>
  <c r="D169" i="2"/>
  <c r="C169" i="2"/>
  <c r="E169" i="2" s="1"/>
  <c r="D168" i="2"/>
  <c r="C168" i="2"/>
  <c r="E168" i="2" s="1"/>
  <c r="D167" i="2"/>
  <c r="C167" i="2"/>
  <c r="D166" i="2"/>
  <c r="C166" i="2"/>
  <c r="D165" i="2"/>
  <c r="C165" i="2"/>
  <c r="D164" i="2"/>
  <c r="C164" i="2"/>
  <c r="D163" i="2"/>
  <c r="C163" i="2"/>
  <c r="D162" i="2"/>
  <c r="C162" i="2"/>
  <c r="D161" i="2"/>
  <c r="C161" i="2"/>
  <c r="D160" i="2"/>
  <c r="C160" i="2"/>
  <c r="D159" i="2"/>
  <c r="C159" i="2"/>
  <c r="D158" i="2"/>
  <c r="C158" i="2"/>
  <c r="E158" i="2" s="1"/>
  <c r="D157" i="2"/>
  <c r="C157" i="2"/>
  <c r="D156" i="2"/>
  <c r="C156" i="2"/>
  <c r="D155" i="2"/>
  <c r="C155" i="2"/>
  <c r="D154" i="2"/>
  <c r="C154" i="2"/>
  <c r="D153" i="2"/>
  <c r="C153" i="2"/>
  <c r="E153" i="2" s="1"/>
  <c r="D152" i="2"/>
  <c r="C152" i="2"/>
  <c r="E152" i="2" s="1"/>
  <c r="D151" i="2"/>
  <c r="C151" i="2"/>
  <c r="E151" i="2" s="1"/>
  <c r="D150" i="2"/>
  <c r="C150" i="2"/>
  <c r="E150" i="2" s="1"/>
  <c r="D149" i="2"/>
  <c r="C149" i="2"/>
  <c r="D148" i="2"/>
  <c r="C148" i="2"/>
  <c r="D147" i="2"/>
  <c r="C147" i="2"/>
  <c r="E147" i="2" s="1"/>
  <c r="D146" i="2"/>
  <c r="C146" i="2"/>
  <c r="E146" i="2" s="1"/>
  <c r="D145" i="2"/>
  <c r="C145" i="2"/>
  <c r="D144" i="2"/>
  <c r="C144" i="2"/>
  <c r="D143" i="2"/>
  <c r="C143" i="2"/>
  <c r="E143" i="2" s="1"/>
  <c r="D142" i="2"/>
  <c r="C142" i="2"/>
  <c r="D141" i="2"/>
  <c r="C141" i="2"/>
  <c r="D140" i="2"/>
  <c r="C140" i="2"/>
  <c r="E140" i="2" s="1"/>
  <c r="D139" i="2"/>
  <c r="C139" i="2"/>
  <c r="D138" i="2"/>
  <c r="C138" i="2"/>
  <c r="D137" i="2"/>
  <c r="C137" i="2"/>
  <c r="D136" i="2"/>
  <c r="C136" i="2"/>
  <c r="E136" i="2" s="1"/>
  <c r="D135" i="2"/>
  <c r="C135" i="2"/>
  <c r="E135" i="2" s="1"/>
  <c r="D134" i="2"/>
  <c r="C134" i="2"/>
  <c r="E134" i="2" s="1"/>
  <c r="D133" i="2"/>
  <c r="C133" i="2"/>
  <c r="D132" i="2"/>
  <c r="C132" i="2"/>
  <c r="D131" i="2"/>
  <c r="C131" i="2"/>
  <c r="D130" i="2"/>
  <c r="C130" i="2"/>
  <c r="D129" i="2"/>
  <c r="C129" i="2"/>
  <c r="D128" i="2"/>
  <c r="C128" i="2"/>
  <c r="E128" i="2" s="1"/>
  <c r="D127" i="2"/>
  <c r="C127" i="2"/>
  <c r="D126" i="2"/>
  <c r="C126" i="2"/>
  <c r="D125" i="2"/>
  <c r="C125" i="2"/>
  <c r="E125" i="2" s="1"/>
  <c r="D124" i="2"/>
  <c r="C124" i="2"/>
  <c r="D123" i="2"/>
  <c r="C123" i="2"/>
  <c r="D122" i="2"/>
  <c r="C122" i="2"/>
  <c r="D121" i="2"/>
  <c r="C121" i="2"/>
  <c r="D120" i="2"/>
  <c r="C120" i="2"/>
  <c r="E120" i="2" s="1"/>
  <c r="D119" i="2"/>
  <c r="C119" i="2"/>
  <c r="E119" i="2" s="1"/>
  <c r="D118" i="2"/>
  <c r="C118" i="2"/>
  <c r="E118" i="2" s="1"/>
  <c r="D117" i="2"/>
  <c r="C117" i="2"/>
  <c r="E117" i="2" s="1"/>
  <c r="D116" i="2"/>
  <c r="C116" i="2"/>
  <c r="D115" i="2"/>
  <c r="C115" i="2"/>
  <c r="D114" i="2"/>
  <c r="C114" i="2"/>
  <c r="D113" i="2"/>
  <c r="C113" i="2"/>
  <c r="D112" i="2"/>
  <c r="C112" i="2"/>
  <c r="D111" i="2"/>
  <c r="C111" i="2"/>
  <c r="D110" i="2"/>
  <c r="C110" i="2"/>
  <c r="E110" i="2" s="1"/>
  <c r="D109" i="2"/>
  <c r="C109" i="2"/>
  <c r="D108" i="2"/>
  <c r="C108" i="2"/>
  <c r="D107" i="2"/>
  <c r="C107" i="2"/>
  <c r="D106" i="2"/>
  <c r="C106" i="2"/>
  <c r="D105" i="2"/>
  <c r="C105" i="2"/>
  <c r="D104" i="2"/>
  <c r="C104" i="2"/>
  <c r="E104" i="2" s="1"/>
  <c r="D103" i="2"/>
  <c r="C103" i="2"/>
  <c r="E103" i="2" s="1"/>
  <c r="D102" i="2"/>
  <c r="C102" i="2"/>
  <c r="E102" i="2" s="1"/>
  <c r="D101" i="2"/>
  <c r="C101" i="2"/>
  <c r="E101" i="2" s="1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E92" i="2" s="1"/>
  <c r="D91" i="2"/>
  <c r="C91" i="2"/>
  <c r="D90" i="2"/>
  <c r="C90" i="2"/>
  <c r="D89" i="2"/>
  <c r="C89" i="2"/>
  <c r="E89" i="2" s="1"/>
  <c r="D88" i="2"/>
  <c r="C88" i="2"/>
  <c r="D87" i="2"/>
  <c r="C87" i="2"/>
  <c r="D86" i="2"/>
  <c r="C86" i="2"/>
  <c r="D85" i="2"/>
  <c r="C85" i="2"/>
  <c r="E85" i="2" s="1"/>
  <c r="D84" i="2"/>
  <c r="C84" i="2"/>
  <c r="E84" i="2" s="1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E74" i="2" s="1"/>
  <c r="D73" i="2"/>
  <c r="C73" i="2"/>
  <c r="E73" i="2" s="1"/>
  <c r="D72" i="2"/>
  <c r="C72" i="2"/>
  <c r="E72" i="2" s="1"/>
  <c r="D71" i="2"/>
  <c r="C71" i="2"/>
  <c r="D70" i="2"/>
  <c r="C70" i="2"/>
  <c r="D69" i="2"/>
  <c r="C69" i="2"/>
  <c r="D68" i="2"/>
  <c r="C68" i="2"/>
  <c r="E68" i="2" s="1"/>
  <c r="D67" i="2"/>
  <c r="C67" i="2"/>
  <c r="D66" i="2"/>
  <c r="C66" i="2"/>
  <c r="E66" i="2" s="1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E55" i="2" s="1"/>
  <c r="D54" i="2"/>
  <c r="C54" i="2"/>
  <c r="D53" i="2"/>
  <c r="C53" i="2"/>
  <c r="D52" i="2"/>
  <c r="C52" i="2"/>
  <c r="E52" i="2" s="1"/>
  <c r="D51" i="2"/>
  <c r="C51" i="2"/>
  <c r="E51" i="2" s="1"/>
  <c r="D50" i="2"/>
  <c r="C50" i="2"/>
  <c r="D49" i="2"/>
  <c r="C49" i="2"/>
  <c r="D48" i="2"/>
  <c r="C48" i="2"/>
  <c r="D47" i="2"/>
  <c r="C47" i="2"/>
  <c r="E47" i="2" s="1"/>
  <c r="D46" i="2"/>
  <c r="C46" i="2"/>
  <c r="E46" i="2" s="1"/>
  <c r="D45" i="2"/>
  <c r="C45" i="2"/>
  <c r="D44" i="2"/>
  <c r="C44" i="2"/>
  <c r="D43" i="2"/>
  <c r="C43" i="2"/>
  <c r="D42" i="2"/>
  <c r="C42" i="2"/>
  <c r="D41" i="2"/>
  <c r="C41" i="2"/>
  <c r="E41" i="2" s="1"/>
  <c r="D40" i="2"/>
  <c r="C40" i="2"/>
  <c r="D39" i="2"/>
  <c r="C39" i="2"/>
  <c r="D38" i="2"/>
  <c r="C38" i="2"/>
  <c r="D37" i="2"/>
  <c r="C37" i="2"/>
  <c r="D36" i="2"/>
  <c r="C36" i="2"/>
  <c r="D35" i="2"/>
  <c r="C35" i="2"/>
  <c r="E35" i="2" s="1"/>
  <c r="D34" i="2"/>
  <c r="C34" i="2"/>
  <c r="D33" i="2"/>
  <c r="C33" i="2"/>
  <c r="E33" i="2" s="1"/>
  <c r="D32" i="2"/>
  <c r="C32" i="2"/>
  <c r="D31" i="2"/>
  <c r="C31" i="2"/>
  <c r="D30" i="2"/>
  <c r="C30" i="2"/>
  <c r="D29" i="2"/>
  <c r="C29" i="2"/>
  <c r="D28" i="2"/>
  <c r="C28" i="2"/>
  <c r="E28" i="2" s="1"/>
  <c r="D27" i="2"/>
  <c r="C27" i="2"/>
  <c r="D26" i="2"/>
  <c r="C26" i="2"/>
  <c r="E26" i="2" s="1"/>
  <c r="D25" i="2"/>
  <c r="C25" i="2"/>
  <c r="D24" i="2"/>
  <c r="C24" i="2"/>
  <c r="E24" i="2" s="1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E17" i="2" s="1"/>
  <c r="D16" i="2"/>
  <c r="C16" i="2"/>
  <c r="E16" i="2" s="1"/>
  <c r="D15" i="2"/>
  <c r="C15" i="2"/>
  <c r="D14" i="2"/>
  <c r="C14" i="2"/>
  <c r="E14" i="2" s="1"/>
  <c r="D13" i="2"/>
  <c r="C13" i="2"/>
  <c r="E13" i="2" s="1"/>
  <c r="D12" i="2"/>
  <c r="C12" i="2"/>
  <c r="D11" i="2"/>
  <c r="C11" i="2"/>
  <c r="D10" i="2"/>
  <c r="C10" i="2"/>
  <c r="D9" i="2"/>
  <c r="C9" i="2"/>
  <c r="D8" i="2"/>
  <c r="C8" i="2"/>
  <c r="E8" i="2" s="1"/>
  <c r="D7" i="2"/>
  <c r="C7" i="2"/>
  <c r="B7" i="2"/>
  <c r="B8" i="2" s="1"/>
  <c r="B9" i="2" s="1"/>
  <c r="D6" i="2"/>
  <c r="C6" i="2"/>
  <c r="B38" i="1"/>
  <c r="B37" i="1"/>
  <c r="B35" i="1"/>
  <c r="B34" i="1"/>
  <c r="B29" i="1"/>
  <c r="B28" i="1"/>
  <c r="B27" i="1"/>
  <c r="B26" i="1"/>
  <c r="B16" i="1"/>
  <c r="B15" i="1"/>
  <c r="B14" i="1"/>
  <c r="B6" i="1"/>
  <c r="E157" i="2" l="1"/>
  <c r="E137" i="2"/>
  <c r="E115" i="2"/>
  <c r="E105" i="2"/>
  <c r="E86" i="2"/>
  <c r="E82" i="2"/>
  <c r="E32" i="2"/>
  <c r="E186" i="2"/>
  <c r="E407" i="2"/>
  <c r="E719" i="2"/>
  <c r="E384" i="2"/>
  <c r="E156" i="2"/>
  <c r="E548" i="2"/>
  <c r="E185" i="2"/>
  <c r="E167" i="2"/>
  <c r="E109" i="2"/>
  <c r="E166" i="2"/>
  <c r="E717" i="2"/>
  <c r="E11" i="2"/>
  <c r="E214" i="2"/>
  <c r="E547" i="2"/>
  <c r="E425" i="2"/>
  <c r="E129" i="2"/>
  <c r="E64" i="2"/>
  <c r="E401" i="2"/>
  <c r="E144" i="2"/>
  <c r="E374" i="2"/>
  <c r="E192" i="2"/>
  <c r="E438" i="2"/>
  <c r="E1049" i="2"/>
  <c r="E375" i="2"/>
  <c r="E1094" i="2"/>
  <c r="E882" i="2"/>
  <c r="E67" i="2"/>
  <c r="E1112" i="2"/>
  <c r="E542" i="2"/>
  <c r="E388" i="2"/>
  <c r="E116" i="2"/>
  <c r="E1096" i="2"/>
  <c r="E54" i="2"/>
  <c r="E1148" i="2"/>
  <c r="E627" i="2"/>
  <c r="E606" i="2"/>
  <c r="E599" i="2"/>
  <c r="E591" i="2"/>
  <c r="E577" i="2"/>
  <c r="E549" i="2"/>
  <c r="E344" i="2"/>
  <c r="E301" i="2"/>
  <c r="E300" i="2"/>
  <c r="E292" i="2"/>
  <c r="E284" i="2"/>
  <c r="E253" i="2"/>
  <c r="E234" i="2"/>
  <c r="E10" i="2"/>
  <c r="E1249" i="2"/>
  <c r="E629" i="2"/>
  <c r="E619" i="2"/>
  <c r="E614" i="2"/>
  <c r="E603" i="2"/>
  <c r="E596" i="2"/>
  <c r="E590" i="2"/>
  <c r="E587" i="2"/>
  <c r="E540" i="2"/>
  <c r="E334" i="2"/>
  <c r="E264" i="2"/>
  <c r="E257" i="2"/>
  <c r="E254" i="2"/>
  <c r="E198" i="2"/>
  <c r="E552" i="2"/>
  <c r="E294" i="2"/>
  <c r="E288" i="2"/>
  <c r="E286" i="2"/>
  <c r="E207" i="2"/>
  <c r="E242" i="2"/>
  <c r="E189" i="2"/>
  <c r="E127" i="2"/>
  <c r="E1372" i="2"/>
  <c r="E1326" i="2"/>
  <c r="E1277" i="2"/>
  <c r="E1272" i="2"/>
  <c r="E1255" i="2"/>
  <c r="E1228" i="2"/>
  <c r="E291" i="2"/>
  <c r="E262" i="2"/>
  <c r="E260" i="2"/>
  <c r="E251" i="2"/>
  <c r="E159" i="2"/>
  <c r="E138" i="2"/>
  <c r="E1294" i="2"/>
  <c r="E1328" i="2"/>
  <c r="E472" i="2"/>
  <c r="E1143" i="2"/>
  <c r="E797" i="2"/>
  <c r="E575" i="2"/>
  <c r="E440" i="2"/>
  <c r="E416" i="2"/>
  <c r="E958" i="2"/>
  <c r="E775" i="2"/>
  <c r="E559" i="2"/>
  <c r="E403" i="2"/>
  <c r="E183" i="2"/>
  <c r="E139" i="2"/>
  <c r="E1047" i="2"/>
  <c r="E560" i="2"/>
  <c r="E124" i="2"/>
  <c r="E88" i="2"/>
  <c r="E878" i="2"/>
  <c r="E545" i="2"/>
  <c r="E178" i="2"/>
  <c r="E370" i="2"/>
  <c r="E1215" i="2"/>
  <c r="E735" i="2"/>
  <c r="E25" i="2"/>
  <c r="E707" i="2"/>
  <c r="E385" i="2"/>
  <c r="E369" i="2"/>
  <c r="E213" i="2"/>
  <c r="E188" i="2"/>
  <c r="E1217" i="2"/>
  <c r="E1048" i="2"/>
  <c r="E876" i="2"/>
  <c r="E615" i="2"/>
  <c r="E7" i="2"/>
  <c r="E176" i="2"/>
  <c r="E58" i="2"/>
  <c r="E312" i="2"/>
  <c r="E199" i="2"/>
  <c r="E107" i="2"/>
  <c r="E165" i="2"/>
  <c r="E164" i="2"/>
  <c r="E163" i="2"/>
  <c r="E162" i="2"/>
  <c r="E160" i="2"/>
  <c r="E155" i="2"/>
  <c r="E154" i="2"/>
  <c r="E149" i="2"/>
  <c r="E148" i="2"/>
  <c r="E145" i="2"/>
  <c r="E142" i="2"/>
  <c r="E141" i="2"/>
  <c r="E133" i="2"/>
  <c r="E130" i="2"/>
  <c r="E123" i="2"/>
  <c r="E122" i="2"/>
  <c r="E121" i="2"/>
  <c r="E114" i="2"/>
  <c r="E113" i="2"/>
  <c r="E112" i="2"/>
  <c r="E111" i="2"/>
  <c r="E108" i="2"/>
  <c r="E106" i="2"/>
  <c r="E99" i="2"/>
  <c r="E98" i="2"/>
  <c r="E97" i="2"/>
  <c r="E96" i="2"/>
  <c r="E95" i="2"/>
  <c r="E93" i="2"/>
  <c r="E91" i="2"/>
  <c r="E90" i="2"/>
  <c r="E83" i="2"/>
  <c r="E81" i="2"/>
  <c r="E80" i="2"/>
  <c r="E79" i="2"/>
  <c r="E78" i="2"/>
  <c r="E76" i="2"/>
  <c r="E75" i="2"/>
  <c r="E71" i="2"/>
  <c r="E70" i="2"/>
  <c r="E69" i="2"/>
  <c r="E62" i="2"/>
  <c r="E60" i="2"/>
  <c r="E56" i="2"/>
  <c r="E50" i="2"/>
  <c r="E49" i="2"/>
  <c r="E48" i="2"/>
  <c r="E45" i="2"/>
  <c r="E44" i="2"/>
  <c r="E43" i="2"/>
  <c r="E42" i="2"/>
  <c r="E38" i="2"/>
  <c r="E37" i="2"/>
  <c r="E34" i="2"/>
  <c r="E31" i="2"/>
  <c r="E30" i="2"/>
  <c r="E29" i="2"/>
  <c r="E27" i="2"/>
  <c r="E22" i="2"/>
  <c r="E21" i="2"/>
  <c r="E20" i="2"/>
  <c r="E19" i="2"/>
  <c r="E15" i="2"/>
  <c r="E12" i="2"/>
  <c r="E6" i="2"/>
  <c r="E435" i="2"/>
  <c r="E434" i="2"/>
  <c r="E431" i="2"/>
  <c r="E430" i="2"/>
  <c r="E426" i="2"/>
  <c r="E423" i="2"/>
  <c r="E595" i="2"/>
  <c r="E61" i="2"/>
  <c r="E36" i="2"/>
  <c r="E59" i="2"/>
  <c r="E161" i="2"/>
  <c r="E39" i="2"/>
  <c r="E23" i="2"/>
  <c r="E87" i="2"/>
  <c r="E77" i="2"/>
  <c r="E94" i="2"/>
  <c r="E126" i="2"/>
  <c r="E40" i="2"/>
  <c r="E132" i="2"/>
  <c r="E100" i="2"/>
  <c r="E9" i="2"/>
  <c r="E131" i="2"/>
  <c r="E63" i="2"/>
  <c r="E57" i="2"/>
  <c r="E53" i="2"/>
  <c r="E18" i="2"/>
  <c r="E65" i="2"/>
  <c r="G6" i="4"/>
  <c r="G4" i="4"/>
  <c r="G3" i="4"/>
  <c r="G15" i="4"/>
  <c r="G10" i="4"/>
  <c r="B18" i="1"/>
  <c r="B17" i="1"/>
  <c r="G9" i="4"/>
  <c r="G11" i="4"/>
  <c r="G8" i="4"/>
  <c r="B39" i="1"/>
  <c r="G12" i="4"/>
  <c r="G7" i="4"/>
  <c r="G14" i="4"/>
  <c r="G5" i="4"/>
  <c r="G13" i="4"/>
  <c r="G6" i="3"/>
  <c r="G7" i="3"/>
  <c r="G8" i="3"/>
  <c r="G9" i="3"/>
  <c r="G10" i="3"/>
  <c r="G11" i="3"/>
  <c r="G13" i="3"/>
  <c r="G14" i="3"/>
  <c r="G15" i="3"/>
  <c r="G16" i="3"/>
  <c r="G17" i="3"/>
  <c r="G18" i="3"/>
  <c r="G19" i="3"/>
  <c r="G20" i="3"/>
  <c r="G21" i="3"/>
  <c r="G22" i="3"/>
  <c r="G1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3" i="3"/>
  <c r="B36" i="1"/>
  <c r="G4" i="3"/>
  <c r="G5" i="3"/>
  <c r="B5" i="4"/>
  <c r="B4" i="4"/>
  <c r="B3" i="4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4" i="3"/>
  <c r="B8" i="3"/>
  <c r="B6" i="3"/>
  <c r="B9" i="3"/>
  <c r="B3" i="3"/>
  <c r="B10" i="3"/>
  <c r="B12" i="4"/>
  <c r="B11" i="3"/>
  <c r="C5" i="5"/>
  <c r="E41" i="1" s="1"/>
  <c r="F41" i="1" s="1"/>
  <c r="B12" i="3"/>
  <c r="B13" i="3"/>
  <c r="B5" i="5"/>
  <c r="B14" i="3"/>
  <c r="C4" i="5"/>
  <c r="B15" i="3"/>
  <c r="B4" i="5"/>
  <c r="B16" i="3"/>
  <c r="C3" i="5"/>
  <c r="B17" i="3"/>
  <c r="B3" i="5"/>
  <c r="B18" i="3"/>
  <c r="B15" i="4"/>
  <c r="B19" i="3"/>
  <c r="B14" i="4"/>
  <c r="B20" i="3"/>
  <c r="B13" i="4"/>
  <c r="B21" i="3"/>
  <c r="B22" i="3"/>
  <c r="B5" i="3"/>
  <c r="B23" i="3"/>
  <c r="B7" i="3"/>
  <c r="B11" i="4"/>
  <c r="B10" i="4"/>
  <c r="B9" i="4"/>
  <c r="B8" i="4"/>
  <c r="B7" i="4"/>
  <c r="B6" i="4"/>
  <c r="B20" i="1"/>
  <c r="B21" i="1"/>
  <c r="A2" i="6"/>
  <c r="B41" i="1" l="1"/>
  <c r="G5" i="5"/>
  <c r="G3" i="5"/>
  <c r="G4" i="5"/>
  <c r="B40" i="1"/>
  <c r="C5" i="4"/>
  <c r="C4" i="4"/>
  <c r="C3" i="4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4" i="3"/>
  <c r="C8" i="3"/>
  <c r="C6" i="3"/>
  <c r="C9" i="3"/>
  <c r="C3" i="3"/>
  <c r="C10" i="3"/>
  <c r="C12" i="4"/>
  <c r="C11" i="3"/>
  <c r="C12" i="3"/>
  <c r="C13" i="3"/>
  <c r="C14" i="3"/>
  <c r="C15" i="3"/>
  <c r="C16" i="3"/>
  <c r="C17" i="3"/>
  <c r="C18" i="3"/>
  <c r="C15" i="4"/>
  <c r="C19" i="3"/>
  <c r="C14" i="4"/>
  <c r="C20" i="3"/>
  <c r="C13" i="4"/>
  <c r="C21" i="3"/>
  <c r="C22" i="3"/>
  <c r="C5" i="3"/>
  <c r="C23" i="3"/>
  <c r="C7" i="3"/>
  <c r="C11" i="4"/>
  <c r="C10" i="4"/>
  <c r="C9" i="4"/>
  <c r="C8" i="4"/>
  <c r="C7" i="4"/>
  <c r="C6" i="4"/>
  <c r="E37" i="1"/>
  <c r="F37" i="1" s="1"/>
  <c r="E39" i="1"/>
  <c r="F39" i="1" s="1"/>
  <c r="B22" i="1"/>
  <c r="A48" i="1"/>
  <c r="B10" i="2"/>
  <c r="B11" i="2" s="1"/>
  <c r="B12" i="2" s="1"/>
  <c r="B13" i="2" s="1"/>
  <c r="B14" i="2" s="1"/>
  <c r="B15" i="2" s="1"/>
  <c r="B16" i="2" s="1"/>
  <c r="B17" i="2" s="1"/>
  <c r="B18" i="2" s="1"/>
  <c r="E36" i="1" l="1"/>
  <c r="F36" i="1" s="1"/>
  <c r="E35" i="1"/>
  <c r="F35" i="1" s="1"/>
  <c r="E34" i="1"/>
  <c r="F34" i="1" s="1"/>
  <c r="B19" i="2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E40" i="1"/>
  <c r="F40" i="1" s="1"/>
  <c r="E38" i="1"/>
  <c r="F38" i="1" s="1"/>
  <c r="B77" i="2" l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l="1"/>
  <c r="B165" i="2" s="1"/>
  <c r="B166" i="2" s="1"/>
  <c r="B167" i="2" l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l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l="1"/>
  <c r="B215" i="2" s="1"/>
  <c r="B216" i="2" s="1"/>
  <c r="B217" i="2" s="1"/>
  <c r="B218" i="2" s="1"/>
  <c r="B219" i="2" s="1"/>
  <c r="B220" i="2" s="1"/>
  <c r="B221" i="2" l="1"/>
  <c r="B222" i="2" s="1"/>
  <c r="B223" i="2" s="1"/>
  <c r="B224" i="2" s="1"/>
  <c r="B225" i="2" s="1"/>
  <c r="B226" i="2" l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l="1"/>
  <c r="B238" i="2" s="1"/>
  <c r="B239" i="2" s="1"/>
  <c r="B240" i="2" s="1"/>
  <c r="B241" i="2" s="1"/>
  <c r="B242" i="2" s="1"/>
  <c r="B243" i="2" s="1"/>
  <c r="B244" i="2" s="1"/>
  <c r="B245" i="2" s="1"/>
  <c r="B246" i="2" s="1"/>
  <c r="B247" i="2" l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l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l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l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l="1"/>
  <c r="B420" i="2" s="1"/>
  <c r="B421" i="2" s="1"/>
  <c r="B422" i="2" s="1"/>
  <c r="B423" i="2" s="1"/>
  <c r="B424" i="2" s="1"/>
  <c r="B425" i="2" s="1"/>
  <c r="B426" i="2" s="1"/>
  <c r="B427" i="2" l="1"/>
  <c r="B428" i="2" s="1"/>
  <c r="B429" i="2" s="1"/>
  <c r="B59" i="1" l="1"/>
  <c r="B430" i="2"/>
  <c r="B431" i="2" s="1"/>
  <c r="B432" i="2" l="1"/>
  <c r="B433" i="2" l="1"/>
  <c r="B434" i="2" l="1"/>
  <c r="C59" i="1" l="1"/>
  <c r="D59" i="1" s="1"/>
  <c r="B435" i="2"/>
  <c r="B436" i="2" l="1"/>
  <c r="B437" i="2" l="1"/>
  <c r="B438" i="2" l="1"/>
  <c r="B439" i="2" l="1"/>
  <c r="B440" i="2" l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19" i="2" s="1"/>
  <c r="B620" i="2" s="1"/>
  <c r="B621" i="2" s="1"/>
  <c r="B622" i="2" s="1"/>
  <c r="B623" i="2" s="1"/>
  <c r="B624" i="2" s="1"/>
  <c r="B625" i="2" s="1"/>
  <c r="B626" i="2" s="1"/>
  <c r="B627" i="2" s="1"/>
  <c r="B628" i="2" s="1"/>
  <c r="B629" i="2" s="1"/>
  <c r="B630" i="2" s="1"/>
  <c r="B631" i="2" s="1"/>
  <c r="B632" i="2" s="1"/>
  <c r="B633" i="2" s="1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B646" i="2" s="1"/>
  <c r="B647" i="2" s="1"/>
  <c r="B648" i="2" s="1"/>
  <c r="B649" i="2" s="1"/>
  <c r="B650" i="2" s="1"/>
  <c r="B651" i="2" s="1"/>
  <c r="B652" i="2" s="1"/>
  <c r="B653" i="2" s="1"/>
  <c r="B654" i="2" s="1"/>
  <c r="B655" i="2" s="1"/>
  <c r="B656" i="2" s="1"/>
  <c r="B657" i="2" s="1"/>
  <c r="B658" i="2" s="1"/>
  <c r="B659" i="2" s="1"/>
  <c r="B660" i="2" s="1"/>
  <c r="B661" i="2" s="1"/>
  <c r="B662" i="2" s="1"/>
  <c r="B663" i="2" s="1"/>
  <c r="B664" i="2" s="1"/>
  <c r="B665" i="2" s="1"/>
  <c r="B666" i="2" s="1"/>
  <c r="B667" i="2" s="1"/>
  <c r="B668" i="2" s="1"/>
  <c r="B669" i="2" s="1"/>
  <c r="B670" i="2" s="1"/>
  <c r="B671" i="2" s="1"/>
  <c r="B672" i="2" s="1"/>
  <c r="B673" i="2" s="1"/>
  <c r="B674" i="2" s="1"/>
  <c r="B675" i="2" s="1"/>
  <c r="B676" i="2" s="1"/>
  <c r="B677" i="2" s="1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692" i="2" s="1"/>
  <c r="B693" i="2" s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B709" i="2" s="1"/>
  <c r="B710" i="2" s="1"/>
  <c r="B711" i="2" s="1"/>
  <c r="B712" i="2" s="1"/>
  <c r="B713" i="2" s="1"/>
  <c r="B714" i="2" s="1"/>
  <c r="B715" i="2" s="1"/>
  <c r="B716" i="2" s="1"/>
  <c r="B717" i="2" s="1"/>
  <c r="B718" i="2" s="1"/>
  <c r="B719" i="2" s="1"/>
  <c r="B720" i="2" s="1"/>
  <c r="B721" i="2" s="1"/>
  <c r="B722" i="2" s="1"/>
  <c r="B723" i="2" s="1"/>
  <c r="B724" i="2" s="1"/>
  <c r="B725" i="2" s="1"/>
  <c r="B726" i="2" s="1"/>
  <c r="B727" i="2" s="1"/>
  <c r="B728" i="2" s="1"/>
  <c r="B729" i="2" s="1"/>
  <c r="B730" i="2" s="1"/>
  <c r="B731" i="2" s="1"/>
  <c r="B732" i="2" s="1"/>
  <c r="B733" i="2" s="1"/>
  <c r="B734" i="2" s="1"/>
  <c r="B735" i="2" s="1"/>
  <c r="B736" i="2" s="1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B750" i="2" s="1"/>
  <c r="B751" i="2" s="1"/>
  <c r="B752" i="2" s="1"/>
  <c r="B753" i="2" s="1"/>
  <c r="B754" i="2" s="1"/>
  <c r="B755" i="2" s="1"/>
  <c r="B756" i="2" s="1"/>
  <c r="B757" i="2" s="1"/>
  <c r="B758" i="2" s="1"/>
  <c r="B759" i="2" s="1"/>
  <c r="B760" i="2" s="1"/>
  <c r="B761" i="2" s="1"/>
  <c r="B762" i="2" s="1"/>
  <c r="B763" i="2" s="1"/>
  <c r="B764" i="2" s="1"/>
  <c r="B765" i="2" s="1"/>
  <c r="B766" i="2" s="1"/>
  <c r="B767" i="2" s="1"/>
  <c r="B768" i="2" s="1"/>
  <c r="B769" i="2" s="1"/>
  <c r="B770" i="2" s="1"/>
  <c r="B771" i="2" s="1"/>
  <c r="B772" i="2" s="1"/>
  <c r="B773" i="2" s="1"/>
  <c r="B774" i="2" s="1"/>
  <c r="B775" i="2" s="1"/>
  <c r="B776" i="2" s="1"/>
  <c r="B777" i="2" s="1"/>
  <c r="B778" i="2" s="1"/>
  <c r="B779" i="2" s="1"/>
  <c r="B780" i="2" s="1"/>
  <c r="B781" i="2" s="1"/>
  <c r="B782" i="2" s="1"/>
  <c r="B783" i="2" s="1"/>
  <c r="B784" i="2" s="1"/>
  <c r="B785" i="2" s="1"/>
  <c r="B786" i="2" s="1"/>
  <c r="B787" i="2" s="1"/>
  <c r="B788" i="2" s="1"/>
  <c r="B789" i="2" s="1"/>
  <c r="B790" i="2" s="1"/>
  <c r="B791" i="2" s="1"/>
  <c r="B792" i="2" s="1"/>
  <c r="B793" i="2" s="1"/>
  <c r="B794" i="2" s="1"/>
  <c r="B795" i="2" s="1"/>
  <c r="B796" i="2" s="1"/>
  <c r="B797" i="2" s="1"/>
  <c r="B798" i="2" s="1"/>
  <c r="B799" i="2" s="1"/>
  <c r="B800" i="2" s="1"/>
  <c r="B801" i="2" s="1"/>
  <c r="B802" i="2" s="1"/>
  <c r="B803" i="2" s="1"/>
  <c r="B804" i="2" s="1"/>
  <c r="B805" i="2" s="1"/>
  <c r="B806" i="2" s="1"/>
  <c r="B807" i="2" s="1"/>
  <c r="B808" i="2" s="1"/>
  <c r="B809" i="2" s="1"/>
  <c r="B810" i="2" s="1"/>
  <c r="B811" i="2" s="1"/>
  <c r="B812" i="2" s="1"/>
  <c r="B813" i="2" s="1"/>
  <c r="B814" i="2" s="1"/>
  <c r="B815" i="2" s="1"/>
  <c r="B816" i="2" s="1"/>
  <c r="B817" i="2" s="1"/>
  <c r="B818" i="2" s="1"/>
  <c r="B819" i="2" s="1"/>
  <c r="B820" i="2" s="1"/>
  <c r="B821" i="2" s="1"/>
  <c r="B822" i="2" s="1"/>
  <c r="B823" i="2" s="1"/>
  <c r="B824" i="2" s="1"/>
  <c r="B825" i="2" s="1"/>
  <c r="B826" i="2" s="1"/>
  <c r="B827" i="2" s="1"/>
  <c r="B828" i="2" s="1"/>
  <c r="B829" i="2" s="1"/>
  <c r="B830" i="2" s="1"/>
  <c r="B831" i="2" s="1"/>
  <c r="B832" i="2" s="1"/>
  <c r="B833" i="2" s="1"/>
  <c r="B834" i="2" s="1"/>
  <c r="B835" i="2" s="1"/>
  <c r="B836" i="2" s="1"/>
  <c r="B837" i="2" s="1"/>
  <c r="B838" i="2" s="1"/>
  <c r="B839" i="2" s="1"/>
  <c r="B840" i="2" s="1"/>
  <c r="B841" i="2" s="1"/>
  <c r="B842" i="2" s="1"/>
  <c r="B843" i="2" s="1"/>
  <c r="B844" i="2" s="1"/>
  <c r="B845" i="2" s="1"/>
  <c r="B846" i="2" s="1"/>
  <c r="B847" i="2" s="1"/>
  <c r="B848" i="2" s="1"/>
  <c r="B849" i="2" s="1"/>
  <c r="B850" i="2" s="1"/>
  <c r="B851" i="2" s="1"/>
  <c r="B852" i="2" s="1"/>
  <c r="B853" i="2" s="1"/>
  <c r="B854" i="2" s="1"/>
  <c r="B855" i="2" s="1"/>
  <c r="B856" i="2" s="1"/>
  <c r="B857" i="2" s="1"/>
  <c r="B858" i="2" s="1"/>
  <c r="B859" i="2" s="1"/>
  <c r="B860" i="2" s="1"/>
  <c r="B861" i="2" s="1"/>
  <c r="B862" i="2" s="1"/>
  <c r="B863" i="2" s="1"/>
  <c r="B864" i="2" s="1"/>
  <c r="B865" i="2" s="1"/>
  <c r="B866" i="2" s="1"/>
  <c r="B867" i="2" s="1"/>
  <c r="B868" i="2" s="1"/>
  <c r="B869" i="2" s="1"/>
  <c r="B870" i="2" s="1"/>
  <c r="B871" i="2" s="1"/>
  <c r="B872" i="2" s="1"/>
  <c r="B873" i="2" s="1"/>
  <c r="B874" i="2" s="1"/>
  <c r="B875" i="2" s="1"/>
  <c r="B876" i="2" s="1"/>
  <c r="B877" i="2" s="1"/>
  <c r="B878" i="2" s="1"/>
  <c r="B879" i="2" s="1"/>
  <c r="B880" i="2" s="1"/>
  <c r="B881" i="2" s="1"/>
  <c r="B882" i="2" s="1"/>
  <c r="B883" i="2" s="1"/>
  <c r="B884" i="2" s="1"/>
  <c r="B885" i="2" s="1"/>
  <c r="B886" i="2" s="1"/>
  <c r="B887" i="2" s="1"/>
  <c r="B888" i="2" s="1"/>
  <c r="B889" i="2" s="1"/>
  <c r="B890" i="2" s="1"/>
  <c r="B891" i="2" s="1"/>
  <c r="B892" i="2" s="1"/>
  <c r="B893" i="2" s="1"/>
  <c r="B894" i="2" s="1"/>
  <c r="B895" i="2" s="1"/>
  <c r="B896" i="2" s="1"/>
  <c r="B897" i="2" s="1"/>
  <c r="B898" i="2" s="1"/>
  <c r="B899" i="2" s="1"/>
  <c r="B900" i="2" s="1"/>
  <c r="B901" i="2" s="1"/>
  <c r="B902" i="2" s="1"/>
  <c r="B903" i="2" s="1"/>
  <c r="B904" i="2" s="1"/>
  <c r="B905" i="2" s="1"/>
  <c r="B906" i="2" s="1"/>
  <c r="B907" i="2" s="1"/>
  <c r="B908" i="2" s="1"/>
  <c r="B909" i="2" s="1"/>
  <c r="B910" i="2" s="1"/>
  <c r="B911" i="2" s="1"/>
  <c r="B912" i="2" s="1"/>
  <c r="B913" i="2" s="1"/>
  <c r="B914" i="2" s="1"/>
  <c r="B915" i="2" s="1"/>
  <c r="B916" i="2" s="1"/>
  <c r="B917" i="2" s="1"/>
  <c r="B918" i="2" s="1"/>
  <c r="B919" i="2" s="1"/>
  <c r="B920" i="2" s="1"/>
  <c r="B921" i="2" s="1"/>
  <c r="B922" i="2" s="1"/>
  <c r="B923" i="2" s="1"/>
  <c r="B924" i="2" s="1"/>
  <c r="B925" i="2" s="1"/>
  <c r="B926" i="2" s="1"/>
  <c r="B927" i="2" s="1"/>
  <c r="B928" i="2" s="1"/>
  <c r="B929" i="2" s="1"/>
  <c r="B930" i="2" s="1"/>
  <c r="B931" i="2" s="1"/>
  <c r="B932" i="2" s="1"/>
  <c r="B933" i="2" s="1"/>
  <c r="B934" i="2" s="1"/>
  <c r="B935" i="2" s="1"/>
  <c r="B936" i="2" s="1"/>
  <c r="B937" i="2" s="1"/>
  <c r="B938" i="2" s="1"/>
  <c r="B939" i="2" s="1"/>
  <c r="B940" i="2" s="1"/>
  <c r="B941" i="2" s="1"/>
  <c r="B942" i="2" s="1"/>
  <c r="B943" i="2" s="1"/>
  <c r="B944" i="2" s="1"/>
  <c r="B945" i="2" s="1"/>
  <c r="B946" i="2" s="1"/>
  <c r="B947" i="2" s="1"/>
  <c r="B948" i="2" s="1"/>
  <c r="B949" i="2" s="1"/>
  <c r="B950" i="2" s="1"/>
  <c r="B951" i="2" s="1"/>
  <c r="B952" i="2" s="1"/>
  <c r="B953" i="2" s="1"/>
  <c r="B954" i="2" s="1"/>
  <c r="B955" i="2" s="1"/>
  <c r="B956" i="2" s="1"/>
  <c r="B957" i="2" s="1"/>
  <c r="B958" i="2" s="1"/>
  <c r="B959" i="2" s="1"/>
  <c r="B960" i="2" s="1"/>
  <c r="B961" i="2" s="1"/>
  <c r="B962" i="2" s="1"/>
  <c r="B963" i="2" s="1"/>
  <c r="B964" i="2" s="1"/>
  <c r="B965" i="2" s="1"/>
  <c r="B966" i="2" s="1"/>
  <c r="B967" i="2" s="1"/>
  <c r="B968" i="2" s="1"/>
  <c r="B969" i="2" s="1"/>
  <c r="B970" i="2" s="1"/>
  <c r="B971" i="2" s="1"/>
  <c r="B972" i="2" s="1"/>
  <c r="B973" i="2" s="1"/>
  <c r="B974" i="2" s="1"/>
  <c r="B975" i="2" s="1"/>
  <c r="B976" i="2" s="1"/>
  <c r="B977" i="2" s="1"/>
  <c r="B978" i="2" s="1"/>
  <c r="B979" i="2" s="1"/>
  <c r="B980" i="2" s="1"/>
  <c r="B981" i="2" s="1"/>
  <c r="B982" i="2" s="1"/>
  <c r="B983" i="2" s="1"/>
  <c r="B984" i="2" s="1"/>
  <c r="B985" i="2" s="1"/>
  <c r="B986" i="2" s="1"/>
  <c r="B987" i="2" s="1"/>
  <c r="B988" i="2" s="1"/>
  <c r="B989" i="2" s="1"/>
  <c r="B990" i="2" s="1"/>
  <c r="B991" i="2" s="1"/>
  <c r="B992" i="2" s="1"/>
  <c r="B993" i="2" s="1"/>
  <c r="B994" i="2" s="1"/>
  <c r="B995" i="2" s="1"/>
  <c r="B996" i="2" s="1"/>
  <c r="B997" i="2" s="1"/>
  <c r="B998" i="2" s="1"/>
  <c r="B999" i="2" s="1"/>
  <c r="B1000" i="2" s="1"/>
  <c r="B1001" i="2" s="1"/>
  <c r="B1002" i="2" s="1"/>
  <c r="B1003" i="2" s="1"/>
  <c r="B1004" i="2" s="1"/>
  <c r="B1005" i="2" s="1"/>
  <c r="B1006" i="2" s="1"/>
  <c r="B1007" i="2" s="1"/>
  <c r="B1008" i="2" s="1"/>
  <c r="B1009" i="2" s="1"/>
  <c r="B1010" i="2" s="1"/>
  <c r="B1011" i="2" s="1"/>
  <c r="B1012" i="2" s="1"/>
  <c r="B1013" i="2" s="1"/>
  <c r="B1014" i="2" s="1"/>
  <c r="B1015" i="2" s="1"/>
  <c r="B1016" i="2" s="1"/>
  <c r="B1017" i="2" s="1"/>
  <c r="B1018" i="2" s="1"/>
  <c r="B1019" i="2" s="1"/>
  <c r="B1020" i="2" s="1"/>
  <c r="B1021" i="2" s="1"/>
  <c r="B1022" i="2" s="1"/>
  <c r="B1023" i="2" s="1"/>
  <c r="B1024" i="2" s="1"/>
  <c r="B1025" i="2" s="1"/>
  <c r="B1026" i="2" s="1"/>
  <c r="B1027" i="2" s="1"/>
  <c r="B1028" i="2" s="1"/>
  <c r="B1029" i="2" s="1"/>
  <c r="B1030" i="2" s="1"/>
  <c r="B1031" i="2" s="1"/>
  <c r="B1032" i="2" s="1"/>
  <c r="B1033" i="2" s="1"/>
  <c r="B1034" i="2" s="1"/>
  <c r="B1035" i="2" s="1"/>
  <c r="B1036" i="2" s="1"/>
  <c r="B1037" i="2" s="1"/>
  <c r="B1038" i="2" s="1"/>
  <c r="B1039" i="2" s="1"/>
  <c r="B1040" i="2" s="1"/>
  <c r="B1041" i="2" s="1"/>
  <c r="B1042" i="2" s="1"/>
  <c r="B1043" i="2" s="1"/>
  <c r="B1044" i="2" s="1"/>
  <c r="B1045" i="2" s="1"/>
  <c r="B1046" i="2" s="1"/>
  <c r="B1047" i="2" s="1"/>
  <c r="B1048" i="2" s="1"/>
  <c r="B1049" i="2" s="1"/>
  <c r="B1050" i="2" s="1"/>
  <c r="B1051" i="2" s="1"/>
  <c r="B1052" i="2" s="1"/>
  <c r="B1053" i="2" s="1"/>
  <c r="B1054" i="2" s="1"/>
  <c r="B1055" i="2" s="1"/>
  <c r="B1056" i="2" s="1"/>
  <c r="B1057" i="2" s="1"/>
  <c r="B1058" i="2" s="1"/>
  <c r="B1059" i="2" s="1"/>
  <c r="B1060" i="2" s="1"/>
  <c r="B1061" i="2" s="1"/>
  <c r="B1062" i="2" s="1"/>
  <c r="B1063" i="2" s="1"/>
  <c r="B1064" i="2" s="1"/>
  <c r="B1065" i="2" s="1"/>
  <c r="B1066" i="2" s="1"/>
  <c r="B1067" i="2" s="1"/>
  <c r="B1068" i="2" s="1"/>
  <c r="B1069" i="2" s="1"/>
  <c r="B1070" i="2" s="1"/>
  <c r="B1071" i="2" s="1"/>
  <c r="B1072" i="2" s="1"/>
  <c r="B1073" i="2" s="1"/>
  <c r="B1074" i="2" s="1"/>
  <c r="B1075" i="2" s="1"/>
  <c r="B1076" i="2" s="1"/>
  <c r="B1077" i="2" s="1"/>
  <c r="B1078" i="2" s="1"/>
  <c r="B1079" i="2" s="1"/>
  <c r="B1080" i="2" s="1"/>
  <c r="B1081" i="2" s="1"/>
  <c r="B1082" i="2" s="1"/>
  <c r="B1083" i="2" s="1"/>
  <c r="B1084" i="2" s="1"/>
  <c r="B1085" i="2" s="1"/>
  <c r="B1086" i="2" s="1"/>
  <c r="B1087" i="2" s="1"/>
  <c r="B1088" i="2" s="1"/>
  <c r="B1089" i="2" s="1"/>
  <c r="B1090" i="2" s="1"/>
  <c r="B1091" i="2" s="1"/>
  <c r="B1092" i="2" s="1"/>
  <c r="B1093" i="2" s="1"/>
  <c r="B1094" i="2" s="1"/>
  <c r="B1095" i="2" s="1"/>
  <c r="B1096" i="2" s="1"/>
  <c r="B1097" i="2" s="1"/>
  <c r="B1098" i="2" s="1"/>
  <c r="B1099" i="2" s="1"/>
  <c r="B1100" i="2" s="1"/>
  <c r="B1101" i="2" s="1"/>
  <c r="B1102" i="2" s="1"/>
  <c r="B1103" i="2" s="1"/>
  <c r="B1104" i="2" s="1"/>
  <c r="B1105" i="2" s="1"/>
  <c r="B1106" i="2" s="1"/>
  <c r="B1107" i="2" s="1"/>
  <c r="B1108" i="2" s="1"/>
  <c r="B1109" i="2" s="1"/>
  <c r="B1110" i="2" s="1"/>
  <c r="B1111" i="2" s="1"/>
  <c r="B1112" i="2" s="1"/>
  <c r="B1113" i="2" s="1"/>
  <c r="B1114" i="2" s="1"/>
  <c r="B1115" i="2" s="1"/>
  <c r="B1116" i="2" s="1"/>
  <c r="B1117" i="2" s="1"/>
  <c r="B1118" i="2" s="1"/>
  <c r="B1119" i="2" s="1"/>
  <c r="B1120" i="2" s="1"/>
  <c r="B1121" i="2" s="1"/>
  <c r="B1122" i="2" s="1"/>
  <c r="B1123" i="2" s="1"/>
  <c r="B1124" i="2" s="1"/>
  <c r="B1125" i="2" s="1"/>
  <c r="B1126" i="2" s="1"/>
  <c r="B1127" i="2" s="1"/>
  <c r="B1128" i="2" s="1"/>
  <c r="B1129" i="2" s="1"/>
  <c r="B1130" i="2" s="1"/>
  <c r="B1131" i="2" s="1"/>
  <c r="B1132" i="2" s="1"/>
  <c r="B1133" i="2" s="1"/>
  <c r="B1134" i="2" s="1"/>
  <c r="B1135" i="2" s="1"/>
  <c r="B1136" i="2" s="1"/>
  <c r="B1137" i="2" s="1"/>
  <c r="B1138" i="2" s="1"/>
  <c r="B1139" i="2" s="1"/>
  <c r="B1140" i="2" s="1"/>
  <c r="B1141" i="2" s="1"/>
  <c r="B1142" i="2" s="1"/>
  <c r="B1143" i="2" s="1"/>
  <c r="B1144" i="2" s="1"/>
  <c r="B1145" i="2" s="1"/>
  <c r="B1146" i="2" s="1"/>
  <c r="B1147" i="2" s="1"/>
  <c r="B1148" i="2" s="1"/>
  <c r="B1149" i="2" s="1"/>
  <c r="B1150" i="2" s="1"/>
  <c r="B1151" i="2" s="1"/>
  <c r="B1152" i="2" s="1"/>
  <c r="B1153" i="2" s="1"/>
  <c r="B1154" i="2" s="1"/>
  <c r="B1155" i="2" s="1"/>
  <c r="B1156" i="2" s="1"/>
  <c r="B1157" i="2" s="1"/>
  <c r="B1158" i="2" s="1"/>
  <c r="B1159" i="2" s="1"/>
  <c r="B1160" i="2" s="1"/>
  <c r="B1161" i="2" s="1"/>
  <c r="B1162" i="2" s="1"/>
  <c r="B1163" i="2" s="1"/>
  <c r="B1164" i="2" s="1"/>
  <c r="B1165" i="2" s="1"/>
  <c r="B1166" i="2" s="1"/>
  <c r="B1167" i="2" s="1"/>
  <c r="B1168" i="2" s="1"/>
  <c r="B1169" i="2" s="1"/>
  <c r="B1170" i="2" s="1"/>
  <c r="B1171" i="2" s="1"/>
  <c r="B1172" i="2" s="1"/>
  <c r="B1173" i="2" s="1"/>
  <c r="B1174" i="2" s="1"/>
  <c r="B1175" i="2" s="1"/>
  <c r="B1176" i="2" s="1"/>
  <c r="B1177" i="2" s="1"/>
  <c r="B1178" i="2" s="1"/>
  <c r="B1179" i="2" s="1"/>
  <c r="B1180" i="2" s="1"/>
  <c r="B1181" i="2" s="1"/>
  <c r="B1182" i="2" s="1"/>
  <c r="B1183" i="2" s="1"/>
  <c r="B1184" i="2" s="1"/>
  <c r="B1185" i="2" s="1"/>
  <c r="B1186" i="2" s="1"/>
  <c r="B1187" i="2" s="1"/>
  <c r="B1188" i="2" s="1"/>
  <c r="B1189" i="2" s="1"/>
  <c r="B1190" i="2" s="1"/>
  <c r="B1191" i="2" s="1"/>
  <c r="B1192" i="2" s="1"/>
  <c r="B1193" i="2" s="1"/>
  <c r="B1194" i="2" s="1"/>
  <c r="B1195" i="2" s="1"/>
  <c r="B1196" i="2" s="1"/>
  <c r="B1197" i="2" s="1"/>
  <c r="B1198" i="2" s="1"/>
  <c r="B1199" i="2" s="1"/>
  <c r="B1200" i="2" s="1"/>
  <c r="B1201" i="2" s="1"/>
  <c r="B1202" i="2" s="1"/>
  <c r="B1203" i="2" s="1"/>
  <c r="B1204" i="2" s="1"/>
  <c r="B1205" i="2" s="1"/>
  <c r="B1206" i="2" s="1"/>
  <c r="B1207" i="2" s="1"/>
  <c r="B1208" i="2" s="1"/>
  <c r="B1209" i="2" s="1"/>
  <c r="B1210" i="2" s="1"/>
  <c r="B1211" i="2" s="1"/>
  <c r="B1212" i="2" s="1"/>
  <c r="B1213" i="2" s="1"/>
  <c r="B1214" i="2" s="1"/>
  <c r="B1215" i="2" s="1"/>
  <c r="B1216" i="2" s="1"/>
  <c r="B1217" i="2" s="1"/>
  <c r="B1218" i="2" s="1"/>
  <c r="B1219" i="2" s="1"/>
  <c r="B1220" i="2" s="1"/>
  <c r="B1221" i="2" s="1"/>
  <c r="B1222" i="2" s="1"/>
  <c r="B1223" i="2" s="1"/>
  <c r="B1224" i="2" s="1"/>
  <c r="B1225" i="2" s="1"/>
  <c r="B1226" i="2" s="1"/>
  <c r="B1227" i="2" s="1"/>
  <c r="B1228" i="2" s="1"/>
  <c r="B1229" i="2" s="1"/>
  <c r="B1230" i="2" s="1"/>
  <c r="B1231" i="2" s="1"/>
  <c r="B1232" i="2" s="1"/>
  <c r="B1233" i="2" s="1"/>
  <c r="B1234" i="2" s="1"/>
  <c r="B1235" i="2" s="1"/>
  <c r="B1236" i="2" s="1"/>
  <c r="B1237" i="2" s="1"/>
  <c r="B1238" i="2" s="1"/>
  <c r="B1239" i="2" s="1"/>
  <c r="B1240" i="2" s="1"/>
  <c r="B1241" i="2" s="1"/>
  <c r="B1242" i="2" s="1"/>
  <c r="B1243" i="2" s="1"/>
  <c r="B1244" i="2" s="1"/>
  <c r="B1245" i="2" s="1"/>
  <c r="B1246" i="2" s="1"/>
  <c r="B1247" i="2" s="1"/>
  <c r="B1248" i="2" s="1"/>
  <c r="B1249" i="2" s="1"/>
  <c r="B1250" i="2" s="1"/>
  <c r="B1251" i="2" s="1"/>
  <c r="B1252" i="2" s="1"/>
  <c r="B1253" i="2" s="1"/>
  <c r="B1254" i="2" s="1"/>
  <c r="B1255" i="2" s="1"/>
  <c r="B1256" i="2" s="1"/>
  <c r="B1257" i="2" s="1"/>
  <c r="B1258" i="2" s="1"/>
  <c r="B1259" i="2" s="1"/>
  <c r="B1260" i="2" s="1"/>
  <c r="B1261" i="2" s="1"/>
  <c r="B1262" i="2" s="1"/>
  <c r="B1263" i="2" s="1"/>
  <c r="B1264" i="2" s="1"/>
  <c r="B1265" i="2" s="1"/>
  <c r="B1266" i="2" s="1"/>
  <c r="B1267" i="2" s="1"/>
  <c r="B1268" i="2" s="1"/>
  <c r="B1269" i="2" s="1"/>
  <c r="B1270" i="2" s="1"/>
  <c r="B1271" i="2" s="1"/>
  <c r="B1272" i="2" s="1"/>
  <c r="B1273" i="2" s="1"/>
  <c r="B1274" i="2" s="1"/>
  <c r="B1275" i="2" s="1"/>
  <c r="B1276" i="2" s="1"/>
  <c r="B1277" i="2" s="1"/>
  <c r="B1278" i="2" s="1"/>
  <c r="B1279" i="2" s="1"/>
  <c r="B1280" i="2" s="1"/>
  <c r="B1281" i="2" s="1"/>
  <c r="B1282" i="2" s="1"/>
  <c r="B1283" i="2" s="1"/>
  <c r="B1284" i="2" s="1"/>
  <c r="B1285" i="2" s="1"/>
  <c r="B1286" i="2" s="1"/>
  <c r="B1287" i="2" s="1"/>
  <c r="B1288" i="2" s="1"/>
  <c r="B1289" i="2" s="1"/>
  <c r="B1290" i="2" s="1"/>
  <c r="B1291" i="2" s="1"/>
  <c r="B1292" i="2" s="1"/>
  <c r="B1293" i="2" s="1"/>
  <c r="B1294" i="2" s="1"/>
  <c r="B1295" i="2" s="1"/>
  <c r="B1296" i="2" s="1"/>
  <c r="B1297" i="2" s="1"/>
  <c r="B1298" i="2" s="1"/>
  <c r="B1299" i="2" s="1"/>
  <c r="B1300" i="2" s="1"/>
  <c r="B1301" i="2" s="1"/>
  <c r="B1302" i="2" s="1"/>
  <c r="B1303" i="2" s="1"/>
  <c r="B1304" i="2" s="1"/>
  <c r="B1305" i="2" s="1"/>
  <c r="B1306" i="2" s="1"/>
  <c r="B1307" i="2" s="1"/>
  <c r="B1308" i="2" s="1"/>
  <c r="B1309" i="2" s="1"/>
  <c r="B1310" i="2" s="1"/>
  <c r="B1311" i="2" s="1"/>
  <c r="B1312" i="2" s="1"/>
  <c r="B1313" i="2" s="1"/>
  <c r="B1314" i="2" s="1"/>
  <c r="B1315" i="2" s="1"/>
  <c r="B1316" i="2" s="1"/>
  <c r="B1317" i="2" s="1"/>
  <c r="B1318" i="2" s="1"/>
  <c r="B1319" i="2" s="1"/>
  <c r="B1320" i="2" s="1"/>
  <c r="B1321" i="2" s="1"/>
  <c r="B1322" i="2" s="1"/>
  <c r="B1323" i="2" s="1"/>
  <c r="B1324" i="2" s="1"/>
  <c r="B1325" i="2" s="1"/>
  <c r="B1326" i="2" s="1"/>
  <c r="B1327" i="2" s="1"/>
  <c r="B1328" i="2" s="1"/>
  <c r="B1329" i="2" s="1"/>
  <c r="B1330" i="2" s="1"/>
  <c r="B1331" i="2" s="1"/>
  <c r="B1332" i="2" s="1"/>
  <c r="B1333" i="2" s="1"/>
  <c r="B1334" i="2" s="1"/>
  <c r="B1335" i="2" s="1"/>
  <c r="B1336" i="2" s="1"/>
  <c r="B1337" i="2" s="1"/>
  <c r="B1338" i="2" s="1"/>
  <c r="B1339" i="2" s="1"/>
  <c r="B1340" i="2" s="1"/>
  <c r="B1341" i="2" s="1"/>
  <c r="B1342" i="2" s="1"/>
  <c r="B1343" i="2" s="1"/>
  <c r="B1344" i="2" s="1"/>
  <c r="B1345" i="2" s="1"/>
  <c r="B1346" i="2" s="1"/>
  <c r="B1347" i="2" s="1"/>
  <c r="B1348" i="2" s="1"/>
  <c r="B1349" i="2" s="1"/>
  <c r="B1350" i="2" s="1"/>
  <c r="B1351" i="2" s="1"/>
  <c r="B1352" i="2" s="1"/>
  <c r="B1353" i="2" s="1"/>
  <c r="B1354" i="2" s="1"/>
  <c r="B1355" i="2" s="1"/>
  <c r="B1356" i="2" s="1"/>
  <c r="B1357" i="2" s="1"/>
  <c r="B1358" i="2" s="1"/>
  <c r="B1359" i="2" s="1"/>
  <c r="B1360" i="2" s="1"/>
  <c r="B1361" i="2" s="1"/>
  <c r="B1362" i="2" s="1"/>
  <c r="B1363" i="2" s="1"/>
  <c r="B1364" i="2" s="1"/>
  <c r="B1365" i="2" s="1"/>
  <c r="B1366" i="2" s="1"/>
  <c r="B1367" i="2" s="1"/>
  <c r="B1368" i="2" s="1"/>
  <c r="B1369" i="2" s="1"/>
  <c r="B1370" i="2" s="1"/>
  <c r="B1371" i="2" s="1"/>
  <c r="B1372" i="2" s="1"/>
  <c r="B1373" i="2" s="1"/>
  <c r="B1374" i="2" s="1"/>
  <c r="B1375" i="2" s="1"/>
  <c r="B1376" i="2" s="1"/>
  <c r="B1377" i="2" s="1"/>
  <c r="B1378" i="2" s="1"/>
  <c r="B1379" i="2" s="1"/>
  <c r="B1380" i="2" s="1"/>
  <c r="B1381" i="2" s="1"/>
  <c r="B1382" i="2" s="1"/>
  <c r="B1383" i="2" s="1"/>
  <c r="B1384" i="2" s="1"/>
  <c r="D41" i="3" l="1"/>
  <c r="D30" i="3"/>
  <c r="E37" i="3"/>
  <c r="K37" i="3" s="1"/>
  <c r="E23" i="3"/>
  <c r="K23" i="3" s="1"/>
  <c r="D45" i="3"/>
  <c r="B53" i="1"/>
  <c r="D53" i="1" s="1"/>
  <c r="C6" i="6" s="1"/>
  <c r="D4" i="4"/>
  <c r="D6" i="3"/>
  <c r="E52" i="3"/>
  <c r="K52" i="3" s="1"/>
  <c r="D38" i="3"/>
  <c r="D47" i="3"/>
  <c r="E24" i="3"/>
  <c r="K24" i="3" s="1"/>
  <c r="E34" i="3"/>
  <c r="K34" i="3" s="1"/>
  <c r="D31" i="3"/>
  <c r="E18" i="3"/>
  <c r="K18" i="3" s="1"/>
  <c r="D48" i="3"/>
  <c r="E49" i="3"/>
  <c r="K49" i="3" s="1"/>
  <c r="E8" i="4"/>
  <c r="K8" i="4" s="1"/>
  <c r="D5" i="4"/>
  <c r="E14" i="4"/>
  <c r="E48" i="3"/>
  <c r="K48" i="3" s="1"/>
  <c r="D5" i="5"/>
  <c r="E11" i="3"/>
  <c r="K11" i="3" s="1"/>
  <c r="D9" i="3"/>
  <c r="E7" i="3"/>
  <c r="K7" i="3" s="1"/>
  <c r="D22" i="3"/>
  <c r="D25" i="3"/>
  <c r="E36" i="3"/>
  <c r="K36" i="3" s="1"/>
  <c r="D3" i="5"/>
  <c r="E19" i="3"/>
  <c r="K19" i="3" s="1"/>
  <c r="D35" i="3"/>
  <c r="E9" i="4"/>
  <c r="K9" i="4" s="1"/>
  <c r="E4" i="4"/>
  <c r="K4" i="4" s="1"/>
  <c r="D53" i="3"/>
  <c r="E32" i="3"/>
  <c r="K32" i="3" s="1"/>
  <c r="E41" i="3"/>
  <c r="K41" i="3" s="1"/>
  <c r="E27" i="3"/>
  <c r="K27" i="3" s="1"/>
  <c r="B7" i="6"/>
  <c r="E10" i="3"/>
  <c r="K10" i="3" s="1"/>
  <c r="E3" i="5"/>
  <c r="E50" i="3"/>
  <c r="K50" i="3" s="1"/>
  <c r="E26" i="3"/>
  <c r="K26" i="3" s="1"/>
  <c r="D7" i="3"/>
  <c r="E43" i="3"/>
  <c r="K43" i="3" s="1"/>
  <c r="D8" i="3"/>
  <c r="E28" i="3"/>
  <c r="K28" i="3" s="1"/>
  <c r="F3" i="2"/>
  <c r="D32" i="3"/>
  <c r="E3" i="3"/>
  <c r="K3" i="3" s="1"/>
  <c r="E54" i="3"/>
  <c r="K54" i="3" s="1"/>
  <c r="D37" i="3"/>
  <c r="E5" i="4"/>
  <c r="K5" i="4" s="1"/>
  <c r="E38" i="3"/>
  <c r="K38" i="3" s="1"/>
  <c r="B51" i="1"/>
  <c r="E4" i="3"/>
  <c r="K4" i="3" s="1"/>
  <c r="C52" i="1"/>
  <c r="B9" i="6"/>
  <c r="C60" i="1"/>
  <c r="E53" i="3"/>
  <c r="E15" i="3"/>
  <c r="K15" i="3" s="1"/>
  <c r="E15" i="4"/>
  <c r="K15" i="4" s="1"/>
  <c r="B57" i="1"/>
  <c r="D50" i="3"/>
  <c r="E8" i="3"/>
  <c r="K8" i="3" s="1"/>
  <c r="E16" i="3"/>
  <c r="K16" i="3" s="1"/>
  <c r="D12" i="4"/>
  <c r="E13" i="3"/>
  <c r="K13" i="3" s="1"/>
  <c r="D16" i="3"/>
  <c r="D27" i="3"/>
  <c r="E39" i="3"/>
  <c r="K39" i="3" s="1"/>
  <c r="E12" i="4"/>
  <c r="K12" i="4" s="1"/>
  <c r="D29" i="3"/>
  <c r="E56" i="3"/>
  <c r="K56" i="3" s="1"/>
  <c r="E10" i="4"/>
  <c r="K10" i="4" s="1"/>
  <c r="E12" i="3"/>
  <c r="K12" i="3" s="1"/>
  <c r="D7" i="4"/>
  <c r="D44" i="3"/>
  <c r="E51" i="3"/>
  <c r="K51" i="3" s="1"/>
  <c r="D11" i="4"/>
  <c r="B50" i="1"/>
  <c r="D10" i="4"/>
  <c r="D4" i="5"/>
  <c r="E14" i="3"/>
  <c r="K14" i="3" s="1"/>
  <c r="D51" i="3"/>
  <c r="D18" i="3"/>
  <c r="D23" i="3"/>
  <c r="D6" i="4"/>
  <c r="E11" i="4"/>
  <c r="K11" i="4" s="1"/>
  <c r="D42" i="3"/>
  <c r="D13" i="3"/>
  <c r="E6" i="3"/>
  <c r="K6" i="3" s="1"/>
  <c r="E5" i="5"/>
  <c r="D49" i="3"/>
  <c r="D52" i="3"/>
  <c r="D13" i="4"/>
  <c r="D21" i="3"/>
  <c r="C56" i="1"/>
  <c r="D56" i="1" s="1"/>
  <c r="C9" i="6" s="1"/>
  <c r="D19" i="3"/>
  <c r="D55" i="3"/>
  <c r="D54" i="3"/>
  <c r="B55" i="1"/>
  <c r="D55" i="1" s="1"/>
  <c r="C8" i="6" s="1"/>
  <c r="D17" i="3"/>
  <c r="D34" i="3"/>
  <c r="E25" i="3"/>
  <c r="K25" i="3" s="1"/>
  <c r="D24" i="3"/>
  <c r="E20" i="3"/>
  <c r="K20" i="3" s="1"/>
  <c r="E5" i="3"/>
  <c r="K5" i="3" s="1"/>
  <c r="E30" i="3"/>
  <c r="K30" i="3" s="1"/>
  <c r="E55" i="3"/>
  <c r="K55" i="3" s="1"/>
  <c r="D39" i="3"/>
  <c r="C50" i="1"/>
  <c r="C58" i="1"/>
  <c r="D11" i="3"/>
  <c r="E42" i="3"/>
  <c r="K42" i="3" s="1"/>
  <c r="E31" i="3"/>
  <c r="K31" i="3" s="1"/>
  <c r="E44" i="3"/>
  <c r="K44" i="3" s="1"/>
  <c r="D10" i="3"/>
  <c r="B58" i="1"/>
  <c r="D4" i="3"/>
  <c r="D46" i="3"/>
  <c r="D33" i="3"/>
  <c r="D12" i="3"/>
  <c r="D3" i="3"/>
  <c r="D14" i="3"/>
  <c r="E33" i="3"/>
  <c r="K33" i="3" s="1"/>
  <c r="E45" i="3"/>
  <c r="K45" i="3" s="1"/>
  <c r="E22" i="3"/>
  <c r="K22" i="3" s="1"/>
  <c r="D20" i="3"/>
  <c r="E6" i="4"/>
  <c r="K6" i="4" s="1"/>
  <c r="D15" i="3"/>
  <c r="B8" i="6"/>
  <c r="E40" i="3"/>
  <c r="K40" i="3" s="1"/>
  <c r="D15" i="4"/>
  <c r="D8" i="4"/>
  <c r="D14" i="4"/>
  <c r="B6" i="6"/>
  <c r="E7" i="4"/>
  <c r="K7" i="4" s="1"/>
  <c r="E21" i="3"/>
  <c r="K21" i="3" s="1"/>
  <c r="E47" i="3"/>
  <c r="K47" i="3" s="1"/>
  <c r="E13" i="4"/>
  <c r="K13" i="4" s="1"/>
  <c r="B52" i="1"/>
  <c r="D26" i="3"/>
  <c r="G3" i="2"/>
  <c r="D36" i="3"/>
  <c r="E46" i="3"/>
  <c r="K46" i="3" s="1"/>
  <c r="B60" i="1"/>
  <c r="D9" i="4"/>
  <c r="D3" i="4"/>
  <c r="E17" i="3"/>
  <c r="K17" i="3" s="1"/>
  <c r="D43" i="3"/>
  <c r="D56" i="3"/>
  <c r="C57" i="1"/>
  <c r="B54" i="1"/>
  <c r="D54" i="1" s="1"/>
  <c r="C7" i="6" s="1"/>
  <c r="E9" i="3"/>
  <c r="K9" i="3" s="1"/>
  <c r="D28" i="3"/>
  <c r="E29" i="3"/>
  <c r="K29" i="3" s="1"/>
  <c r="C51" i="1"/>
  <c r="D40" i="3"/>
  <c r="E4" i="5"/>
  <c r="D5" i="3"/>
  <c r="E3" i="4"/>
  <c r="K3" i="4" s="1"/>
  <c r="E35" i="3"/>
  <c r="K35" i="3" s="1"/>
  <c r="D58" i="1" l="1"/>
  <c r="H3" i="2"/>
  <c r="D51" i="1"/>
  <c r="D50" i="1"/>
  <c r="D60" i="1"/>
  <c r="F41" i="3"/>
  <c r="J41" i="3"/>
  <c r="J30" i="3"/>
  <c r="F30" i="3"/>
  <c r="F45" i="3"/>
  <c r="J45" i="3"/>
  <c r="J4" i="4"/>
  <c r="F4" i="4"/>
  <c r="F6" i="3"/>
  <c r="J6" i="3"/>
  <c r="F38" i="3"/>
  <c r="J38" i="3"/>
  <c r="J47" i="3"/>
  <c r="F47" i="3"/>
  <c r="F31" i="3"/>
  <c r="J31" i="3"/>
  <c r="J48" i="3"/>
  <c r="F48" i="3"/>
  <c r="J5" i="4"/>
  <c r="F5" i="4"/>
  <c r="C29" i="1"/>
  <c r="C38" i="1"/>
  <c r="D38" i="1" s="1"/>
  <c r="G38" i="1" s="1"/>
  <c r="K14" i="4"/>
  <c r="F9" i="3"/>
  <c r="J9" i="3"/>
  <c r="J22" i="3"/>
  <c r="F22" i="3"/>
  <c r="F25" i="3"/>
  <c r="J25" i="3"/>
  <c r="F35" i="3"/>
  <c r="J35" i="3"/>
  <c r="C34" i="1"/>
  <c r="D34" i="1" s="1"/>
  <c r="G34" i="1" s="1"/>
  <c r="B3" i="2"/>
  <c r="C26" i="1"/>
  <c r="J53" i="3"/>
  <c r="F53" i="3"/>
  <c r="F7" i="3"/>
  <c r="J7" i="3"/>
  <c r="F8" i="3"/>
  <c r="J8" i="3"/>
  <c r="J32" i="3"/>
  <c r="F32" i="3"/>
  <c r="F37" i="3"/>
  <c r="J37" i="3"/>
  <c r="C3" i="2"/>
  <c r="C27" i="1"/>
  <c r="C35" i="1"/>
  <c r="D35" i="1" s="1"/>
  <c r="G35" i="1" s="1"/>
  <c r="K53" i="3"/>
  <c r="F50" i="3"/>
  <c r="J50" i="3"/>
  <c r="F12" i="4"/>
  <c r="J12" i="4"/>
  <c r="F16" i="3"/>
  <c r="J16" i="3"/>
  <c r="F27" i="3"/>
  <c r="J27" i="3"/>
  <c r="F29" i="3"/>
  <c r="J29" i="3"/>
  <c r="F7" i="4"/>
  <c r="J7" i="4"/>
  <c r="F44" i="3"/>
  <c r="J44" i="3"/>
  <c r="F11" i="4"/>
  <c r="J11" i="4"/>
  <c r="J10" i="4"/>
  <c r="F10" i="4"/>
  <c r="J51" i="3"/>
  <c r="F51" i="3"/>
  <c r="F18" i="3"/>
  <c r="J18" i="3"/>
  <c r="F23" i="3"/>
  <c r="J23" i="3"/>
  <c r="F6" i="4"/>
  <c r="J6" i="4"/>
  <c r="F42" i="3"/>
  <c r="J42" i="3"/>
  <c r="F13" i="3"/>
  <c r="J13" i="3"/>
  <c r="F49" i="3"/>
  <c r="J49" i="3"/>
  <c r="F52" i="3"/>
  <c r="J52" i="3"/>
  <c r="F13" i="4"/>
  <c r="J13" i="4"/>
  <c r="J21" i="3"/>
  <c r="F21" i="3"/>
  <c r="F19" i="3"/>
  <c r="J19" i="3"/>
  <c r="F55" i="3"/>
  <c r="J55" i="3"/>
  <c r="F54" i="3"/>
  <c r="J54" i="3"/>
  <c r="F17" i="3"/>
  <c r="J17" i="3"/>
  <c r="J34" i="3"/>
  <c r="F34" i="3"/>
  <c r="F24" i="3"/>
  <c r="J24" i="3"/>
  <c r="F39" i="3"/>
  <c r="J39" i="3"/>
  <c r="F11" i="3"/>
  <c r="J11" i="3"/>
  <c r="J10" i="3"/>
  <c r="F10" i="3"/>
  <c r="F4" i="3"/>
  <c r="J4" i="3"/>
  <c r="J46" i="3"/>
  <c r="F46" i="3"/>
  <c r="J33" i="3"/>
  <c r="F33" i="3"/>
  <c r="F12" i="3"/>
  <c r="J12" i="3"/>
  <c r="F3" i="3"/>
  <c r="J3" i="3"/>
  <c r="J14" i="3"/>
  <c r="F14" i="3"/>
  <c r="J20" i="3"/>
  <c r="F20" i="3"/>
  <c r="F15" i="3"/>
  <c r="J15" i="3"/>
  <c r="F15" i="4"/>
  <c r="J15" i="4"/>
  <c r="J8" i="4"/>
  <c r="F8" i="4"/>
  <c r="C37" i="1"/>
  <c r="D37" i="1" s="1"/>
  <c r="G37" i="1" s="1"/>
  <c r="C28" i="1"/>
  <c r="J14" i="4"/>
  <c r="F14" i="4"/>
  <c r="F26" i="3"/>
  <c r="J26" i="3"/>
  <c r="F36" i="3"/>
  <c r="J36" i="3"/>
  <c r="J9" i="4"/>
  <c r="F9" i="4"/>
  <c r="F3" i="4"/>
  <c r="J3" i="4"/>
  <c r="F43" i="3"/>
  <c r="J43" i="3"/>
  <c r="F56" i="3"/>
  <c r="J56" i="3"/>
  <c r="J28" i="3"/>
  <c r="F28" i="3"/>
  <c r="F40" i="3"/>
  <c r="J40" i="3"/>
  <c r="F5" i="3"/>
  <c r="J5" i="3"/>
  <c r="F5" i="5"/>
  <c r="F3" i="5"/>
  <c r="D57" i="1"/>
  <c r="F4" i="5"/>
  <c r="D52" i="1"/>
  <c r="I41" i="3" l="1"/>
  <c r="H41" i="3"/>
  <c r="I30" i="3"/>
  <c r="H30" i="3"/>
  <c r="I45" i="3"/>
  <c r="H45" i="3"/>
  <c r="I4" i="4"/>
  <c r="H4" i="4"/>
  <c r="H6" i="3"/>
  <c r="I6" i="3"/>
  <c r="H38" i="3"/>
  <c r="I38" i="3"/>
  <c r="I47" i="3"/>
  <c r="H47" i="3"/>
  <c r="I31" i="3"/>
  <c r="H31" i="3"/>
  <c r="I48" i="3"/>
  <c r="H48" i="3"/>
  <c r="H5" i="4"/>
  <c r="I5" i="4"/>
  <c r="E29" i="1"/>
  <c r="D29" i="1"/>
  <c r="I9" i="3"/>
  <c r="H9" i="3"/>
  <c r="H22" i="3"/>
  <c r="I22" i="3"/>
  <c r="H25" i="3"/>
  <c r="I25" i="3"/>
  <c r="H35" i="3"/>
  <c r="I35" i="3"/>
  <c r="D26" i="1"/>
  <c r="E26" i="1"/>
  <c r="C36" i="1"/>
  <c r="D36" i="1" s="1"/>
  <c r="G36" i="1" s="1"/>
  <c r="E3" i="2"/>
  <c r="D3" i="2"/>
  <c r="H53" i="3"/>
  <c r="I53" i="3"/>
  <c r="H7" i="3"/>
  <c r="I7" i="3"/>
  <c r="I8" i="3"/>
  <c r="H8" i="3"/>
  <c r="I32" i="3"/>
  <c r="H32" i="3"/>
  <c r="I37" i="3"/>
  <c r="H37" i="3"/>
  <c r="D27" i="1"/>
  <c r="E27" i="1"/>
  <c r="I50" i="3"/>
  <c r="H50" i="3"/>
  <c r="H12" i="4"/>
  <c r="I12" i="4"/>
  <c r="H16" i="3"/>
  <c r="I16" i="3"/>
  <c r="I27" i="3"/>
  <c r="H27" i="3"/>
  <c r="I29" i="3"/>
  <c r="H29" i="3"/>
  <c r="I7" i="4"/>
  <c r="H7" i="4"/>
  <c r="I44" i="3"/>
  <c r="H44" i="3"/>
  <c r="H11" i="4"/>
  <c r="I11" i="4"/>
  <c r="H10" i="4"/>
  <c r="I10" i="4"/>
  <c r="H51" i="3"/>
  <c r="I51" i="3"/>
  <c r="I18" i="3"/>
  <c r="H18" i="3"/>
  <c r="H23" i="3"/>
  <c r="I23" i="3"/>
  <c r="H6" i="4"/>
  <c r="I6" i="4"/>
  <c r="I42" i="3"/>
  <c r="H42" i="3"/>
  <c r="I13" i="3"/>
  <c r="H13" i="3"/>
  <c r="I49" i="3"/>
  <c r="H49" i="3"/>
  <c r="I52" i="3"/>
  <c r="H52" i="3"/>
  <c r="I13" i="4"/>
  <c r="H13" i="4"/>
  <c r="H21" i="3"/>
  <c r="I21" i="3"/>
  <c r="H19" i="3"/>
  <c r="I19" i="3"/>
  <c r="I55" i="3"/>
  <c r="H55" i="3"/>
  <c r="H54" i="3"/>
  <c r="I54" i="3"/>
  <c r="I17" i="3"/>
  <c r="H17" i="3"/>
  <c r="H34" i="3"/>
  <c r="I34" i="3"/>
  <c r="H24" i="3"/>
  <c r="I24" i="3"/>
  <c r="H39" i="3"/>
  <c r="I39" i="3"/>
  <c r="I11" i="3"/>
  <c r="H11" i="3"/>
  <c r="H10" i="3"/>
  <c r="I10" i="3"/>
  <c r="H4" i="3"/>
  <c r="I4" i="3"/>
  <c r="H46" i="3"/>
  <c r="I46" i="3"/>
  <c r="H33" i="3"/>
  <c r="I33" i="3"/>
  <c r="H12" i="3"/>
  <c r="I12" i="3"/>
  <c r="I3" i="3"/>
  <c r="H3" i="3"/>
  <c r="H14" i="3"/>
  <c r="I14" i="3"/>
  <c r="H20" i="3"/>
  <c r="I20" i="3"/>
  <c r="H15" i="3"/>
  <c r="I15" i="3"/>
  <c r="H15" i="4"/>
  <c r="I15" i="4"/>
  <c r="H8" i="4"/>
  <c r="I8" i="4"/>
  <c r="D28" i="1"/>
  <c r="E28" i="1"/>
  <c r="C39" i="1"/>
  <c r="D39" i="1" s="1"/>
  <c r="G39" i="1" s="1"/>
  <c r="H14" i="4"/>
  <c r="I14" i="4"/>
  <c r="H26" i="3"/>
  <c r="I26" i="3"/>
  <c r="H36" i="3"/>
  <c r="I36" i="3"/>
  <c r="H9" i="4"/>
  <c r="I9" i="4"/>
  <c r="H3" i="4"/>
  <c r="I3" i="4"/>
  <c r="I43" i="3"/>
  <c r="H43" i="3"/>
  <c r="H56" i="3"/>
  <c r="I56" i="3"/>
  <c r="H28" i="3"/>
  <c r="I28" i="3"/>
  <c r="I40" i="3"/>
  <c r="H40" i="3"/>
  <c r="I5" i="3"/>
  <c r="H5" i="3"/>
  <c r="C41" i="1"/>
  <c r="D41" i="1" s="1"/>
  <c r="G41" i="1" s="1"/>
  <c r="H5" i="5"/>
  <c r="I5" i="5"/>
  <c r="H3" i="5"/>
  <c r="I3" i="5"/>
  <c r="C40" i="1"/>
  <c r="D40" i="1" s="1"/>
  <c r="G40" i="1" s="1"/>
  <c r="I4" i="5"/>
  <c r="H4" i="5"/>
  <c r="H40" i="1" l="1"/>
  <c r="H35" i="1"/>
  <c r="H36" i="1"/>
  <c r="H39" i="1"/>
  <c r="H41" i="1"/>
  <c r="H38" i="1"/>
  <c r="H34" i="1"/>
  <c r="H37" i="1"/>
</calcChain>
</file>

<file path=xl/sharedStrings.xml><?xml version="1.0" encoding="utf-8"?>
<sst xmlns="http://schemas.openxmlformats.org/spreadsheetml/2006/main" count="153" uniqueCount="103">
  <si>
    <t>売上ダッシュボード（週・月・半期・年間）</t>
  </si>
  <si>
    <t>■ 入力項目（黄色セルのみ編集）</t>
  </si>
  <si>
    <t>集計対象年</t>
  </si>
  <si>
    <t>年度開始月</t>
  </si>
  <si>
    <t>本日の日付（自動）</t>
  </si>
  <si>
    <r>
      <rPr>
        <sz val="11"/>
        <rFont val="Noto Sans CJK SC"/>
        <family val="2"/>
      </rPr>
      <t>個人 週予算（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人あたり）</t>
    </r>
  </si>
  <si>
    <r>
      <rPr>
        <sz val="11"/>
        <rFont val="Noto Sans CJK SC"/>
        <family val="2"/>
      </rPr>
      <t>個人 月予算（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人あたり）</t>
    </r>
  </si>
  <si>
    <r>
      <rPr>
        <sz val="11"/>
        <rFont val="Arial"/>
        <family val="2"/>
      </rPr>
      <t>JET</t>
    </r>
    <r>
      <rPr>
        <sz val="11"/>
        <rFont val="Noto Sans CJK SC"/>
        <family val="2"/>
      </rPr>
      <t>業務 単価（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件）</t>
    </r>
  </si>
  <si>
    <r>
      <rPr>
        <sz val="11"/>
        <rFont val="Arial"/>
        <family val="2"/>
      </rPr>
      <t xml:space="preserve">JONE200 </t>
    </r>
    <r>
      <rPr>
        <sz val="11"/>
        <rFont val="Noto Sans CJK SC"/>
        <family val="2"/>
      </rPr>
      <t>単価</t>
    </r>
  </si>
  <si>
    <r>
      <rPr>
        <sz val="11"/>
        <rFont val="Arial"/>
        <family val="2"/>
      </rPr>
      <t xml:space="preserve">JONE100 </t>
    </r>
    <r>
      <rPr>
        <sz val="11"/>
        <rFont val="Noto Sans CJK SC"/>
        <family val="2"/>
      </rPr>
      <t>単価（未定の場合は</t>
    </r>
    <r>
      <rPr>
        <sz val="11"/>
        <rFont val="Arial"/>
        <family val="2"/>
      </rPr>
      <t>0</t>
    </r>
    <r>
      <rPr>
        <sz val="11"/>
        <rFont val="Noto Sans CJK SC"/>
        <family val="2"/>
      </rPr>
      <t>）</t>
    </r>
  </si>
  <si>
    <r>
      <rPr>
        <sz val="11"/>
        <rFont val="Arial"/>
        <family val="2"/>
      </rPr>
      <t xml:space="preserve">YTS </t>
    </r>
    <r>
      <rPr>
        <sz val="11"/>
        <rFont val="Noto Sans CJK SC"/>
        <family val="2"/>
      </rPr>
      <t>単価（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件）</t>
    </r>
  </si>
  <si>
    <t>年度開始日</t>
  </si>
  <si>
    <r>
      <rPr>
        <sz val="11"/>
        <rFont val="Noto Sans CJK SC"/>
        <family val="2"/>
      </rPr>
      <t>チーム週予算（個人</t>
    </r>
    <r>
      <rPr>
        <sz val="11"/>
        <rFont val="Arial"/>
        <family val="2"/>
      </rPr>
      <t>×2</t>
    </r>
    <r>
      <rPr>
        <sz val="11"/>
        <rFont val="Noto Sans CJK SC"/>
        <family val="2"/>
      </rPr>
      <t>）</t>
    </r>
  </si>
  <si>
    <r>
      <rPr>
        <sz val="11"/>
        <rFont val="Noto Sans CJK SC"/>
        <family val="2"/>
      </rPr>
      <t>チーム月予算（個人</t>
    </r>
    <r>
      <rPr>
        <sz val="11"/>
        <rFont val="Arial"/>
        <family val="2"/>
      </rPr>
      <t>×2</t>
    </r>
    <r>
      <rPr>
        <sz val="11"/>
        <rFont val="Noto Sans CJK SC"/>
        <family val="2"/>
      </rPr>
      <t>）</t>
    </r>
  </si>
  <si>
    <r>
      <rPr>
        <sz val="11"/>
        <rFont val="Noto Sans CJK SC"/>
        <family val="2"/>
      </rPr>
      <t>半期予算（月予算</t>
    </r>
    <r>
      <rPr>
        <sz val="11"/>
        <rFont val="Arial"/>
        <family val="2"/>
      </rPr>
      <t>×6</t>
    </r>
    <r>
      <rPr>
        <sz val="11"/>
        <rFont val="Noto Sans CJK SC"/>
        <family val="2"/>
      </rPr>
      <t>・参考）</t>
    </r>
  </si>
  <si>
    <r>
      <rPr>
        <sz val="11"/>
        <rFont val="Noto Sans CJK SC"/>
        <family val="2"/>
      </rPr>
      <t>年間予算（月予算</t>
    </r>
    <r>
      <rPr>
        <sz val="11"/>
        <rFont val="Arial"/>
        <family val="2"/>
      </rPr>
      <t>×12</t>
    </r>
    <r>
      <rPr>
        <sz val="11"/>
        <rFont val="Noto Sans CJK SC"/>
        <family val="2"/>
      </rPr>
      <t>・参考）</t>
    </r>
  </si>
  <si>
    <t>現在の週番号</t>
  </si>
  <si>
    <t>現在の月番号</t>
  </si>
  <si>
    <t>現在の半期区分</t>
  </si>
  <si>
    <t>■ スタッフ別進捗（今週・今月）</t>
  </si>
  <si>
    <t>対象</t>
  </si>
  <si>
    <t>予算</t>
  </si>
  <si>
    <t>実績</t>
  </si>
  <si>
    <t>達成率</t>
  </si>
  <si>
    <t>残り必要額</t>
  </si>
  <si>
    <t>小原（今週）</t>
  </si>
  <si>
    <t>前園（今週）</t>
  </si>
  <si>
    <t>小原（今月）</t>
  </si>
  <si>
    <t>前園（今月）</t>
  </si>
  <si>
    <r>
      <rPr>
        <b/>
        <sz val="11"/>
        <rFont val="Noto Sans CJK SC"/>
        <family val="2"/>
      </rPr>
      <t>■ 優先度ダッシュボード（</t>
    </r>
    <r>
      <rPr>
        <b/>
        <sz val="11"/>
        <rFont val="Arial"/>
        <family val="2"/>
      </rPr>
      <t>1</t>
    </r>
    <r>
      <rPr>
        <b/>
        <sz val="11"/>
        <rFont val="Noto Sans CJK SC"/>
        <family val="2"/>
      </rPr>
      <t>日あたり必要額が大きいほど優先）</t>
    </r>
  </si>
  <si>
    <t>期限</t>
  </si>
  <si>
    <t>残り日数</t>
  </si>
  <si>
    <r>
      <rPr>
        <b/>
        <sz val="10"/>
        <color rgb="FFFFFFFF"/>
        <rFont val="Arial"/>
        <family val="2"/>
      </rPr>
      <t>1</t>
    </r>
    <r>
      <rPr>
        <b/>
        <sz val="10"/>
        <color rgb="FFFFFFFF"/>
        <rFont val="Noto Sans CJK SC"/>
        <family val="2"/>
      </rPr>
      <t>日あたり必要額</t>
    </r>
  </si>
  <si>
    <t>優先度</t>
  </si>
  <si>
    <t>チーム（今週）</t>
  </si>
  <si>
    <t>チーム（今月）</t>
  </si>
  <si>
    <t>チーム（今半期）</t>
  </si>
  <si>
    <t>チーム（今年）</t>
  </si>
  <si>
    <r>
      <rPr>
        <i/>
        <sz val="9"/>
        <color rgb="FF808080"/>
        <rFont val="Noto Sans CJK SC"/>
        <family val="2"/>
      </rPr>
      <t>※「優先度」の</t>
    </r>
    <r>
      <rPr>
        <i/>
        <sz val="9"/>
        <color rgb="FF808080"/>
        <rFont val="Arial"/>
        <family val="2"/>
      </rPr>
      <t>1</t>
    </r>
    <r>
      <rPr>
        <i/>
        <sz val="9"/>
        <color rgb="FF808080"/>
        <rFont val="Noto Sans CJK SC"/>
        <family val="2"/>
      </rPr>
      <t>位は、残り必要額を残り日数で割った『</t>
    </r>
    <r>
      <rPr>
        <i/>
        <sz val="9"/>
        <color rgb="FF808080"/>
        <rFont val="Arial"/>
        <family val="2"/>
      </rPr>
      <t>1</t>
    </r>
    <r>
      <rPr>
        <i/>
        <sz val="9"/>
        <color rgb="FF808080"/>
        <rFont val="Noto Sans CJK SC"/>
        <family val="2"/>
      </rPr>
      <t>日あたり必要額』が最も大きい項目です。そこから手をつけるのが最も効率的です。</t>
    </r>
  </si>
  <si>
    <r>
      <rPr>
        <i/>
        <sz val="9"/>
        <color rgb="FF808080"/>
        <rFont val="Noto Sans CJK SC"/>
        <family val="2"/>
      </rPr>
      <t>※ 個人の月予算は</t>
    </r>
    <r>
      <rPr>
        <i/>
        <sz val="9"/>
        <color rgb="FF808080"/>
        <rFont val="Arial"/>
        <family val="2"/>
      </rPr>
      <t>1</t>
    </r>
    <r>
      <rPr>
        <i/>
        <sz val="9"/>
        <color rgb="FF808080"/>
        <rFont val="Noto Sans CJK SC"/>
        <family val="2"/>
      </rPr>
      <t>人</t>
    </r>
    <r>
      <rPr>
        <i/>
        <sz val="9"/>
        <color rgb="FF808080"/>
        <rFont val="Arial"/>
        <family val="2"/>
      </rPr>
      <t>100</t>
    </r>
    <r>
      <rPr>
        <i/>
        <sz val="9"/>
        <color rgb="FF808080"/>
        <rFont val="Noto Sans CJK SC"/>
        <family val="2"/>
      </rPr>
      <t>万円、チームは</t>
    </r>
    <r>
      <rPr>
        <i/>
        <sz val="9"/>
        <color rgb="FF808080"/>
        <rFont val="Arial"/>
        <family val="2"/>
      </rPr>
      <t>200</t>
    </r>
    <r>
      <rPr>
        <i/>
        <sz val="9"/>
        <color rgb="FF808080"/>
        <rFont val="Noto Sans CJK SC"/>
        <family val="2"/>
      </rPr>
      <t>万円（個人</t>
    </r>
    <r>
      <rPr>
        <i/>
        <sz val="9"/>
        <color rgb="FF808080"/>
        <rFont val="Arial"/>
        <family val="2"/>
      </rPr>
      <t>×2</t>
    </r>
    <r>
      <rPr>
        <i/>
        <sz val="9"/>
        <color rgb="FF808080"/>
        <rFont val="Noto Sans CJK SC"/>
        <family val="2"/>
      </rPr>
      <t>）です。半期・年間はチーム月予算からの参考換算値です。</t>
    </r>
  </si>
  <si>
    <t>※ 週は月曜始まり。月をまたぐ週も前後月の実績を含めて集計します。</t>
  </si>
  <si>
    <t>■ 今月 カテゴリー別内訳（実績のみ）</t>
  </si>
  <si>
    <t>カテゴリー</t>
  </si>
  <si>
    <t>小原</t>
  </si>
  <si>
    <t>前園</t>
  </si>
  <si>
    <t>合計</t>
  </si>
  <si>
    <t>松山本店</t>
  </si>
  <si>
    <t>持込</t>
  </si>
  <si>
    <t>RYTS</t>
  </si>
  <si>
    <t>大洲店</t>
  </si>
  <si>
    <t>―</t>
  </si>
  <si>
    <t>西予店</t>
  </si>
  <si>
    <t>宇和島店</t>
  </si>
  <si>
    <t>新居浜店</t>
  </si>
  <si>
    <t>サテライト</t>
  </si>
  <si>
    <r>
      <rPr>
        <sz val="11"/>
        <rFont val="Arial"/>
        <family val="2"/>
      </rPr>
      <t>JET</t>
    </r>
    <r>
      <rPr>
        <sz val="11"/>
        <rFont val="Noto Sans CJK SC"/>
        <family val="2"/>
      </rPr>
      <t>業務</t>
    </r>
  </si>
  <si>
    <t>JONE</t>
  </si>
  <si>
    <t>YTS</t>
  </si>
  <si>
    <r>
      <rPr>
        <i/>
        <sz val="9"/>
        <color rgb="FF808080"/>
        <rFont val="Arial"/>
        <family val="2"/>
      </rPr>
      <t>※ JET</t>
    </r>
    <r>
      <rPr>
        <i/>
        <sz val="9"/>
        <color rgb="FF808080"/>
        <rFont val="Noto Sans CJK SC"/>
        <family val="2"/>
      </rPr>
      <t>業務・</t>
    </r>
    <r>
      <rPr>
        <i/>
        <sz val="9"/>
        <color rgb="FF808080"/>
        <rFont val="Arial"/>
        <family val="2"/>
      </rPr>
      <t>JONE</t>
    </r>
    <r>
      <rPr>
        <i/>
        <sz val="9"/>
        <color rgb="FF808080"/>
        <rFont val="Noto Sans CJK SC"/>
        <family val="2"/>
      </rPr>
      <t>・</t>
    </r>
    <r>
      <rPr>
        <i/>
        <sz val="9"/>
        <color rgb="FF808080"/>
        <rFont val="Arial"/>
        <family val="2"/>
      </rPr>
      <t>YTS</t>
    </r>
    <r>
      <rPr>
        <i/>
        <sz val="9"/>
        <color rgb="FF808080"/>
        <rFont val="Noto Sans CJK SC"/>
        <family val="2"/>
      </rPr>
      <t>は件数</t>
    </r>
    <r>
      <rPr>
        <i/>
        <sz val="9"/>
        <color rgb="FF808080"/>
        <rFont val="Arial"/>
        <family val="2"/>
      </rPr>
      <t>/</t>
    </r>
    <r>
      <rPr>
        <i/>
        <sz val="9"/>
        <color rgb="FF808080"/>
        <rFont val="Noto Sans CJK SC"/>
        <family val="2"/>
      </rPr>
      <t>コードから単価換算した金額です。</t>
    </r>
    <r>
      <rPr>
        <i/>
        <sz val="9"/>
        <color rgb="FF808080"/>
        <rFont val="Arial"/>
        <family val="2"/>
      </rPr>
      <t>JONE</t>
    </r>
    <r>
      <rPr>
        <i/>
        <sz val="9"/>
        <color rgb="FF808080"/>
        <rFont val="Noto Sans CJK SC"/>
        <family val="2"/>
      </rPr>
      <t>は</t>
    </r>
    <r>
      <rPr>
        <i/>
        <sz val="9"/>
        <color rgb="FF808080"/>
        <rFont val="Arial"/>
        <family val="2"/>
      </rPr>
      <t>100</t>
    </r>
    <r>
      <rPr>
        <i/>
        <sz val="9"/>
        <color rgb="FF808080"/>
        <rFont val="Noto Sans CJK SC"/>
        <family val="2"/>
      </rPr>
      <t>円単価が未定の場合</t>
    </r>
    <r>
      <rPr>
        <i/>
        <sz val="9"/>
        <color rgb="FF808080"/>
        <rFont val="Arial"/>
        <family val="2"/>
      </rPr>
      <t>0</t>
    </r>
    <r>
      <rPr>
        <i/>
        <sz val="9"/>
        <color rgb="FF808080"/>
        <rFont val="Noto Sans CJK SC"/>
        <family val="2"/>
      </rPr>
      <t>円換算です。</t>
    </r>
  </si>
  <si>
    <r>
      <rPr>
        <b/>
        <sz val="16"/>
        <color rgb="FFFFFFFF"/>
        <rFont val="Noto Sans CJK SC"/>
        <family val="2"/>
      </rPr>
      <t>受注ログ（</t>
    </r>
    <r>
      <rPr>
        <b/>
        <sz val="16"/>
        <color rgb="FFFFFFFF"/>
        <rFont val="Arial"/>
        <family val="2"/>
      </rPr>
      <t>1</t>
    </r>
    <r>
      <rPr>
        <b/>
        <sz val="16"/>
        <color rgb="FFFFFFFF"/>
        <rFont val="Noto Sans CJK SC"/>
        <family val="2"/>
      </rPr>
      <t>行＝</t>
    </r>
    <r>
      <rPr>
        <b/>
        <sz val="16"/>
        <color rgb="FFFFFFFF"/>
        <rFont val="Arial"/>
        <family val="2"/>
      </rPr>
      <t>1</t>
    </r>
    <r>
      <rPr>
        <b/>
        <sz val="16"/>
        <color rgb="FFFFFFFF"/>
        <rFont val="Noto Sans CJK SC"/>
        <family val="2"/>
      </rPr>
      <t>受注。</t>
    </r>
    <r>
      <rPr>
        <b/>
        <sz val="16"/>
        <color rgb="FFFFFFFF"/>
        <rFont val="Arial"/>
        <family val="2"/>
      </rPr>
      <t>A</t>
    </r>
    <r>
      <rPr>
        <b/>
        <sz val="16"/>
        <color rgb="FFFFFFFF"/>
        <rFont val="Noto Sans CJK SC"/>
        <family val="2"/>
      </rPr>
      <t>に日にちだけ入力→日付は自動。</t>
    </r>
    <r>
      <rPr>
        <b/>
        <sz val="16"/>
        <color rgb="FFFFFFFF"/>
        <rFont val="Arial"/>
        <family val="2"/>
      </rPr>
      <t>C</t>
    </r>
    <r>
      <rPr>
        <b/>
        <sz val="16"/>
        <color rgb="FFFFFFFF"/>
        <rFont val="Noto Sans CJK SC"/>
        <family val="2"/>
      </rPr>
      <t>〜</t>
    </r>
    <r>
      <rPr>
        <b/>
        <sz val="16"/>
        <color rgb="FFFFFFFF"/>
        <rFont val="Arial"/>
        <family val="2"/>
      </rPr>
      <t>H</t>
    </r>
    <r>
      <rPr>
        <b/>
        <sz val="16"/>
        <color rgb="FFFFFFFF"/>
        <rFont val="Noto Sans CJK SC"/>
        <family val="2"/>
      </rPr>
      <t>で日別・本日の状況がすぐ分かります）</t>
    </r>
  </si>
  <si>
    <t>小原週残</t>
  </si>
  <si>
    <t>前園週残</t>
  </si>
  <si>
    <t>チーム週実績</t>
  </si>
  <si>
    <t>チーム週残</t>
  </si>
  <si>
    <t>小原本日</t>
  </si>
  <si>
    <t>前園本日</t>
  </si>
  <si>
    <t>チーム本日</t>
  </si>
  <si>
    <t>日</t>
  </si>
  <si>
    <t>日付</t>
  </si>
  <si>
    <t>小原計</t>
  </si>
  <si>
    <t>前園計</t>
  </si>
  <si>
    <r>
      <rPr>
        <b/>
        <sz val="10"/>
        <color rgb="FFFFFFFF"/>
        <rFont val="Arial"/>
        <family val="2"/>
      </rPr>
      <t>JET</t>
    </r>
    <r>
      <rPr>
        <b/>
        <sz val="10"/>
        <color rgb="FFFFFFFF"/>
        <rFont val="Noto Sans CJK SC"/>
        <family val="2"/>
      </rPr>
      <t xml:space="preserve">業務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件数</t>
    </r>
    <r>
      <rPr>
        <b/>
        <sz val="10"/>
        <color rgb="FFFFFFFF"/>
        <rFont val="Arial"/>
        <family val="2"/>
      </rPr>
      <t>)</t>
    </r>
  </si>
  <si>
    <t>JONE
(100/200)</t>
  </si>
  <si>
    <r>
      <rPr>
        <b/>
        <sz val="10"/>
        <color rgb="FFFFFFFF"/>
        <rFont val="Arial"/>
        <family val="2"/>
      </rPr>
      <t>YTS
(</t>
    </r>
    <r>
      <rPr>
        <b/>
        <sz val="10"/>
        <color rgb="FFFFFFFF"/>
        <rFont val="Noto Sans CJK SC"/>
        <family val="2"/>
      </rPr>
      <t>件数</t>
    </r>
    <r>
      <rPr>
        <b/>
        <sz val="10"/>
        <color rgb="FFFFFFFF"/>
        <rFont val="Arial"/>
        <family val="2"/>
      </rPr>
      <t>)</t>
    </r>
  </si>
  <si>
    <t>週次集計（月曜始まり・月またぎ含む）</t>
  </si>
  <si>
    <t>週番号</t>
  </si>
  <si>
    <t>開始日</t>
  </si>
  <si>
    <t>終了日</t>
  </si>
  <si>
    <t>小原実績</t>
  </si>
  <si>
    <t>前園実績</t>
  </si>
  <si>
    <t>チーム計</t>
  </si>
  <si>
    <t>チーム週予算</t>
  </si>
  <si>
    <t>差異</t>
  </si>
  <si>
    <t>小原達成率</t>
  </si>
  <si>
    <t>前園達成率</t>
  </si>
  <si>
    <r>
      <rPr>
        <i/>
        <sz val="9"/>
        <color rgb="FF808080"/>
        <rFont val="Noto Sans CJK SC"/>
        <family val="2"/>
      </rPr>
      <t>※ チーム週予算は個人週予算</t>
    </r>
    <r>
      <rPr>
        <i/>
        <sz val="9"/>
        <color rgb="FF808080"/>
        <rFont val="Arial"/>
        <family val="2"/>
      </rPr>
      <t>×2</t>
    </r>
    <r>
      <rPr>
        <i/>
        <sz val="9"/>
        <color rgb="FF808080"/>
        <rFont val="Noto Sans CJK SC"/>
        <family val="2"/>
      </rPr>
      <t>です（サマリーの</t>
    </r>
    <r>
      <rPr>
        <i/>
        <sz val="9"/>
        <color rgb="FF808080"/>
        <rFont val="Arial"/>
        <family val="2"/>
      </rPr>
      <t>B15</t>
    </r>
    <r>
      <rPr>
        <i/>
        <sz val="9"/>
        <color rgb="FF808080"/>
        <rFont val="Noto Sans CJK SC"/>
        <family val="2"/>
      </rPr>
      <t>、</t>
    </r>
    <r>
      <rPr>
        <i/>
        <sz val="9"/>
        <color rgb="FF808080"/>
        <rFont val="Arial"/>
        <family val="2"/>
      </rPr>
      <t>B7</t>
    </r>
    <r>
      <rPr>
        <i/>
        <sz val="9"/>
        <color rgb="FF808080"/>
        <rFont val="Noto Sans CJK SC"/>
        <family val="2"/>
      </rPr>
      <t>を書き換えれば連動します）。</t>
    </r>
  </si>
  <si>
    <r>
      <rPr>
        <b/>
        <sz val="16"/>
        <color rgb="FFFFFFFF"/>
        <rFont val="Noto Sans CJK SC"/>
        <family val="2"/>
      </rPr>
      <t>月次集計（個人月予算</t>
    </r>
    <r>
      <rPr>
        <b/>
        <sz val="16"/>
        <color rgb="FFFFFFFF"/>
        <rFont val="Arial"/>
        <family val="2"/>
      </rPr>
      <t>100</t>
    </r>
    <r>
      <rPr>
        <b/>
        <sz val="16"/>
        <color rgb="FFFFFFFF"/>
        <rFont val="Noto Sans CJK SC"/>
        <family val="2"/>
      </rPr>
      <t>万円</t>
    </r>
    <r>
      <rPr>
        <b/>
        <sz val="16"/>
        <color rgb="FFFFFFFF"/>
        <rFont val="Arial"/>
        <family val="2"/>
      </rPr>
      <t>×2</t>
    </r>
    <r>
      <rPr>
        <b/>
        <sz val="16"/>
        <color rgb="FFFFFFFF"/>
        <rFont val="Noto Sans CJK SC"/>
        <family val="2"/>
      </rPr>
      <t>＝チーム</t>
    </r>
    <r>
      <rPr>
        <b/>
        <sz val="16"/>
        <color rgb="FFFFFFFF"/>
        <rFont val="Arial"/>
        <family val="2"/>
      </rPr>
      <t>200</t>
    </r>
    <r>
      <rPr>
        <b/>
        <sz val="16"/>
        <color rgb="FFFFFFFF"/>
        <rFont val="Noto Sans CJK SC"/>
        <family val="2"/>
      </rPr>
      <t>万円）</t>
    </r>
  </si>
  <si>
    <t>月番号</t>
  </si>
  <si>
    <t>チーム月予算</t>
  </si>
  <si>
    <t>半期・年間集計（予算はチーム月予算からの参考換算）</t>
  </si>
  <si>
    <t>区分</t>
  </si>
  <si>
    <t>参考予算</t>
  </si>
  <si>
    <t>上半期</t>
  </si>
  <si>
    <t>下半期</t>
  </si>
  <si>
    <t>年間</t>
  </si>
  <si>
    <t>店舗別 売上状況</t>
  </si>
  <si>
    <t>■ 店舗別 売上（今週・今月）</t>
  </si>
  <si>
    <t>店舗</t>
  </si>
  <si>
    <t>今週</t>
  </si>
  <si>
    <t>今月</t>
  </si>
  <si>
    <t>※ 個人の実績・予算は含めていません（店舗別の売上のみ表示）。</t>
  </si>
  <si>
    <r>
      <rPr>
        <i/>
        <sz val="9"/>
        <color rgb="FF808080"/>
        <rFont val="Noto Sans CJK SC"/>
        <family val="2"/>
      </rPr>
      <t>※「印刷用」シートを開いた状態で</t>
    </r>
    <r>
      <rPr>
        <i/>
        <sz val="9"/>
        <color rgb="FF808080"/>
        <rFont val="Arial"/>
        <family val="2"/>
      </rPr>
      <t>Ctrl+P</t>
    </r>
    <r>
      <rPr>
        <i/>
        <sz val="9"/>
        <color rgb="FF808080"/>
        <rFont val="Noto Sans CJK SC"/>
        <family val="2"/>
      </rPr>
      <t>（印刷）を押すと、この内容だけが</t>
    </r>
    <r>
      <rPr>
        <i/>
        <sz val="9"/>
        <color rgb="FF808080"/>
        <rFont val="Arial"/>
        <family val="2"/>
      </rPr>
      <t>A4</t>
    </r>
    <r>
      <rPr>
        <i/>
        <sz val="9"/>
        <color rgb="FF808080"/>
        <rFont val="Noto Sans CJK SC"/>
        <family val="2"/>
      </rPr>
      <t>一枚で印刷されます。</t>
    </r>
  </si>
  <si>
    <t>VB5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</si>
</sst>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&quot;年&quot;"/>
    <numFmt numFmtId="177" formatCode="0&quot;月&quot;"/>
    <numFmt numFmtId="178" formatCode="#,##0&quot;円&quot;"/>
    <numFmt numFmtId="179" formatCode="m/d\(aaa\)"/>
    <numFmt numFmtId="180" formatCode="0.0%"/>
    <numFmt numFmtId="181" formatCode="0&quot;日&quot;"/>
    <numFmt numFmtId="182" formatCode="\+#,##0&quot;円&quot;;\-#,##0&quot;円&quot;;0&quot;円&quot;"/>
  </numFmts>
  <fonts count="20">
    <font>
      <sz val="11"/>
      <color theme="1"/>
      <name val="Calibri"/>
      <family val="2"/>
      <charset val="1"/>
    </font>
    <font>
      <b/>
      <sz val="16"/>
      <color rgb="FFFFFFFF"/>
      <name val="Noto Sans CJK SC"/>
      <family val="2"/>
    </font>
    <font>
      <b/>
      <sz val="11"/>
      <name val="Noto Sans CJK SC"/>
      <family val="2"/>
    </font>
    <font>
      <sz val="11"/>
      <name val="Noto Sans CJK SC"/>
      <family val="2"/>
    </font>
    <font>
      <b/>
      <sz val="11"/>
      <color rgb="FF0000FF"/>
      <name val="Arial"/>
      <family val="2"/>
    </font>
    <font>
      <sz val="11"/>
      <name val="Arial"/>
      <family val="2"/>
    </font>
    <font>
      <b/>
      <sz val="10"/>
      <color rgb="FFFFFFFF"/>
      <name val="Noto Sans CJK SC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i/>
      <sz val="9"/>
      <color rgb="FF808080"/>
      <name val="Noto Sans CJK SC"/>
      <family val="2"/>
    </font>
    <font>
      <i/>
      <sz val="9"/>
      <color rgb="FF808080"/>
      <name val="Arial"/>
      <family val="2"/>
    </font>
    <font>
      <b/>
      <sz val="16"/>
      <color rgb="FFFFFFFF"/>
      <name val="Arial"/>
      <family val="2"/>
    </font>
    <font>
      <b/>
      <sz val="8"/>
      <color rgb="FFFFFFFF"/>
      <name val="Arial"/>
      <family val="2"/>
    </font>
    <font>
      <b/>
      <sz val="8"/>
      <color rgb="FFFFFFFF"/>
      <name val="Noto Sans CJK SC"/>
      <family val="2"/>
    </font>
    <font>
      <b/>
      <sz val="18"/>
      <color rgb="FFFFFFFF"/>
      <name val="Noto Sans CJK SC"/>
      <family val="2"/>
    </font>
    <font>
      <i/>
      <sz val="11"/>
      <color rgb="FF808080"/>
      <name val="Noto Sans CJK SC"/>
      <family val="2"/>
    </font>
    <font>
      <b/>
      <sz val="14"/>
      <color rgb="FF1F4E78"/>
      <name val="Noto Sans CJK SC"/>
      <family val="2"/>
    </font>
    <font>
      <b/>
      <sz val="13"/>
      <name val="Noto Sans CJK SC"/>
      <family val="2"/>
    </font>
    <font>
      <sz val="13"/>
      <name val="Arial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FFF2CC"/>
        <bgColor rgb="FFFCF3E3"/>
      </patternFill>
    </fill>
    <fill>
      <patternFill patternType="solid">
        <fgColor rgb="FFEAF1FB"/>
        <bgColor rgb="FFFCF3E3"/>
      </patternFill>
    </fill>
    <fill>
      <patternFill patternType="solid">
        <fgColor rgb="FFFCF3E3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9" fillId="0" borderId="0" xfId="0" applyFont="1"/>
    <xf numFmtId="0" fontId="2" fillId="0" borderId="0" xfId="0" applyFont="1"/>
    <xf numFmtId="0" fontId="3" fillId="0" borderId="0" xfId="0" applyFont="1"/>
    <xf numFmtId="176" fontId="4" fillId="3" borderId="1" xfId="0" applyNumberFormat="1" applyFont="1" applyFill="1" applyBorder="1" applyAlignment="1">
      <alignment horizontal="center"/>
    </xf>
    <xf numFmtId="177" fontId="4" fillId="3" borderId="1" xfId="0" applyNumberFormat="1" applyFont="1" applyFill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78" fontId="4" fillId="3" borderId="1" xfId="0" applyNumberFormat="1" applyFont="1" applyFill="1" applyBorder="1" applyAlignment="1">
      <alignment horizontal="center"/>
    </xf>
    <xf numFmtId="0" fontId="5" fillId="0" borderId="0" xfId="0" applyFont="1"/>
    <xf numFmtId="179" fontId="5" fillId="0" borderId="1" xfId="0" applyNumberFormat="1" applyFont="1" applyBorder="1"/>
    <xf numFmtId="178" fontId="5" fillId="0" borderId="1" xfId="0" applyNumberFormat="1" applyFont="1" applyBorder="1"/>
    <xf numFmtId="0" fontId="5" fillId="0" borderId="1" xfId="0" applyFont="1" applyBorder="1"/>
    <xf numFmtId="0" fontId="6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78" fontId="5" fillId="0" borderId="1" xfId="0" applyNumberFormat="1" applyFont="1" applyBorder="1" applyAlignment="1">
      <alignment horizontal="center"/>
    </xf>
    <xf numFmtId="180" fontId="5" fillId="0" borderId="1" xfId="0" applyNumberFormat="1" applyFont="1" applyBorder="1" applyAlignment="1">
      <alignment horizontal="center"/>
    </xf>
    <xf numFmtId="0" fontId="8" fillId="4" borderId="1" xfId="0" applyFont="1" applyFill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/>
    </xf>
    <xf numFmtId="181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12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178" fontId="7" fillId="0" borderId="1" xfId="0" applyNumberFormat="1" applyFont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/>
    </xf>
    <xf numFmtId="179" fontId="4" fillId="3" borderId="1" xfId="0" applyNumberFormat="1" applyFont="1" applyFill="1" applyBorder="1" applyAlignment="1">
      <alignment horizontal="center"/>
    </xf>
    <xf numFmtId="178" fontId="7" fillId="0" borderId="1" xfId="0" applyNumberFormat="1" applyFont="1" applyBorder="1" applyAlignment="1">
      <alignment horizontal="center"/>
    </xf>
    <xf numFmtId="178" fontId="4" fillId="6" borderId="1" xfId="0" applyNumberFormat="1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78" fontId="4" fillId="7" borderId="1" xfId="0" applyNumberFormat="1" applyFont="1" applyFill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78" fontId="4" fillId="8" borderId="1" xfId="0" applyNumberFormat="1" applyFont="1" applyFill="1" applyBorder="1" applyAlignment="1">
      <alignment horizontal="center"/>
    </xf>
    <xf numFmtId="1" fontId="4" fillId="8" borderId="1" xfId="0" applyNumberFormat="1" applyFont="1" applyFill="1" applyBorder="1" applyAlignment="1">
      <alignment horizontal="center"/>
    </xf>
    <xf numFmtId="182" fontId="5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7" fillId="0" borderId="1" xfId="0" applyFont="1" applyBorder="1"/>
    <xf numFmtId="178" fontId="18" fillId="0" borderId="1" xfId="0" applyNumberFormat="1" applyFont="1" applyBorder="1" applyAlignment="1">
      <alignment horizontal="center"/>
    </xf>
    <xf numFmtId="0" fontId="1" fillId="2" borderId="0" xfId="0" applyFont="1" applyFill="1" applyAlignment="1">
      <alignment horizontal="left" vertical="center" indent="1"/>
    </xf>
    <xf numFmtId="0" fontId="9" fillId="0" borderId="0" xfId="0" applyFont="1"/>
    <xf numFmtId="0" fontId="10" fillId="0" borderId="0" xfId="0" applyFont="1"/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left" vertical="center" indent="1"/>
    </xf>
    <xf numFmtId="0" fontId="15" fillId="0" borderId="0" xfId="0" applyFont="1"/>
    <xf numFmtId="0" fontId="16" fillId="0" borderId="0" xfId="0" applyFont="1"/>
  </cellXfs>
  <cellStyles count="1">
    <cellStyle name="標準" xfId="0" builtinId="0"/>
  </cellStyles>
  <dxfs count="14">
    <dxf>
      <fill>
        <patternFill>
          <bgColor rgb="FFC6E0B4"/>
        </patternFill>
      </fill>
    </dxf>
    <dxf>
      <font>
        <b/>
        <sz val="11"/>
        <color rgb="FF0000FF"/>
        <name val="Arial"/>
        <charset val="1"/>
      </font>
    </dxf>
    <dxf>
      <fill>
        <patternFill>
          <bgColor rgb="FFFFD9A6"/>
        </patternFill>
      </fill>
    </dxf>
    <dxf>
      <fill>
        <patternFill>
          <bgColor rgb="FFFFD9A6"/>
        </patternFill>
      </fill>
    </dxf>
    <dxf>
      <fill>
        <patternFill>
          <bgColor rgb="FFC6E0B4"/>
        </patternFill>
      </fill>
    </dxf>
    <dxf>
      <fill>
        <patternFill>
          <bgColor rgb="FFFCE4E4"/>
        </patternFill>
      </fill>
    </dxf>
    <dxf>
      <fill>
        <patternFill>
          <bgColor rgb="FFC6E0B4"/>
        </patternFill>
      </fill>
    </dxf>
    <dxf>
      <fill>
        <patternFill>
          <bgColor rgb="FFFCE4E4"/>
        </patternFill>
      </fill>
    </dxf>
    <dxf>
      <fill>
        <patternFill>
          <bgColor rgb="FFC6E0B4"/>
        </patternFill>
      </fill>
    </dxf>
    <dxf>
      <font>
        <b/>
        <sz val="11"/>
        <color rgb="FF0000FF"/>
        <name val="Arial"/>
        <charset val="1"/>
      </font>
    </dxf>
    <dxf>
      <fill>
        <patternFill>
          <bgColor rgb="FFFFD9A6"/>
        </patternFill>
      </fill>
    </dxf>
    <dxf>
      <fill>
        <patternFill>
          <bgColor rgb="FFFFD9A6"/>
        </patternFill>
      </fill>
    </dxf>
    <dxf>
      <fill>
        <patternFill>
          <bgColor rgb="FFFFD9A6"/>
        </patternFill>
      </fill>
    </dxf>
    <dxf>
      <fill>
        <patternFill>
          <bgColor rgb="FFFCE4E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EAF1FB"/>
      <rgbColor rgb="FF660066"/>
      <rgbColor rgb="FFFF8080"/>
      <rgbColor rgb="FF0066CC"/>
      <rgbColor rgb="FFFCE4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CF3E3"/>
      <rgbColor rgb="FF99CCFF"/>
      <rgbColor rgb="FFFF99CC"/>
      <rgbColor rgb="FFCC99FF"/>
      <rgbColor rgb="FFFFD9A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AI\uriage-kanri\&#22770;&#19978;&#31649;&#29702;_&#21463;&#27880;&#12525;&#12464;&#29256;%20(8).xlsx" TargetMode="External"/><Relationship Id="rId1" Type="http://schemas.openxmlformats.org/officeDocument/2006/relationships/externalLinkPath" Target="&#22770;&#19978;&#31649;&#29702;_&#21463;&#27880;&#12525;&#12464;&#29256;%20(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サマリー"/>
      <sheetName val="受注ログ"/>
      <sheetName val="週次集計"/>
      <sheetName val="月次集計"/>
      <sheetName val="半期年間集計"/>
      <sheetName val="印刷用"/>
    </sheetNames>
    <sheetDataSet>
      <sheetData sheetId="0">
        <row r="9">
          <cell r="B9">
            <v>25000</v>
          </cell>
        </row>
        <row r="10">
          <cell r="B10">
            <v>7241</v>
          </cell>
        </row>
        <row r="11">
          <cell r="B11">
            <v>4379</v>
          </cell>
        </row>
        <row r="12">
          <cell r="B12">
            <v>30000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1"/>
  <sheetViews>
    <sheetView showGridLines="0" zoomScaleNormal="100" workbookViewId="0">
      <selection activeCell="B5" sqref="B5"/>
    </sheetView>
  </sheetViews>
  <sheetFormatPr defaultColWidth="8.7109375" defaultRowHeight="15"/>
  <cols>
    <col min="1" max="1" width="24" customWidth="1"/>
    <col min="2" max="8" width="16" customWidth="1"/>
    <col min="9" max="9" width="4" customWidth="1"/>
  </cols>
  <sheetData>
    <row r="1" spans="1:8" ht="25.5" customHeight="1">
      <c r="A1" s="37" t="s">
        <v>0</v>
      </c>
      <c r="B1" s="37"/>
      <c r="C1" s="37"/>
      <c r="D1" s="37"/>
      <c r="E1" s="37"/>
      <c r="F1" s="37"/>
      <c r="G1" s="37"/>
      <c r="H1" s="37"/>
    </row>
    <row r="3" spans="1:8">
      <c r="A3" s="2" t="s">
        <v>1</v>
      </c>
    </row>
    <row r="4" spans="1:8">
      <c r="A4" s="3" t="s">
        <v>2</v>
      </c>
      <c r="B4" s="4">
        <v>2025</v>
      </c>
    </row>
    <row r="5" spans="1:8">
      <c r="A5" s="3" t="s">
        <v>3</v>
      </c>
      <c r="B5" s="5">
        <v>11</v>
      </c>
    </row>
    <row r="6" spans="1:8">
      <c r="A6" s="3" t="s">
        <v>4</v>
      </c>
      <c r="B6" s="6">
        <f ca="1">TODAY()</f>
        <v>46320</v>
      </c>
    </row>
    <row r="7" spans="1:8">
      <c r="A7" s="3" t="s">
        <v>5</v>
      </c>
      <c r="B7" s="7">
        <v>250000</v>
      </c>
    </row>
    <row r="8" spans="1:8">
      <c r="A8" s="3" t="s">
        <v>6</v>
      </c>
      <c r="B8" s="7">
        <v>1000000</v>
      </c>
    </row>
    <row r="9" spans="1:8">
      <c r="A9" s="8" t="s">
        <v>7</v>
      </c>
      <c r="B9" s="7">
        <v>25000</v>
      </c>
    </row>
    <row r="10" spans="1:8">
      <c r="A10" s="8" t="s">
        <v>8</v>
      </c>
      <c r="B10" s="7">
        <v>7241</v>
      </c>
    </row>
    <row r="11" spans="1:8">
      <c r="A11" s="8" t="s">
        <v>9</v>
      </c>
      <c r="B11" s="7">
        <v>4379</v>
      </c>
    </row>
    <row r="12" spans="1:8">
      <c r="A12" s="8" t="s">
        <v>10</v>
      </c>
      <c r="B12" s="7">
        <v>30000</v>
      </c>
    </row>
    <row r="14" spans="1:8">
      <c r="A14" s="3" t="s">
        <v>11</v>
      </c>
      <c r="B14" s="9">
        <f>DATE(B4,B5,1)</f>
        <v>45962</v>
      </c>
    </row>
    <row r="15" spans="1:8">
      <c r="A15" s="3" t="s">
        <v>12</v>
      </c>
      <c r="B15" s="10">
        <f>B7*2</f>
        <v>500000</v>
      </c>
    </row>
    <row r="16" spans="1:8">
      <c r="A16" s="3" t="s">
        <v>13</v>
      </c>
      <c r="B16" s="10">
        <f>B8*2</f>
        <v>2000000</v>
      </c>
    </row>
    <row r="17" spans="1:5">
      <c r="A17" s="3" t="s">
        <v>14</v>
      </c>
      <c r="B17" s="10">
        <f>B16*6</f>
        <v>12000000</v>
      </c>
    </row>
    <row r="18" spans="1:5">
      <c r="A18" s="3" t="s">
        <v>15</v>
      </c>
      <c r="B18" s="10">
        <f>B16*12</f>
        <v>24000000</v>
      </c>
    </row>
    <row r="20" spans="1:5">
      <c r="A20" s="3" t="s">
        <v>16</v>
      </c>
      <c r="B20" s="11">
        <f ca="1">INT((B6-(B14-WEEKDAY(B14,2)+1))/7)+1</f>
        <v>52</v>
      </c>
    </row>
    <row r="21" spans="1:5">
      <c r="A21" s="3" t="s">
        <v>17</v>
      </c>
      <c r="B21" s="11">
        <f ca="1">(YEAR(B6)-YEAR(B14))*12+MONTH(B6)-MONTH(B14)+1</f>
        <v>12</v>
      </c>
    </row>
    <row r="22" spans="1:5">
      <c r="A22" s="3" t="s">
        <v>18</v>
      </c>
      <c r="B22" s="11" t="str">
        <f ca="1">IF(B21&lt;=6,"上半期","下半期")</f>
        <v>下半期</v>
      </c>
    </row>
    <row r="24" spans="1:5">
      <c r="A24" s="2" t="s">
        <v>19</v>
      </c>
    </row>
    <row r="25" spans="1:5" ht="21.75" customHeight="1">
      <c r="A25" s="12" t="s">
        <v>20</v>
      </c>
      <c r="B25" s="12" t="s">
        <v>21</v>
      </c>
      <c r="C25" s="12" t="s">
        <v>22</v>
      </c>
      <c r="D25" s="12" t="s">
        <v>23</v>
      </c>
      <c r="E25" s="12" t="s">
        <v>24</v>
      </c>
    </row>
    <row r="26" spans="1:5">
      <c r="A26" s="13" t="s">
        <v>25</v>
      </c>
      <c r="B26" s="14">
        <f>B7</f>
        <v>250000</v>
      </c>
      <c r="C26" s="14">
        <f ca="1">INDEX(週次集計!D3:D56,$B$20)</f>
        <v>258259</v>
      </c>
      <c r="D26" s="15">
        <f ca="1">IFERROR(C26/B26,0)</f>
        <v>1.0330360000000001</v>
      </c>
      <c r="E26" s="14">
        <f ca="1">MAX(B26-C26,0)</f>
        <v>0</v>
      </c>
    </row>
    <row r="27" spans="1:5">
      <c r="A27" s="13" t="s">
        <v>26</v>
      </c>
      <c r="B27" s="14">
        <f>B7</f>
        <v>250000</v>
      </c>
      <c r="C27" s="14">
        <f ca="1">INDEX(週次集計!E3:E56,$B$20)</f>
        <v>198722</v>
      </c>
      <c r="D27" s="15">
        <f ca="1">IFERROR(C27/B27,0)</f>
        <v>0.79488800000000004</v>
      </c>
      <c r="E27" s="14">
        <f ca="1">MAX(B27-C27,0)</f>
        <v>51278</v>
      </c>
    </row>
    <row r="28" spans="1:5">
      <c r="A28" s="13" t="s">
        <v>27</v>
      </c>
      <c r="B28" s="14">
        <f>B8</f>
        <v>1000000</v>
      </c>
      <c r="C28" s="14">
        <f ca="1">INDEX(月次集計!D3:D15,$B$21)</f>
        <v>939646</v>
      </c>
      <c r="D28" s="15">
        <f ca="1">IFERROR(C28/B28,0)</f>
        <v>0.93964599999999998</v>
      </c>
      <c r="E28" s="14">
        <f ca="1">MAX(B28-C28,0)</f>
        <v>60354</v>
      </c>
    </row>
    <row r="29" spans="1:5">
      <c r="A29" s="13" t="s">
        <v>28</v>
      </c>
      <c r="B29" s="14">
        <f>B8</f>
        <v>1000000</v>
      </c>
      <c r="C29" s="14">
        <f ca="1">INDEX(月次集計!E3:E15,$B$21)</f>
        <v>581922</v>
      </c>
      <c r="D29" s="15">
        <f ca="1">IFERROR(C29/B29,0)</f>
        <v>0.58192200000000005</v>
      </c>
      <c r="E29" s="14">
        <f ca="1">MAX(B29-C29,0)</f>
        <v>418078</v>
      </c>
    </row>
    <row r="32" spans="1:5">
      <c r="A32" s="2" t="s">
        <v>29</v>
      </c>
    </row>
    <row r="33" spans="1:8" ht="27.75" customHeight="1">
      <c r="A33" s="12" t="s">
        <v>20</v>
      </c>
      <c r="B33" s="12" t="s">
        <v>21</v>
      </c>
      <c r="C33" s="12" t="s">
        <v>22</v>
      </c>
      <c r="D33" s="12" t="s">
        <v>24</v>
      </c>
      <c r="E33" s="12" t="s">
        <v>30</v>
      </c>
      <c r="F33" s="12" t="s">
        <v>31</v>
      </c>
      <c r="G33" s="16" t="s">
        <v>32</v>
      </c>
      <c r="H33" s="12" t="s">
        <v>33</v>
      </c>
    </row>
    <row r="34" spans="1:8">
      <c r="A34" s="13" t="s">
        <v>25</v>
      </c>
      <c r="B34" s="14">
        <f>B7</f>
        <v>250000</v>
      </c>
      <c r="C34" s="14">
        <f ca="1">INDEX(週次集計!D3:D56,$B$20)</f>
        <v>258259</v>
      </c>
      <c r="D34" s="14">
        <f t="shared" ref="D34:D41" ca="1" si="0">MAX(B34-C34,0)</f>
        <v>0</v>
      </c>
      <c r="E34" s="17">
        <f ca="1">INDEX(週次集計!C3:C56,$B$20)</f>
        <v>46320</v>
      </c>
      <c r="F34" s="18">
        <f t="shared" ref="F34:F41" ca="1" si="1">MAX(E34-$B$6+1,1)</f>
        <v>1</v>
      </c>
      <c r="G34" s="14">
        <f t="shared" ref="G34:G41" ca="1" si="2">IFERROR(D34/F34,0)</f>
        <v>0</v>
      </c>
      <c r="H34" s="19">
        <f t="shared" ref="H34:H41" ca="1" si="3">RANK(G34,$G$34:$G$41)</f>
        <v>7</v>
      </c>
    </row>
    <row r="35" spans="1:8">
      <c r="A35" s="13" t="s">
        <v>26</v>
      </c>
      <c r="B35" s="14">
        <f>B7</f>
        <v>250000</v>
      </c>
      <c r="C35" s="14">
        <f ca="1">INDEX(週次集計!E3:E56,$B$20)</f>
        <v>198722</v>
      </c>
      <c r="D35" s="14">
        <f t="shared" ca="1" si="0"/>
        <v>51278</v>
      </c>
      <c r="E35" s="17">
        <f ca="1">INDEX(週次集計!C3:C56,$B$20)</f>
        <v>46320</v>
      </c>
      <c r="F35" s="18">
        <f t="shared" ca="1" si="1"/>
        <v>1</v>
      </c>
      <c r="G35" s="14">
        <f t="shared" ca="1" si="2"/>
        <v>51278</v>
      </c>
      <c r="H35" s="19">
        <f t="shared" ca="1" si="3"/>
        <v>4</v>
      </c>
    </row>
    <row r="36" spans="1:8">
      <c r="A36" s="13" t="s">
        <v>34</v>
      </c>
      <c r="B36" s="14">
        <f>B15</f>
        <v>500000</v>
      </c>
      <c r="C36" s="14">
        <f ca="1">INDEX(週次集計!F3:F56,$B$20)</f>
        <v>456981</v>
      </c>
      <c r="D36" s="14">
        <f t="shared" ca="1" si="0"/>
        <v>43019</v>
      </c>
      <c r="E36" s="17">
        <f ca="1">INDEX(週次集計!C3:C56,$B$20)</f>
        <v>46320</v>
      </c>
      <c r="F36" s="18">
        <f t="shared" ca="1" si="1"/>
        <v>1</v>
      </c>
      <c r="G36" s="14">
        <f t="shared" ca="1" si="2"/>
        <v>43019</v>
      </c>
      <c r="H36" s="19">
        <f t="shared" ca="1" si="3"/>
        <v>5</v>
      </c>
    </row>
    <row r="37" spans="1:8">
      <c r="A37" s="13" t="s">
        <v>27</v>
      </c>
      <c r="B37" s="14">
        <f>B8</f>
        <v>1000000</v>
      </c>
      <c r="C37" s="14">
        <f ca="1">INDEX(月次集計!D3:D15,$B$21)</f>
        <v>939646</v>
      </c>
      <c r="D37" s="14">
        <f t="shared" ca="1" si="0"/>
        <v>60354</v>
      </c>
      <c r="E37" s="17">
        <f ca="1">INDEX(月次集計!C3:C15,$B$21)</f>
        <v>46326</v>
      </c>
      <c r="F37" s="18">
        <f t="shared" ca="1" si="1"/>
        <v>7</v>
      </c>
      <c r="G37" s="14">
        <f t="shared" ca="1" si="2"/>
        <v>8622</v>
      </c>
      <c r="H37" s="19">
        <f t="shared" ca="1" si="3"/>
        <v>6</v>
      </c>
    </row>
    <row r="38" spans="1:8">
      <c r="A38" s="13" t="s">
        <v>28</v>
      </c>
      <c r="B38" s="14">
        <f>B8</f>
        <v>1000000</v>
      </c>
      <c r="C38" s="14">
        <f ca="1">INDEX(月次集計!E3:E15,$B$21)</f>
        <v>581922</v>
      </c>
      <c r="D38" s="14">
        <f t="shared" ca="1" si="0"/>
        <v>418078</v>
      </c>
      <c r="E38" s="17">
        <f ca="1">INDEX(月次集計!C3:C15,$B$21)</f>
        <v>46326</v>
      </c>
      <c r="F38" s="18">
        <f t="shared" ca="1" si="1"/>
        <v>7</v>
      </c>
      <c r="G38" s="14">
        <f t="shared" ca="1" si="2"/>
        <v>59725.428571428572</v>
      </c>
      <c r="H38" s="19">
        <f t="shared" ca="1" si="3"/>
        <v>3</v>
      </c>
    </row>
    <row r="39" spans="1:8">
      <c r="A39" s="13" t="s">
        <v>35</v>
      </c>
      <c r="B39" s="14">
        <f>B16</f>
        <v>2000000</v>
      </c>
      <c r="C39" s="14">
        <f ca="1">INDEX(月次集計!F3:F15,$B$21)</f>
        <v>1521568</v>
      </c>
      <c r="D39" s="14">
        <f t="shared" ca="1" si="0"/>
        <v>478432</v>
      </c>
      <c r="E39" s="17">
        <f ca="1">INDEX(月次集計!C3:C15,$B$21)</f>
        <v>46326</v>
      </c>
      <c r="F39" s="18">
        <f t="shared" ca="1" si="1"/>
        <v>7</v>
      </c>
      <c r="G39" s="14">
        <f t="shared" ca="1" si="2"/>
        <v>68347.428571428565</v>
      </c>
      <c r="H39" s="19">
        <f t="shared" ca="1" si="3"/>
        <v>2</v>
      </c>
    </row>
    <row r="40" spans="1:8">
      <c r="A40" s="13" t="s">
        <v>36</v>
      </c>
      <c r="B40" s="14">
        <f>B17</f>
        <v>12000000</v>
      </c>
      <c r="C40" s="14">
        <f ca="1">INDEX(半期年間集計!F3:F5,IF($B$22="上半期",1,2))</f>
        <v>12259597</v>
      </c>
      <c r="D40" s="14">
        <f t="shared" ca="1" si="0"/>
        <v>0</v>
      </c>
      <c r="E40" s="17">
        <f ca="1">INDEX(半期年間集計!C3:C5,IF($B$22="上半期",1,2))</f>
        <v>46326</v>
      </c>
      <c r="F40" s="18">
        <f t="shared" ca="1" si="1"/>
        <v>7</v>
      </c>
      <c r="G40" s="14">
        <f t="shared" ca="1" si="2"/>
        <v>0</v>
      </c>
      <c r="H40" s="19">
        <f t="shared" ca="1" si="3"/>
        <v>7</v>
      </c>
    </row>
    <row r="41" spans="1:8">
      <c r="A41" s="13" t="s">
        <v>37</v>
      </c>
      <c r="B41" s="14">
        <f>B18</f>
        <v>24000000</v>
      </c>
      <c r="C41" s="14">
        <f>INDEX(半期年間集計!F3:F5,3)</f>
        <v>12259597</v>
      </c>
      <c r="D41" s="14">
        <f t="shared" si="0"/>
        <v>11740403</v>
      </c>
      <c r="E41" s="17">
        <f>INDEX(半期年間集計!C3:C5,3)</f>
        <v>46326</v>
      </c>
      <c r="F41" s="18">
        <f t="shared" ca="1" si="1"/>
        <v>7</v>
      </c>
      <c r="G41" s="14">
        <f t="shared" ca="1" si="2"/>
        <v>1677200.4285714286</v>
      </c>
      <c r="H41" s="19">
        <f t="shared" ca="1" si="3"/>
        <v>1</v>
      </c>
    </row>
    <row r="43" spans="1:8">
      <c r="A43" s="38" t="s">
        <v>38</v>
      </c>
      <c r="B43" s="38"/>
      <c r="C43" s="38"/>
      <c r="D43" s="38"/>
      <c r="E43" s="38"/>
      <c r="F43" s="38"/>
      <c r="G43" s="38"/>
      <c r="H43" s="38"/>
    </row>
    <row r="44" spans="1:8">
      <c r="A44" s="38" t="s">
        <v>39</v>
      </c>
      <c r="B44" s="38"/>
      <c r="C44" s="38"/>
      <c r="D44" s="38"/>
      <c r="E44" s="38"/>
      <c r="F44" s="38"/>
      <c r="G44" s="38"/>
      <c r="H44" s="38"/>
    </row>
    <row r="45" spans="1:8">
      <c r="A45" s="38" t="s">
        <v>40</v>
      </c>
      <c r="B45" s="38"/>
      <c r="C45" s="38"/>
      <c r="D45" s="38"/>
      <c r="E45" s="38"/>
      <c r="F45" s="38"/>
      <c r="G45" s="38"/>
      <c r="H45" s="38"/>
    </row>
    <row r="47" spans="1:8">
      <c r="A47" s="2" t="s">
        <v>41</v>
      </c>
    </row>
    <row r="48" spans="1:8">
      <c r="A48" s="1" t="str">
        <f ca="1">"（"&amp;TEXT(INDEX(月次集計!$B$3:$B$15,$B$21),"m月")&amp;"分）"</f>
        <v>（10月分）</v>
      </c>
    </row>
    <row r="49" spans="1:8">
      <c r="A49" s="12" t="s">
        <v>42</v>
      </c>
      <c r="B49" s="12" t="s">
        <v>43</v>
      </c>
      <c r="C49" s="12" t="s">
        <v>44</v>
      </c>
      <c r="D49" s="12" t="s">
        <v>45</v>
      </c>
    </row>
    <row r="50" spans="1:8">
      <c r="A50" s="20" t="s">
        <v>46</v>
      </c>
      <c r="B50" s="14">
        <f ca="1">SUMIFS(受注ログ!$I$6:$I$99901,受注ログ!$B$6:$B$99901,"&gt;="&amp;INDEX(月次集計!$B$3:$B$15,$B$21),受注ログ!$B$6:$B$99901,"&lt;="&amp;INDEX(月次集計!$C$3:$C$15,$B$21))</f>
        <v>98493</v>
      </c>
      <c r="C50" s="14">
        <f ca="1">SUMIFS(受注ログ!$S$6:$S$99901,受注ログ!$B$6:$B$99901,"&gt;="&amp;INDEX(月次集計!$B$3:$B$15,$B$21),受注ログ!$B$6:$B$99901,"&lt;="&amp;INDEX(月次集計!$C$3:$C$15,$B$21))</f>
        <v>267607</v>
      </c>
      <c r="D50" s="14">
        <f ca="1">B50+C50</f>
        <v>366100</v>
      </c>
    </row>
    <row r="51" spans="1:8">
      <c r="A51" s="20" t="s">
        <v>47</v>
      </c>
      <c r="B51" s="14">
        <f ca="1">SUMIFS(受注ログ!$J$6:$J$99901,受注ログ!$B$6:$B$99901,"&gt;="&amp;INDEX(月次集計!$B$3:$B$15,$B$21),受注ログ!$B$6:$B$99901,"&lt;="&amp;INDEX(月次集計!$C$3:$C$15,$B$21))</f>
        <v>225465</v>
      </c>
      <c r="C51" s="14">
        <f ca="1">SUMIFS(受注ログ!$T$6:$T$99901,受注ログ!$B$6:$B$99901,"&gt;="&amp;INDEX(月次集計!$B$3:$B$15,$B$21),受注ログ!$B$6:$B$99901,"&lt;="&amp;INDEX(月次集計!$C$3:$C$15,$B$21))</f>
        <v>186376</v>
      </c>
      <c r="D51" s="14">
        <f ca="1">B51+C51</f>
        <v>411841</v>
      </c>
    </row>
    <row r="52" spans="1:8">
      <c r="A52" s="11" t="s">
        <v>48</v>
      </c>
      <c r="B52" s="14">
        <f ca="1">SUMIFS(受注ログ!$K$6:$K$99901,受注ログ!$B$6:$B$99901,"&gt;="&amp;INDEX(月次集計!$B$3:$B$15,$B$21),受注ログ!$B$6:$B$99901,"&lt;="&amp;INDEX(月次集計!$C$3:$C$15,$B$21))</f>
        <v>55656</v>
      </c>
      <c r="C52" s="14">
        <f ca="1">SUMIFS(受注ログ!$U$6:$U$99901,受注ログ!$B$6:$B$99901,"&gt;="&amp;INDEX(月次集計!$B$3:$B$15,$B$21),受注ログ!$B$6:$B$99901,"&lt;="&amp;INDEX(月次集計!$C$3:$C$15,$B$21))</f>
        <v>12867</v>
      </c>
      <c r="D52" s="14">
        <f ca="1">B52+C52</f>
        <v>68523</v>
      </c>
    </row>
    <row r="53" spans="1:8">
      <c r="A53" s="20" t="s">
        <v>49</v>
      </c>
      <c r="B53" s="14">
        <f ca="1">SUMIFS(受注ログ!$L$6:$L$99901,受注ログ!$B$6:$B$99901,"&gt;="&amp;INDEX(月次集計!$B$3:$B$15,$B$21),受注ログ!$B$6:$B$99901,"&lt;="&amp;INDEX(月次集計!$C$3:$C$15,$B$21))</f>
        <v>115526</v>
      </c>
      <c r="C53" s="19" t="s">
        <v>50</v>
      </c>
      <c r="D53" s="14">
        <f ca="1">B53</f>
        <v>115526</v>
      </c>
    </row>
    <row r="54" spans="1:8">
      <c r="A54" s="20" t="s">
        <v>51</v>
      </c>
      <c r="B54" s="14">
        <f ca="1">SUMIFS(受注ログ!$M$6:$M$99901,受注ログ!$B$6:$B$99901,"&gt;="&amp;INDEX(月次集計!$B$3:$B$15,$B$21),受注ログ!$B$6:$B$99901,"&lt;="&amp;INDEX(月次集計!$C$3:$C$15,$B$21))</f>
        <v>3300</v>
      </c>
      <c r="C54" s="19" t="s">
        <v>50</v>
      </c>
      <c r="D54" s="14">
        <f ca="1">B54</f>
        <v>3300</v>
      </c>
    </row>
    <row r="55" spans="1:8">
      <c r="A55" s="20" t="s">
        <v>52</v>
      </c>
      <c r="B55" s="14">
        <f ca="1">SUMIFS(受注ログ!$N$6:$N$99901,受注ログ!$B$6:$B$99901,"&gt;="&amp;INDEX(月次集計!$B$3:$B$15,$B$21),受注ログ!$B$6:$B$99901,"&lt;="&amp;INDEX(月次集計!$C$3:$C$15,$B$21))</f>
        <v>47760</v>
      </c>
      <c r="C55" s="19" t="s">
        <v>50</v>
      </c>
      <c r="D55" s="14">
        <f ca="1">B55</f>
        <v>47760</v>
      </c>
    </row>
    <row r="56" spans="1:8">
      <c r="A56" s="20" t="s">
        <v>53</v>
      </c>
      <c r="B56" s="19" t="s">
        <v>50</v>
      </c>
      <c r="C56" s="14">
        <f ca="1">SUMIFS(受注ログ!$V$6:$V$99901,受注ログ!$B$6:$B$99901,"&gt;="&amp;INDEX(月次集計!$B$3:$B$15,$B$21),受注ログ!$B$6:$B$99901,"&lt;="&amp;INDEX(月次集計!$C$3:$C$15,$B$21))</f>
        <v>49903</v>
      </c>
      <c r="D56" s="14">
        <f ca="1">C56</f>
        <v>49903</v>
      </c>
    </row>
    <row r="57" spans="1:8">
      <c r="A57" s="20" t="s">
        <v>54</v>
      </c>
      <c r="B57" s="14">
        <f ca="1">SUMIFS(受注ログ!$O$6:$O$99901,受注ログ!$B$6:$B$99901,"&gt;="&amp;INDEX(月次集計!$B$3:$B$15,$B$21),受注ログ!$B$6:$B$99901,"&lt;="&amp;INDEX(月次集計!$C$3:$C$15,$B$21))</f>
        <v>0</v>
      </c>
      <c r="C57" s="14">
        <f ca="1">SUMIFS(受注ログ!$W$6:$W$99901,受注ログ!$B$6:$B$99901,"&gt;="&amp;INDEX(月次集計!$B$3:$B$15,$B$21),受注ログ!$B$6:$B$99901,"&lt;="&amp;INDEX(月次集計!$C$3:$C$15,$B$21))</f>
        <v>0</v>
      </c>
      <c r="D57" s="14">
        <f ca="1">B57+C57</f>
        <v>0</v>
      </c>
    </row>
    <row r="58" spans="1:8">
      <c r="A58" s="11" t="s">
        <v>55</v>
      </c>
      <c r="B58" s="14">
        <f ca="1">SUMIFS(受注ログ!$P$6:$P$99901,受注ログ!$B$6:$B$99901,"&gt;="&amp;INDEX(月次集計!$B$3:$B$15,$B$21),受注ログ!$B$6:$B$99901,"&lt;="&amp;INDEX(月次集計!$C$3:$C$15,$B$21))*$B$9</f>
        <v>350000</v>
      </c>
      <c r="C58" s="14">
        <f ca="1">SUMIFS(受注ログ!$X$6:$X$99901,受注ログ!$B$6:$B$99901,"&gt;="&amp;INDEX(月次集計!$B$3:$B$15,$B$21),受注ログ!$B$6:$B$99901,"&lt;="&amp;INDEX(月次集計!$C$3:$C$15,$B$21))*$B$9</f>
        <v>0</v>
      </c>
      <c r="D58" s="14">
        <f ca="1">B58+C58</f>
        <v>350000</v>
      </c>
    </row>
    <row r="59" spans="1:8">
      <c r="A59" s="11" t="s">
        <v>56</v>
      </c>
      <c r="B59" s="14">
        <f ca="1">COUNTIFS(受注ログ!$Q$6:$Q$99901,200,受注ログ!$B$6:$B$99901,"&gt;="&amp;INDEX(月次集計!$B$3:$B$15,$B$21),受注ログ!$B$6:$B$99901,"&lt;="&amp;INDEX(月次集計!$C$3:$C$15,$B$21))*$B$10+COUNTIFS(受注ログ!$Q$6:$Q$99901,100,受注ログ!$B$6:$B$99901,"&gt;="&amp;INDEX(月次集計!$B$3:$B$15,$B$21),受注ログ!$B$6:$B$99901,"&lt;="&amp;INDEX(月次集計!$C$3:$C$15,$B$21))*$B$11</f>
        <v>43446</v>
      </c>
      <c r="C59" s="14">
        <f ca="1">COUNTIFS(受注ログ!$Y$6:$Y$99901,200,受注ログ!$B$6:$B$99901,"&gt;="&amp;INDEX(月次集計!$B$3:$B$15,$B$21),受注ログ!$B$6:$B$99901,"&lt;="&amp;INDEX(月次集計!$C$3:$C$15,$B$21))*$B$10+COUNTIFS(受注ログ!$Y$6:$Y$99901,100,受注ログ!$B$6:$B$99901,"&gt;="&amp;INDEX(月次集計!$B$3:$B$15,$B$21),受注ログ!$B$6:$B$99901,"&lt;="&amp;INDEX(月次集計!$C$3:$C$15,$B$21))*$B$11</f>
        <v>65169</v>
      </c>
      <c r="D59" s="14">
        <f ca="1">B59+C59</f>
        <v>108615</v>
      </c>
    </row>
    <row r="60" spans="1:8">
      <c r="A60" s="11" t="s">
        <v>57</v>
      </c>
      <c r="B60" s="14">
        <f ca="1">SUMIFS(受注ログ!$R$6:$R$99901,受注ログ!$B$6:$B$99901,"&gt;="&amp;INDEX(月次集計!$B$3:$B$15,$B$21),受注ログ!$B$6:$B$99901,"&lt;="&amp;INDEX(月次集計!$C$3:$C$15,$B$21))*$B$12</f>
        <v>0</v>
      </c>
      <c r="C60" s="14">
        <f ca="1">SUMIFS(受注ログ!$Z$6:$Z$99901,受注ログ!$B$6:$B$99901,"&gt;="&amp;INDEX(月次集計!$B$3:$B$15,$B$21),受注ログ!$B$6:$B$99901,"&lt;="&amp;INDEX(月次集計!$C$3:$C$15,$B$21))*$B$12</f>
        <v>0</v>
      </c>
      <c r="D60" s="14">
        <f ca="1">B60+C60</f>
        <v>0</v>
      </c>
    </row>
    <row r="61" spans="1:8">
      <c r="A61" s="39" t="s">
        <v>58</v>
      </c>
      <c r="B61" s="39"/>
      <c r="C61" s="39"/>
      <c r="D61" s="39"/>
      <c r="E61" s="39"/>
      <c r="F61" s="39"/>
      <c r="G61" s="39"/>
      <c r="H61" s="39"/>
    </row>
  </sheetData>
  <mergeCells count="5">
    <mergeCell ref="A1:H1"/>
    <mergeCell ref="A43:H43"/>
    <mergeCell ref="A44:H44"/>
    <mergeCell ref="A45:H45"/>
    <mergeCell ref="A61:H61"/>
  </mergeCells>
  <phoneticPr fontId="19"/>
  <conditionalFormatting sqref="H34:H41">
    <cfRule type="cellIs" dxfId="13" priority="2" operator="equal">
      <formula>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384"/>
  <sheetViews>
    <sheetView showGridLines="0" tabSelected="1" zoomScale="85" zoomScaleNormal="85" workbookViewId="0">
      <pane xSplit="8" ySplit="5" topLeftCell="I432" activePane="bottomRight" state="frozen"/>
      <selection pane="topRight" activeCell="I1" sqref="I1"/>
      <selection pane="bottomLeft" activeCell="A6" sqref="A6"/>
      <selection pane="bottomRight" activeCell="K462" sqref="K462"/>
    </sheetView>
  </sheetViews>
  <sheetFormatPr defaultColWidth="8.7109375" defaultRowHeight="15"/>
  <cols>
    <col min="1" max="1" width="5.5703125" bestFit="1" customWidth="1"/>
    <col min="2" max="3" width="11.7109375" bestFit="1" customWidth="1"/>
    <col min="4" max="5" width="14" bestFit="1" customWidth="1"/>
    <col min="6" max="6" width="12.5703125" customWidth="1"/>
    <col min="7" max="7" width="10.42578125" bestFit="1" customWidth="1"/>
    <col min="8" max="8" width="10" bestFit="1" customWidth="1"/>
    <col min="9" max="9" width="10.42578125" bestFit="1" customWidth="1"/>
    <col min="10" max="10" width="12.140625" bestFit="1" customWidth="1"/>
    <col min="11" max="14" width="10.42578125" bestFit="1" customWidth="1"/>
    <col min="15" max="15" width="8.140625" bestFit="1" customWidth="1"/>
    <col min="16" max="16" width="9.42578125" bestFit="1" customWidth="1"/>
    <col min="17" max="17" width="9.7109375" bestFit="1" customWidth="1"/>
    <col min="18" max="18" width="7.28515625" bestFit="1" customWidth="1"/>
    <col min="19" max="19" width="12.140625" bestFit="1" customWidth="1"/>
    <col min="20" max="22" width="10.42578125" bestFit="1" customWidth="1"/>
    <col min="23" max="23" width="8.140625" bestFit="1" customWidth="1"/>
    <col min="24" max="24" width="9.42578125" bestFit="1" customWidth="1"/>
    <col min="25" max="25" width="9.7109375" bestFit="1" customWidth="1"/>
    <col min="26" max="26" width="7.28515625" bestFit="1" customWidth="1"/>
  </cols>
  <sheetData>
    <row r="1" spans="1:26" ht="25.5" customHeight="1">
      <c r="A1" s="37" t="s">
        <v>59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24" customHeight="1">
      <c r="A2" s="21"/>
      <c r="B2" s="22" t="s">
        <v>60</v>
      </c>
      <c r="C2" s="22" t="s">
        <v>61</v>
      </c>
      <c r="D2" s="22" t="s">
        <v>62</v>
      </c>
      <c r="E2" s="22" t="s">
        <v>63</v>
      </c>
      <c r="F2" s="22" t="s">
        <v>64</v>
      </c>
      <c r="G2" s="22" t="s">
        <v>65</v>
      </c>
      <c r="H2" s="22" t="s">
        <v>66</v>
      </c>
    </row>
    <row r="3" spans="1:26" ht="19.5" customHeight="1">
      <c r="A3" s="23"/>
      <c r="B3" s="23">
        <f ca="1">MAX(サマリー!$B$7-INDEX(週次集計!$D$3:$D$56,サマリー!$B$20),0)</f>
        <v>0</v>
      </c>
      <c r="C3" s="23">
        <f ca="1">MAX(サマリー!$B$7-INDEX(週次集計!$E$3:$E$56,サマリー!$B$20),0)</f>
        <v>51278</v>
      </c>
      <c r="D3" s="23">
        <f ca="1">INDEX(週次集計!$F$3:$F$56,サマリー!$B$20)</f>
        <v>456981</v>
      </c>
      <c r="E3" s="23">
        <f ca="1">MAX(サマリー!$B$15-INDEX(週次集計!$F$3:$F$56,サマリー!$B$20),0)</f>
        <v>43019</v>
      </c>
      <c r="F3" s="23">
        <f ca="1">SUMIFS($C$6:$C$99901,$B$6:$B$99901,TODAY())</f>
        <v>0</v>
      </c>
      <c r="G3" s="23">
        <f ca="1">SUMIFS($D$6:$D$99901,$B$6:$B$99901,TODAY())</f>
        <v>0</v>
      </c>
      <c r="H3" s="23">
        <f ca="1">F3+G3</f>
        <v>0</v>
      </c>
    </row>
    <row r="4" spans="1:26" ht="19.5" customHeight="1">
      <c r="I4" s="40" t="s">
        <v>43</v>
      </c>
      <c r="J4" s="40"/>
      <c r="K4" s="40"/>
      <c r="L4" s="40"/>
      <c r="M4" s="40"/>
      <c r="N4" s="40"/>
      <c r="O4" s="40"/>
      <c r="P4" s="40"/>
      <c r="Q4" s="40"/>
      <c r="R4" s="40"/>
      <c r="S4" s="41" t="s">
        <v>44</v>
      </c>
      <c r="T4" s="41"/>
      <c r="U4" s="41"/>
      <c r="V4" s="41"/>
      <c r="W4" s="41"/>
      <c r="X4" s="41"/>
      <c r="Y4" s="41"/>
      <c r="Z4" s="41"/>
    </row>
    <row r="5" spans="1:26" ht="31.5" customHeight="1">
      <c r="A5" s="12" t="s">
        <v>67</v>
      </c>
      <c r="B5" s="12" t="s">
        <v>68</v>
      </c>
      <c r="C5" s="12" t="s">
        <v>69</v>
      </c>
      <c r="D5" s="12" t="s">
        <v>70</v>
      </c>
      <c r="E5" s="12" t="s">
        <v>45</v>
      </c>
      <c r="F5" s="12"/>
      <c r="G5" s="12"/>
      <c r="H5" s="12"/>
      <c r="I5" s="12" t="s">
        <v>46</v>
      </c>
      <c r="J5" s="12" t="s">
        <v>47</v>
      </c>
      <c r="K5" s="16" t="s">
        <v>48</v>
      </c>
      <c r="L5" s="12" t="s">
        <v>49</v>
      </c>
      <c r="M5" s="12" t="s">
        <v>51</v>
      </c>
      <c r="N5" s="12" t="s">
        <v>52</v>
      </c>
      <c r="O5" s="12" t="s">
        <v>54</v>
      </c>
      <c r="P5" s="16" t="s">
        <v>71</v>
      </c>
      <c r="Q5" s="16" t="s">
        <v>72</v>
      </c>
      <c r="R5" s="16" t="s">
        <v>73</v>
      </c>
      <c r="S5" s="12" t="s">
        <v>46</v>
      </c>
      <c r="T5" s="12" t="s">
        <v>47</v>
      </c>
      <c r="U5" s="16" t="s">
        <v>48</v>
      </c>
      <c r="V5" s="12" t="s">
        <v>53</v>
      </c>
      <c r="W5" s="12" t="s">
        <v>54</v>
      </c>
      <c r="X5" s="16" t="s">
        <v>71</v>
      </c>
      <c r="Y5" s="16" t="s">
        <v>72</v>
      </c>
      <c r="Z5" s="16" t="s">
        <v>73</v>
      </c>
    </row>
    <row r="6" spans="1:26">
      <c r="A6" s="24">
        <v>1</v>
      </c>
      <c r="B6" s="25">
        <v>46143</v>
      </c>
      <c r="C6" s="26">
        <f>I6+J6+K6+L6+M6+N6+O6+IF(P6="",0,P6*サマリー!$B$9)+IF(Q6="",0,IF(Q6=200,サマリー!$B$10,IF(Q6=100,サマリー!$B$11,0)))+IF(R6="",0,R6*サマリー!$B$12)</f>
        <v>31760</v>
      </c>
      <c r="D6" s="26">
        <f>S6+T6+U6+V6+W6+IF(X6="",0,X6*サマリー!$B$9)+IF(Y6="",0,IF(Y6=200,サマリー!$B$10,IF(Y6=100,サマリー!$B$11,0)))+IF(Z6="",0,Z6*サマリー!$B$12)</f>
        <v>8055</v>
      </c>
      <c r="E6" s="26">
        <f t="shared" ref="E6" si="0">C6+D6</f>
        <v>39815</v>
      </c>
      <c r="I6" s="27">
        <v>24519</v>
      </c>
      <c r="J6" s="27"/>
      <c r="K6" s="27"/>
      <c r="L6" s="27"/>
      <c r="M6" s="27"/>
      <c r="N6" s="27"/>
      <c r="O6" s="27"/>
      <c r="P6" s="24"/>
      <c r="Q6" s="24">
        <v>200</v>
      </c>
      <c r="R6" s="24"/>
      <c r="S6" s="27"/>
      <c r="T6" s="27"/>
      <c r="U6" s="27"/>
      <c r="V6" s="27">
        <v>8055</v>
      </c>
      <c r="W6" s="27"/>
      <c r="X6" s="24"/>
      <c r="Y6" s="24"/>
      <c r="Z6" s="24"/>
    </row>
    <row r="7" spans="1:26">
      <c r="A7" s="28">
        <v>1</v>
      </c>
      <c r="B7" s="17">
        <f t="shared" ref="B7:B38" si="1">IF(A7="",B6,IF(A7&lt;DAY(B6),DATE(YEAR(B6),MONTH(B6)+1,A7),DATE(YEAR(B6),MONTH(B6),A7)))</f>
        <v>46143</v>
      </c>
      <c r="C7" s="26">
        <f>I7+J7+K7+L7+M7+N7+O7+IF(P7="",0,P7*サマリー!$B$9)+IF(Q7="",0,IF(Q7=200,サマリー!$B$10,IF(Q7=100,サマリー!$B$11,0)))+IF(R7="",0,R7*サマリー!$B$12)</f>
        <v>100500</v>
      </c>
      <c r="D7" s="26">
        <f>S7+T7+U7+V7+W7+IF(X7="",0,X7*サマリー!$B$9)+IF(Y7="",0,IF(Y7=200,サマリー!$B$10,IF(Y7=100,サマリー!$B$11,0)))+IF(Z7="",0,Z7*サマリー!$B$12)</f>
        <v>0</v>
      </c>
      <c r="E7" s="26">
        <f t="shared" ref="E7:E38" si="2">C7+D7</f>
        <v>100500</v>
      </c>
      <c r="I7" s="29"/>
      <c r="J7" s="29">
        <v>100500</v>
      </c>
      <c r="K7" s="29"/>
      <c r="L7" s="29"/>
      <c r="M7" s="29"/>
      <c r="N7" s="29"/>
      <c r="O7" s="29"/>
      <c r="P7" s="30"/>
      <c r="Q7" s="30"/>
      <c r="R7" s="30"/>
      <c r="S7" s="31"/>
      <c r="T7" s="31"/>
      <c r="U7" s="31"/>
      <c r="V7" s="31"/>
      <c r="W7" s="31"/>
      <c r="X7" s="32"/>
      <c r="Y7" s="32"/>
      <c r="Z7" s="32"/>
    </row>
    <row r="8" spans="1:26">
      <c r="A8" s="28">
        <v>2</v>
      </c>
      <c r="B8" s="17">
        <f t="shared" si="1"/>
        <v>46144</v>
      </c>
      <c r="C8" s="26">
        <f>I8+J8+K8+L8+M8+N8+O8+IF(P8="",0,P8*サマリー!$B$9)+IF(Q8="",0,IF(Q8=200,サマリー!$B$10,IF(Q8=100,サマリー!$B$11,0)))+IF(R8="",0,R8*サマリー!$B$12)</f>
        <v>50560</v>
      </c>
      <c r="D8" s="26">
        <f>S8+T8+U8+V8+W8+IF(X8="",0,X8*サマリー!$B$9)+IF(Y8="",0,IF(Y8=200,サマリー!$B$10,IF(Y8=100,サマリー!$B$11,0)))+IF(Z8="",0,Z8*サマリー!$B$12)</f>
        <v>0</v>
      </c>
      <c r="E8" s="26">
        <f t="shared" si="2"/>
        <v>50560</v>
      </c>
      <c r="I8" s="29">
        <v>24519</v>
      </c>
      <c r="J8" s="29"/>
      <c r="K8" s="29"/>
      <c r="L8" s="29">
        <v>18800</v>
      </c>
      <c r="M8" s="29"/>
      <c r="N8" s="29"/>
      <c r="O8" s="29"/>
      <c r="P8" s="30"/>
      <c r="Q8" s="30">
        <v>200</v>
      </c>
      <c r="R8" s="30"/>
      <c r="S8" s="31"/>
      <c r="T8" s="31"/>
      <c r="U8" s="31"/>
      <c r="V8" s="31"/>
      <c r="W8" s="31"/>
      <c r="X8" s="32"/>
      <c r="Y8" s="32"/>
      <c r="Z8" s="32"/>
    </row>
    <row r="9" spans="1:26">
      <c r="A9" s="28">
        <v>2</v>
      </c>
      <c r="B9" s="17">
        <f t="shared" si="1"/>
        <v>46144</v>
      </c>
      <c r="C9" s="26">
        <f>I9+J9+K9+L9+M9+N9+O9+IF(P9="",0,P9*サマリー!$B$9)+IF(Q9="",0,IF(Q9=200,サマリー!$B$10,IF(Q9=100,サマリー!$B$11,0)))+IF(R9="",0,R9*サマリー!$B$12)</f>
        <v>0</v>
      </c>
      <c r="D9" s="26">
        <f>S9+T9+U9+V9+W9+IF(X9="",0,X9*サマリー!$B$9)+IF(Y9="",0,IF(Y9=200,サマリー!$B$10,IF(Y9=100,サマリー!$B$11,0)))+IF(Z9="",0,Z9*サマリー!$B$12)</f>
        <v>22000</v>
      </c>
      <c r="E9" s="26">
        <f t="shared" si="2"/>
        <v>22000</v>
      </c>
      <c r="I9" s="29"/>
      <c r="J9" s="29"/>
      <c r="K9" s="29"/>
      <c r="L9" s="29"/>
      <c r="M9" s="29"/>
      <c r="N9" s="29"/>
      <c r="O9" s="29"/>
      <c r="P9" s="30"/>
      <c r="Q9" s="30"/>
      <c r="R9" s="30"/>
      <c r="S9" s="31"/>
      <c r="T9" s="31">
        <v>22000</v>
      </c>
      <c r="U9" s="31"/>
      <c r="V9" s="31"/>
      <c r="W9" s="31"/>
      <c r="X9" s="32"/>
      <c r="Y9" s="32"/>
      <c r="Z9" s="32"/>
    </row>
    <row r="10" spans="1:26">
      <c r="A10" s="28">
        <v>2</v>
      </c>
      <c r="B10" s="17">
        <f t="shared" si="1"/>
        <v>46144</v>
      </c>
      <c r="C10" s="26">
        <f>I10+J10+K10+L10+M10+N10+O10+IF(P10="",0,P10*サマリー!$B$9)+IF(Q10="",0,IF(Q10=200,サマリー!$B$10,IF(Q10=100,サマリー!$B$11,0)))+IF(R10="",0,R10*サマリー!$B$12)</f>
        <v>9910</v>
      </c>
      <c r="D10" s="26">
        <f>S10+T10+U10+V10+W10+IF(X10="",0,X10*サマリー!$B$9)+IF(Y10="",0,IF(Y10=200,サマリー!$B$10,IF(Y10=100,サマリー!$B$11,0)))+IF(Z10="",0,Z10*サマリー!$B$12)</f>
        <v>0</v>
      </c>
      <c r="E10" s="26">
        <f t="shared" si="2"/>
        <v>9910</v>
      </c>
      <c r="I10" s="29"/>
      <c r="J10" s="29">
        <v>9910</v>
      </c>
      <c r="K10" s="29"/>
      <c r="L10" s="29"/>
      <c r="M10" s="29"/>
      <c r="N10" s="29"/>
      <c r="O10" s="29"/>
      <c r="P10" s="30"/>
      <c r="Q10" s="30"/>
      <c r="R10" s="30"/>
      <c r="S10" s="31"/>
      <c r="T10" s="31"/>
      <c r="U10" s="31"/>
      <c r="V10" s="31"/>
      <c r="W10" s="31"/>
      <c r="X10" s="32"/>
      <c r="Y10" s="32"/>
      <c r="Z10" s="32"/>
    </row>
    <row r="11" spans="1:26">
      <c r="A11" s="28">
        <v>3</v>
      </c>
      <c r="B11" s="17">
        <f t="shared" si="1"/>
        <v>46145</v>
      </c>
      <c r="C11" s="26">
        <f>I11+J11+K11+L11+M11+N11+O11+IF(P11="",0,P11*サマリー!$B$9)+IF(Q11="",0,IF(Q11=200,サマリー!$B$10,IF(Q11=100,サマリー!$B$11,0)))+IF(R11="",0,R11*サマリー!$B$12)</f>
        <v>2200</v>
      </c>
      <c r="D11" s="26">
        <f>S11+T11+U11+V11+W11+IF(X11="",0,X11*サマリー!$B$9)+IF(Y11="",0,IF(Y11=200,サマリー!$B$10,IF(Y11=100,サマリー!$B$11,0)))+IF(Z11="",0,Z11*サマリー!$B$12)</f>
        <v>0</v>
      </c>
      <c r="E11" s="26">
        <f t="shared" si="2"/>
        <v>2200</v>
      </c>
      <c r="I11" s="29"/>
      <c r="J11" s="29">
        <v>2200</v>
      </c>
      <c r="K11" s="29"/>
      <c r="L11" s="29"/>
      <c r="M11" s="29"/>
      <c r="N11" s="29"/>
      <c r="O11" s="29"/>
      <c r="P11" s="30"/>
      <c r="Q11" s="30"/>
      <c r="R11" s="30"/>
      <c r="S11" s="31"/>
      <c r="T11" s="31"/>
      <c r="U11" s="31"/>
      <c r="V11" s="31"/>
      <c r="W11" s="31"/>
      <c r="X11" s="32"/>
      <c r="Y11" s="32"/>
      <c r="Z11" s="32"/>
    </row>
    <row r="12" spans="1:26">
      <c r="A12" s="28"/>
      <c r="B12" s="17">
        <f t="shared" si="1"/>
        <v>46145</v>
      </c>
      <c r="C12" s="26">
        <f>I12+J12+K12+L12+M12+N12+O12+IF(P12="",0,P12*サマリー!$B$9)+IF(Q12="",0,IF(Q12=200,サマリー!$B$10,IF(Q12=100,サマリー!$B$11,0)))+IF(R12="",0,R12*サマリー!$B$12)</f>
        <v>0</v>
      </c>
      <c r="D12" s="26">
        <f>S12+T12+U12+V12+W12+IF(X12="",0,X12*サマリー!$B$9)+IF(Y12="",0,IF(Y12=200,サマリー!$B$10,IF(Y12=100,サマリー!$B$11,0)))+IF(Z12="",0,Z12*サマリー!$B$12)</f>
        <v>22440</v>
      </c>
      <c r="E12" s="26">
        <f t="shared" si="2"/>
        <v>22440</v>
      </c>
      <c r="I12" s="29"/>
      <c r="J12" s="29"/>
      <c r="K12" s="29"/>
      <c r="L12" s="29"/>
      <c r="M12" s="29"/>
      <c r="N12" s="29"/>
      <c r="O12" s="29"/>
      <c r="P12" s="30"/>
      <c r="Q12" s="30"/>
      <c r="R12" s="30"/>
      <c r="S12" s="31">
        <v>22440</v>
      </c>
      <c r="T12" s="31"/>
      <c r="U12" s="31"/>
      <c r="V12" s="31"/>
      <c r="W12" s="31"/>
      <c r="X12" s="32"/>
      <c r="Y12" s="32"/>
      <c r="Z12" s="32"/>
    </row>
    <row r="13" spans="1:26">
      <c r="A13" s="28"/>
      <c r="B13" s="17">
        <f t="shared" si="1"/>
        <v>46145</v>
      </c>
      <c r="C13" s="26">
        <f>I13+J13+K13+L13+M13+N13+O13+IF(P13="",0,P13*サマリー!$B$9)+IF(Q13="",0,IF(Q13=200,サマリー!$B$10,IF(Q13=100,サマリー!$B$11,0)))+IF(R13="",0,R13*サマリー!$B$12)</f>
        <v>31760</v>
      </c>
      <c r="D13" s="26">
        <f>S13+T13+U13+V13+W13+IF(X13="",0,X13*サマリー!$B$9)+IF(Y13="",0,IF(Y13=200,サマリー!$B$10,IF(Y13=100,サマリー!$B$11,0)))+IF(Z13="",0,Z13*サマリー!$B$12)</f>
        <v>0</v>
      </c>
      <c r="E13" s="26">
        <f t="shared" si="2"/>
        <v>31760</v>
      </c>
      <c r="I13" s="29">
        <v>24519</v>
      </c>
      <c r="J13" s="29"/>
      <c r="K13" s="29"/>
      <c r="L13" s="29"/>
      <c r="M13" s="29"/>
      <c r="N13" s="29"/>
      <c r="O13" s="29"/>
      <c r="P13" s="30"/>
      <c r="Q13" s="30">
        <v>200</v>
      </c>
      <c r="R13" s="30"/>
      <c r="S13" s="31"/>
      <c r="T13" s="31"/>
      <c r="U13" s="31"/>
      <c r="V13" s="31"/>
      <c r="W13" s="31"/>
      <c r="X13" s="32"/>
      <c r="Y13" s="32"/>
      <c r="Z13" s="32"/>
    </row>
    <row r="14" spans="1:26">
      <c r="A14" s="28"/>
      <c r="B14" s="17">
        <f t="shared" si="1"/>
        <v>46145</v>
      </c>
      <c r="C14" s="26">
        <f>I14+J14+K14+L14+M14+N14+O14+IF(P14="",0,P14*サマリー!$B$9)+IF(Q14="",0,IF(Q14=200,サマリー!$B$10,IF(Q14=100,サマリー!$B$11,0)))+IF(R14="",0,R14*サマリー!$B$12)</f>
        <v>31760</v>
      </c>
      <c r="D14" s="26">
        <f>S14+T14+U14+V14+W14+IF(X14="",0,X14*サマリー!$B$9)+IF(Y14="",0,IF(Y14=200,サマリー!$B$10,IF(Y14=100,サマリー!$B$11,0)))+IF(Z14="",0,Z14*サマリー!$B$12)</f>
        <v>0</v>
      </c>
      <c r="E14" s="26">
        <f t="shared" si="2"/>
        <v>31760</v>
      </c>
      <c r="I14" s="29">
        <v>24519</v>
      </c>
      <c r="J14" s="29"/>
      <c r="K14" s="29"/>
      <c r="L14" s="29"/>
      <c r="M14" s="29"/>
      <c r="N14" s="29"/>
      <c r="O14" s="29"/>
      <c r="P14" s="30"/>
      <c r="Q14" s="30">
        <v>200</v>
      </c>
      <c r="R14" s="30"/>
      <c r="S14" s="31"/>
      <c r="T14" s="31"/>
      <c r="U14" s="31"/>
      <c r="V14" s="31"/>
      <c r="W14" s="31"/>
      <c r="X14" s="32"/>
      <c r="Y14" s="32"/>
      <c r="Z14" s="32"/>
    </row>
    <row r="15" spans="1:26">
      <c r="A15" s="28"/>
      <c r="B15" s="17">
        <f t="shared" si="1"/>
        <v>46145</v>
      </c>
      <c r="C15" s="26">
        <f>I15+J15+K15+L15+M15+N15+O15+IF(P15="",0,P15*サマリー!$B$9)+IF(Q15="",0,IF(Q15=200,サマリー!$B$10,IF(Q15=100,サマリー!$B$11,0)))+IF(R15="",0,R15*サマリー!$B$12)</f>
        <v>0</v>
      </c>
      <c r="D15" s="26">
        <f>S15+T15+U15+V15+W15+IF(X15="",0,X15*サマリー!$B$9)+IF(Y15="",0,IF(Y15=200,サマリー!$B$10,IF(Y15=100,サマリー!$B$11,0)))+IF(Z15="",0,Z15*サマリー!$B$12)</f>
        <v>39960</v>
      </c>
      <c r="E15" s="26">
        <f t="shared" si="2"/>
        <v>39960</v>
      </c>
      <c r="I15" s="29"/>
      <c r="J15" s="29"/>
      <c r="K15" s="29"/>
      <c r="L15" s="29"/>
      <c r="M15" s="29"/>
      <c r="N15" s="29"/>
      <c r="O15" s="29"/>
      <c r="P15" s="30"/>
      <c r="Q15" s="30"/>
      <c r="R15" s="30"/>
      <c r="S15" s="31">
        <v>32719</v>
      </c>
      <c r="T15" s="31"/>
      <c r="U15" s="31"/>
      <c r="V15" s="31"/>
      <c r="W15" s="31"/>
      <c r="X15" s="32"/>
      <c r="Y15" s="32">
        <v>200</v>
      </c>
      <c r="Z15" s="32"/>
    </row>
    <row r="16" spans="1:26">
      <c r="A16" s="28"/>
      <c r="B16" s="17">
        <f t="shared" si="1"/>
        <v>46145</v>
      </c>
      <c r="C16" s="26">
        <f>I16+J16+K16+L16+M16+N16+O16+IF(P16="",0,P16*サマリー!$B$9)+IF(Q16="",0,IF(Q16=200,サマリー!$B$10,IF(Q16=100,サマリー!$B$11,0)))+IF(R16="",0,R16*サマリー!$B$12)</f>
        <v>46560</v>
      </c>
      <c r="D16" s="26">
        <f>S16+T16+U16+V16+W16+IF(X16="",0,X16*サマリー!$B$9)+IF(Y16="",0,IF(Y16=200,サマリー!$B$10,IF(Y16=100,サマリー!$B$11,0)))+IF(Z16="",0,Z16*サマリー!$B$12)</f>
        <v>0</v>
      </c>
      <c r="E16" s="26">
        <f t="shared" si="2"/>
        <v>46560</v>
      </c>
      <c r="I16" s="29">
        <v>39319</v>
      </c>
      <c r="J16" s="29"/>
      <c r="K16" s="29"/>
      <c r="L16" s="29"/>
      <c r="M16" s="29"/>
      <c r="N16" s="29"/>
      <c r="O16" s="29"/>
      <c r="P16" s="30"/>
      <c r="Q16" s="30">
        <v>200</v>
      </c>
      <c r="R16" s="30"/>
      <c r="S16" s="31"/>
      <c r="T16" s="31"/>
      <c r="U16" s="31"/>
      <c r="V16" s="31"/>
      <c r="W16" s="31"/>
      <c r="X16" s="32"/>
      <c r="Y16" s="32"/>
      <c r="Z16" s="32"/>
    </row>
    <row r="17" spans="1:26">
      <c r="A17" s="28"/>
      <c r="B17" s="17">
        <f t="shared" si="1"/>
        <v>46145</v>
      </c>
      <c r="C17" s="26">
        <f>I17+J17+K17+L17+M17+N17+O17+IF(P17="",0,P17*サマリー!$B$9)+IF(Q17="",0,IF(Q17=200,サマリー!$B$10,IF(Q17=100,サマリー!$B$11,0)))+IF(R17="",0,R17*サマリー!$B$12)</f>
        <v>46560</v>
      </c>
      <c r="D17" s="26">
        <f>S17+T17+U17+V17+W17+IF(X17="",0,X17*サマリー!$B$9)+IF(Y17="",0,IF(Y17=200,サマリー!$B$10,IF(Y17=100,サマリー!$B$11,0)))+IF(Z17="",0,Z17*サマリー!$B$12)</f>
        <v>0</v>
      </c>
      <c r="E17" s="26">
        <f t="shared" si="2"/>
        <v>46560</v>
      </c>
      <c r="I17" s="29">
        <v>39319</v>
      </c>
      <c r="J17" s="29"/>
      <c r="K17" s="29"/>
      <c r="L17" s="29"/>
      <c r="M17" s="29"/>
      <c r="N17" s="29"/>
      <c r="O17" s="29"/>
      <c r="P17" s="30"/>
      <c r="Q17" s="30">
        <v>200</v>
      </c>
      <c r="R17" s="30"/>
      <c r="S17" s="31"/>
      <c r="T17" s="31"/>
      <c r="U17" s="31"/>
      <c r="V17" s="31"/>
      <c r="W17" s="31"/>
      <c r="X17" s="32"/>
      <c r="Y17" s="32"/>
      <c r="Z17" s="32"/>
    </row>
    <row r="18" spans="1:26">
      <c r="A18" s="28"/>
      <c r="B18" s="17">
        <f t="shared" si="1"/>
        <v>46145</v>
      </c>
      <c r="C18" s="26">
        <f>I18+J18+K18+L18+M18+N18+O18+IF(P18="",0,P18*サマリー!$B$9)+IF(Q18="",0,IF(Q18=200,サマリー!$B$10,IF(Q18=100,サマリー!$B$11,0)))+IF(R18="",0,R18*サマリー!$B$12)</f>
        <v>0</v>
      </c>
      <c r="D18" s="26">
        <f>S18+T18+U18+V18+W18+IF(X18="",0,X18*サマリー!$B$9)+IF(Y18="",0,IF(Y18=200,サマリー!$B$10,IF(Y18=100,サマリー!$B$11,0)))+IF(Z18="",0,Z18*サマリー!$B$12)</f>
        <v>6400</v>
      </c>
      <c r="E18" s="26">
        <f t="shared" si="2"/>
        <v>6400</v>
      </c>
      <c r="I18" s="29"/>
      <c r="J18" s="29"/>
      <c r="K18" s="29"/>
      <c r="L18" s="29"/>
      <c r="M18" s="29"/>
      <c r="N18" s="29"/>
      <c r="O18" s="29"/>
      <c r="P18" s="30"/>
      <c r="Q18" s="30"/>
      <c r="R18" s="30"/>
      <c r="S18" s="31"/>
      <c r="T18" s="31">
        <v>6400</v>
      </c>
      <c r="U18" s="31"/>
      <c r="V18" s="31"/>
      <c r="W18" s="31"/>
      <c r="X18" s="32"/>
      <c r="Y18" s="32"/>
      <c r="Z18" s="32"/>
    </row>
    <row r="19" spans="1:26">
      <c r="A19" s="28">
        <v>4</v>
      </c>
      <c r="B19" s="17">
        <f t="shared" si="1"/>
        <v>46146</v>
      </c>
      <c r="C19" s="26">
        <f>I19+J19+K19+L19+M19+N19+O19+IF(P19="",0,P19*サマリー!$B$9)+IF(Q19="",0,IF(Q19=200,サマリー!$B$10,IF(Q19=100,サマリー!$B$11,0)))+IF(R19="",0,R19*サマリー!$B$12)</f>
        <v>0</v>
      </c>
      <c r="D19" s="26">
        <f>S19+T19+U19+V19+W19+IF(X19="",0,X19*サマリー!$B$9)+IF(Y19="",0,IF(Y19=200,サマリー!$B$10,IF(Y19=100,サマリー!$B$11,0)))+IF(Z19="",0,Z19*サマリー!$B$12)</f>
        <v>4955</v>
      </c>
      <c r="E19" s="26">
        <f t="shared" si="2"/>
        <v>4955</v>
      </c>
      <c r="I19" s="29"/>
      <c r="J19" s="29"/>
      <c r="K19" s="29"/>
      <c r="L19" s="29"/>
      <c r="M19" s="29"/>
      <c r="N19" s="29"/>
      <c r="O19" s="29"/>
      <c r="P19" s="30"/>
      <c r="Q19" s="30"/>
      <c r="R19" s="30"/>
      <c r="S19" s="31"/>
      <c r="T19" s="31">
        <v>4955</v>
      </c>
      <c r="U19" s="31"/>
      <c r="V19" s="31"/>
      <c r="W19" s="31"/>
      <c r="X19" s="32"/>
      <c r="Y19" s="32"/>
      <c r="Z19" s="32"/>
    </row>
    <row r="20" spans="1:26">
      <c r="A20" s="28"/>
      <c r="B20" s="17">
        <f t="shared" si="1"/>
        <v>46146</v>
      </c>
      <c r="C20" s="26">
        <f>I20+J20+K20+L20+M20+N20+O20+IF(P20="",0,P20*サマリー!$B$9)+IF(Q20="",0,IF(Q20=200,サマリー!$B$10,IF(Q20=100,サマリー!$B$11,0)))+IF(R20="",0,R20*サマリー!$B$12)</f>
        <v>0</v>
      </c>
      <c r="D20" s="26">
        <f>S20+T20+U20+V20+W20+IF(X20="",0,X20*サマリー!$B$9)+IF(Y20="",0,IF(Y20=200,サマリー!$B$10,IF(Y20=100,サマリー!$B$11,0)))+IF(Z20="",0,Z20*サマリー!$B$12)</f>
        <v>13201</v>
      </c>
      <c r="E20" s="26">
        <f t="shared" si="2"/>
        <v>13201</v>
      </c>
      <c r="I20" s="29"/>
      <c r="J20" s="29"/>
      <c r="K20" s="29"/>
      <c r="L20" s="29"/>
      <c r="M20" s="29"/>
      <c r="N20" s="29"/>
      <c r="O20" s="29"/>
      <c r="P20" s="30"/>
      <c r="Q20" s="30"/>
      <c r="R20" s="30"/>
      <c r="S20" s="31"/>
      <c r="T20" s="31">
        <v>13201</v>
      </c>
      <c r="U20" s="31"/>
      <c r="V20" s="31"/>
      <c r="W20" s="31"/>
      <c r="X20" s="32"/>
      <c r="Y20" s="32"/>
      <c r="Z20" s="32"/>
    </row>
    <row r="21" spans="1:26">
      <c r="A21" s="28"/>
      <c r="B21" s="17">
        <f t="shared" si="1"/>
        <v>46146</v>
      </c>
      <c r="C21" s="26">
        <f>I21+J21+K21+L21+M21+N21+O21+IF(P21="",0,P21*サマリー!$B$9)+IF(Q21="",0,IF(Q21=200,サマリー!$B$10,IF(Q21=100,サマリー!$B$11,0)))+IF(R21="",0,R21*サマリー!$B$12)</f>
        <v>0</v>
      </c>
      <c r="D21" s="26">
        <f>S21+T21+U21+V21+W21+IF(X21="",0,X21*サマリー!$B$9)+IF(Y21="",0,IF(Y21=200,サマリー!$B$10,IF(Y21=100,サマリー!$B$11,0)))+IF(Z21="",0,Z21*サマリー!$B$12)</f>
        <v>31557</v>
      </c>
      <c r="E21" s="26">
        <f t="shared" si="2"/>
        <v>31557</v>
      </c>
      <c r="I21" s="29"/>
      <c r="J21" s="29"/>
      <c r="K21" s="29"/>
      <c r="L21" s="29"/>
      <c r="M21" s="29"/>
      <c r="N21" s="29"/>
      <c r="O21" s="29"/>
      <c r="P21" s="30"/>
      <c r="Q21" s="30"/>
      <c r="R21" s="30"/>
      <c r="S21" s="31">
        <v>31557</v>
      </c>
      <c r="T21" s="31"/>
      <c r="U21" s="31"/>
      <c r="V21" s="31"/>
      <c r="W21" s="31"/>
      <c r="X21" s="32"/>
      <c r="Y21" s="32"/>
      <c r="Z21" s="32"/>
    </row>
    <row r="22" spans="1:26">
      <c r="A22" s="28"/>
      <c r="B22" s="17">
        <f t="shared" si="1"/>
        <v>46146</v>
      </c>
      <c r="C22" s="26">
        <f>I22+J22+K22+L22+M22+N22+O22+IF(P22="",0,P22*サマリー!$B$9)+IF(Q22="",0,IF(Q22=200,サマリー!$B$10,IF(Q22=100,サマリー!$B$11,0)))+IF(R22="",0,R22*サマリー!$B$12)</f>
        <v>0</v>
      </c>
      <c r="D22" s="26">
        <f>S22+T22+U22+V22+W22+IF(X22="",0,X22*サマリー!$B$9)+IF(Y22="",0,IF(Y22=200,サマリー!$B$10,IF(Y22=100,サマリー!$B$11,0)))+IF(Z22="",0,Z22*サマリー!$B$12)</f>
        <v>21000</v>
      </c>
      <c r="E22" s="26">
        <f t="shared" si="2"/>
        <v>21000</v>
      </c>
      <c r="I22" s="29"/>
      <c r="J22" s="29"/>
      <c r="K22" s="29"/>
      <c r="L22" s="29"/>
      <c r="M22" s="29"/>
      <c r="N22" s="29"/>
      <c r="O22" s="29"/>
      <c r="P22" s="30"/>
      <c r="Q22" s="30"/>
      <c r="R22" s="30"/>
      <c r="S22" s="31">
        <v>21000</v>
      </c>
      <c r="T22" s="31"/>
      <c r="U22" s="31"/>
      <c r="V22" s="31"/>
      <c r="W22" s="31"/>
      <c r="X22" s="32"/>
      <c r="Y22" s="32"/>
      <c r="Z22" s="32"/>
    </row>
    <row r="23" spans="1:26">
      <c r="A23" s="28">
        <v>5</v>
      </c>
      <c r="B23" s="17">
        <f t="shared" si="1"/>
        <v>46147</v>
      </c>
      <c r="C23" s="26">
        <f>I23+J23+K23+L23+M23+N23+O23+IF(P23="",0,P23*サマリー!$B$9)+IF(Q23="",0,IF(Q23=200,サマリー!$B$10,IF(Q23=100,サマリー!$B$11,0)))+IF(R23="",0,R23*サマリー!$B$12)</f>
        <v>3955</v>
      </c>
      <c r="D23" s="26">
        <f>S23+T23+U23+V23+W23+IF(X23="",0,X23*サマリー!$B$9)+IF(Y23="",0,IF(Y23=200,サマリー!$B$10,IF(Y23=100,サマリー!$B$11,0)))+IF(Z23="",0,Z23*サマリー!$B$12)</f>
        <v>0</v>
      </c>
      <c r="E23" s="26">
        <f t="shared" si="2"/>
        <v>3955</v>
      </c>
      <c r="I23" s="29"/>
      <c r="J23" s="29">
        <v>3955</v>
      </c>
      <c r="K23" s="29"/>
      <c r="L23" s="29"/>
      <c r="M23" s="29"/>
      <c r="N23" s="29"/>
      <c r="O23" s="29"/>
      <c r="P23" s="30"/>
      <c r="Q23" s="30"/>
      <c r="R23" s="30"/>
      <c r="S23" s="31"/>
      <c r="T23" s="31"/>
      <c r="U23" s="31"/>
      <c r="V23" s="31"/>
      <c r="W23" s="31"/>
      <c r="X23" s="32"/>
      <c r="Y23" s="32"/>
      <c r="Z23" s="32"/>
    </row>
    <row r="24" spans="1:26">
      <c r="A24" s="28"/>
      <c r="B24" s="17">
        <f t="shared" si="1"/>
        <v>46147</v>
      </c>
      <c r="C24" s="26">
        <f>I24+J24+K24+L24+M24+N24+O24+IF(P24="",0,P24*サマリー!$B$9)+IF(Q24="",0,IF(Q24=200,サマリー!$B$10,IF(Q24=100,サマリー!$B$11,0)))+IF(R24="",0,R24*サマリー!$B$12)</f>
        <v>44079</v>
      </c>
      <c r="D24" s="26">
        <f>S24+T24+U24+V24+W24+IF(X24="",0,X24*サマリー!$B$9)+IF(Y24="",0,IF(Y24=200,サマリー!$B$10,IF(Y24=100,サマリー!$B$11,0)))+IF(Z24="",0,Z24*サマリー!$B$12)</f>
        <v>0</v>
      </c>
      <c r="E24" s="26">
        <f t="shared" si="2"/>
        <v>44079</v>
      </c>
      <c r="I24" s="29">
        <v>36838</v>
      </c>
      <c r="J24" s="29"/>
      <c r="K24" s="29"/>
      <c r="L24" s="29"/>
      <c r="M24" s="29"/>
      <c r="N24" s="29"/>
      <c r="O24" s="29"/>
      <c r="P24" s="30"/>
      <c r="Q24" s="30">
        <v>200</v>
      </c>
      <c r="R24" s="30"/>
      <c r="S24" s="31"/>
      <c r="T24" s="31"/>
      <c r="U24" s="31"/>
      <c r="V24" s="31"/>
      <c r="W24" s="31"/>
      <c r="X24" s="32"/>
      <c r="Y24" s="32"/>
      <c r="Z24" s="32"/>
    </row>
    <row r="25" spans="1:26">
      <c r="A25" s="28"/>
      <c r="B25" s="17">
        <f t="shared" si="1"/>
        <v>46147</v>
      </c>
      <c r="C25" s="26">
        <f>I25+J25+K25+L25+M25+N25+O25+IF(P25="",0,P25*サマリー!$B$9)+IF(Q25="",0,IF(Q25=200,サマリー!$B$10,IF(Q25=100,サマリー!$B$11,0)))+IF(R25="",0,R25*サマリー!$B$12)</f>
        <v>1655</v>
      </c>
      <c r="D25" s="26">
        <f>S25+T25+U25+V25+W25+IF(X25="",0,X25*サマリー!$B$9)+IF(Y25="",0,IF(Y25=200,サマリー!$B$10,IF(Y25=100,サマリー!$B$11,0)))+IF(Z25="",0,Z25*サマリー!$B$12)</f>
        <v>0</v>
      </c>
      <c r="E25" s="26">
        <f t="shared" si="2"/>
        <v>1655</v>
      </c>
      <c r="I25" s="29"/>
      <c r="J25" s="29">
        <v>1655</v>
      </c>
      <c r="K25" s="29"/>
      <c r="L25" s="29"/>
      <c r="M25" s="29"/>
      <c r="N25" s="29"/>
      <c r="O25" s="29"/>
      <c r="P25" s="30"/>
      <c r="Q25" s="30"/>
      <c r="R25" s="30"/>
      <c r="S25" s="31"/>
      <c r="T25" s="31"/>
      <c r="U25" s="31"/>
      <c r="V25" s="31"/>
      <c r="W25" s="31"/>
      <c r="X25" s="32"/>
      <c r="Y25" s="32"/>
      <c r="Z25" s="32"/>
    </row>
    <row r="26" spans="1:26">
      <c r="A26" s="28">
        <v>6</v>
      </c>
      <c r="B26" s="17">
        <f t="shared" si="1"/>
        <v>46148</v>
      </c>
      <c r="C26" s="26">
        <f>I26+J26+K26+L26+M26+N26+O26+IF(P26="",0,P26*サマリー!$B$9)+IF(Q26="",0,IF(Q26=200,サマリー!$B$10,IF(Q26=100,サマリー!$B$11,0)))+IF(R26="",0,R26*サマリー!$B$12)</f>
        <v>31760</v>
      </c>
      <c r="D26" s="26">
        <f>S26+T26+U26+V26+W26+IF(X26="",0,X26*サマリー!$B$9)+IF(Y26="",0,IF(Y26=200,サマリー!$B$10,IF(Y26=100,サマリー!$B$11,0)))+IF(Z26="",0,Z26*サマリー!$B$12)</f>
        <v>0</v>
      </c>
      <c r="E26" s="26">
        <f t="shared" si="2"/>
        <v>31760</v>
      </c>
      <c r="I26" s="29">
        <v>24519</v>
      </c>
      <c r="J26" s="29"/>
      <c r="K26" s="29"/>
      <c r="L26" s="29"/>
      <c r="M26" s="29"/>
      <c r="N26" s="29"/>
      <c r="O26" s="29"/>
      <c r="P26" s="30"/>
      <c r="Q26" s="30">
        <v>200</v>
      </c>
      <c r="R26" s="30"/>
      <c r="S26" s="31"/>
      <c r="T26" s="31"/>
      <c r="U26" s="31"/>
      <c r="V26" s="31"/>
      <c r="W26" s="31"/>
      <c r="X26" s="32"/>
      <c r="Y26" s="32"/>
      <c r="Z26" s="32"/>
    </row>
    <row r="27" spans="1:26">
      <c r="A27" s="28"/>
      <c r="B27" s="17">
        <f t="shared" si="1"/>
        <v>46148</v>
      </c>
      <c r="C27" s="26">
        <f>I27+J27+K27+L27+M27+N27+O27+IF(P27="",0,P27*サマリー!$B$9)+IF(Q27="",0,IF(Q27=200,サマリー!$B$10,IF(Q27=100,サマリー!$B$11,0)))+IF(R27="",0,R27*サマリー!$B$12)</f>
        <v>0</v>
      </c>
      <c r="D27" s="26">
        <f>S27+T27+U27+V27+W27+IF(X27="",0,X27*サマリー!$B$9)+IF(Y27="",0,IF(Y27=200,サマリー!$B$10,IF(Y27=100,サマリー!$B$11,0)))+IF(Z27="",0,Z27*サマリー!$B$12)</f>
        <v>68489</v>
      </c>
      <c r="E27" s="26">
        <f t="shared" si="2"/>
        <v>68489</v>
      </c>
      <c r="I27" s="29"/>
      <c r="J27" s="29"/>
      <c r="K27" s="29"/>
      <c r="L27" s="29"/>
      <c r="M27" s="29"/>
      <c r="N27" s="29"/>
      <c r="O27" s="29"/>
      <c r="P27" s="30"/>
      <c r="Q27" s="30"/>
      <c r="R27" s="30"/>
      <c r="S27" s="31">
        <v>61248</v>
      </c>
      <c r="T27" s="31"/>
      <c r="U27" s="31"/>
      <c r="V27" s="31"/>
      <c r="W27" s="31"/>
      <c r="X27" s="32"/>
      <c r="Y27" s="32">
        <v>200</v>
      </c>
      <c r="Z27" s="32"/>
    </row>
    <row r="28" spans="1:26">
      <c r="A28" s="28"/>
      <c r="B28" s="17">
        <f t="shared" si="1"/>
        <v>46148</v>
      </c>
      <c r="C28" s="26">
        <f>I28+J28+K28+L28+M28+N28+O28+IF(P28="",0,P28*サマリー!$B$9)+IF(Q28="",0,IF(Q28=200,サマリー!$B$10,IF(Q28=100,サマリー!$B$11,0)))+IF(R28="",0,R28*サマリー!$B$12)</f>
        <v>18791</v>
      </c>
      <c r="D28" s="26">
        <f>S28+T28+U28+V28+W28+IF(X28="",0,X28*サマリー!$B$9)+IF(Y28="",0,IF(Y28=200,サマリー!$B$10,IF(Y28=100,サマリー!$B$11,0)))+IF(Z28="",0,Z28*サマリー!$B$12)</f>
        <v>0</v>
      </c>
      <c r="E28" s="26">
        <f t="shared" si="2"/>
        <v>18791</v>
      </c>
      <c r="I28" s="29"/>
      <c r="J28" s="29">
        <v>18791</v>
      </c>
      <c r="K28" s="29"/>
      <c r="L28" s="29"/>
      <c r="M28" s="29"/>
      <c r="N28" s="29"/>
      <c r="O28" s="29"/>
      <c r="P28" s="30"/>
      <c r="Q28" s="30"/>
      <c r="R28" s="30"/>
      <c r="S28" s="31"/>
      <c r="T28" s="31"/>
      <c r="U28" s="31"/>
      <c r="V28" s="31"/>
      <c r="W28" s="31"/>
      <c r="X28" s="32"/>
      <c r="Y28" s="32"/>
      <c r="Z28" s="32"/>
    </row>
    <row r="29" spans="1:26">
      <c r="A29" s="28">
        <v>7</v>
      </c>
      <c r="B29" s="17">
        <f t="shared" si="1"/>
        <v>46149</v>
      </c>
      <c r="C29" s="26">
        <f>I29+J29+K29+L29+M29+N29+O29+IF(P29="",0,P29*サマリー!$B$9)+IF(Q29="",0,IF(Q29=200,サマリー!$B$10,IF(Q29=100,サマリー!$B$11,0)))+IF(R29="",0,R29*サマリー!$B$12)</f>
        <v>28319</v>
      </c>
      <c r="D29" s="26">
        <f>S29+T29+U29+V29+W29+IF(X29="",0,X29*サマリー!$B$9)+IF(Y29="",0,IF(Y29=200,サマリー!$B$10,IF(Y29=100,サマリー!$B$11,0)))+IF(Z29="",0,Z29*サマリー!$B$12)</f>
        <v>8600</v>
      </c>
      <c r="E29" s="26">
        <f t="shared" si="2"/>
        <v>36919</v>
      </c>
      <c r="I29" s="29"/>
      <c r="J29" s="29"/>
      <c r="K29" s="29"/>
      <c r="L29" s="29">
        <v>3319</v>
      </c>
      <c r="M29" s="29"/>
      <c r="N29" s="29"/>
      <c r="O29" s="29"/>
      <c r="P29" s="30">
        <v>1</v>
      </c>
      <c r="Q29" s="30"/>
      <c r="R29" s="30"/>
      <c r="S29" s="31"/>
      <c r="T29" s="31">
        <v>8600</v>
      </c>
      <c r="U29" s="31"/>
      <c r="V29" s="31"/>
      <c r="W29" s="31"/>
      <c r="X29" s="32"/>
      <c r="Y29" s="32"/>
      <c r="Z29" s="32"/>
    </row>
    <row r="30" spans="1:26">
      <c r="A30" s="28"/>
      <c r="B30" s="17">
        <f t="shared" si="1"/>
        <v>46149</v>
      </c>
      <c r="C30" s="26">
        <f>I30+J30+K30+L30+M30+N30+O30+IF(P30="",0,P30*サマリー!$B$9)+IF(Q30="",0,IF(Q30=200,サマリー!$B$10,IF(Q30=100,サマリー!$B$11,0)))+IF(R30="",0,R30*サマリー!$B$12)</f>
        <v>0</v>
      </c>
      <c r="D30" s="26">
        <f>S30+T30+U30+V30+W30+IF(X30="",0,X30*サマリー!$B$9)+IF(Y30="",0,IF(Y30=200,サマリー!$B$10,IF(Y30=100,サマリー!$B$11,0)))+IF(Z30="",0,Z30*サマリー!$B$12)</f>
        <v>39960</v>
      </c>
      <c r="E30" s="26">
        <f t="shared" si="2"/>
        <v>39960</v>
      </c>
      <c r="I30" s="29"/>
      <c r="J30" s="29"/>
      <c r="K30" s="29"/>
      <c r="L30" s="29"/>
      <c r="M30" s="29"/>
      <c r="N30" s="29"/>
      <c r="O30" s="29"/>
      <c r="P30" s="30"/>
      <c r="Q30" s="30"/>
      <c r="R30" s="30"/>
      <c r="S30" s="31">
        <v>32719</v>
      </c>
      <c r="T30" s="31"/>
      <c r="U30" s="31"/>
      <c r="V30" s="31"/>
      <c r="W30" s="31"/>
      <c r="X30" s="32"/>
      <c r="Y30" s="32">
        <v>200</v>
      </c>
      <c r="Z30" s="32"/>
    </row>
    <row r="31" spans="1:26">
      <c r="A31" s="28"/>
      <c r="B31" s="17">
        <f t="shared" si="1"/>
        <v>46149</v>
      </c>
      <c r="C31" s="26">
        <f>I31+J31+K31+L31+M31+N31+O31+IF(P31="",0,P31*サマリー!$B$9)+IF(Q31="",0,IF(Q31=200,サマリー!$B$10,IF(Q31=100,サマリー!$B$11,0)))+IF(R31="",0,R31*サマリー!$B$12)</f>
        <v>0</v>
      </c>
      <c r="D31" s="26">
        <f>S31+T31+U31+V31+W31+IF(X31="",0,X31*サマリー!$B$9)+IF(Y31="",0,IF(Y31=200,サマリー!$B$10,IF(Y31=100,サマリー!$B$11,0)))+IF(Z31="",0,Z31*サマリー!$B$12)</f>
        <v>35279</v>
      </c>
      <c r="E31" s="26">
        <f t="shared" si="2"/>
        <v>35279</v>
      </c>
      <c r="I31" s="29"/>
      <c r="J31" s="29"/>
      <c r="K31" s="29"/>
      <c r="L31" s="29"/>
      <c r="M31" s="29"/>
      <c r="N31" s="29"/>
      <c r="O31" s="29"/>
      <c r="P31" s="30"/>
      <c r="Q31" s="30"/>
      <c r="R31" s="30"/>
      <c r="S31" s="31">
        <v>28038</v>
      </c>
      <c r="T31" s="31"/>
      <c r="U31" s="31"/>
      <c r="V31" s="31"/>
      <c r="W31" s="31"/>
      <c r="X31" s="32"/>
      <c r="Y31" s="32">
        <v>200</v>
      </c>
      <c r="Z31" s="32"/>
    </row>
    <row r="32" spans="1:26">
      <c r="A32" s="28">
        <v>8</v>
      </c>
      <c r="B32" s="17">
        <f t="shared" si="1"/>
        <v>46150</v>
      </c>
      <c r="C32" s="26">
        <f>I32+J32+K32+L32+M32+N32+O32+IF(P32="",0,P32*サマリー!$B$9)+IF(Q32="",0,IF(Q32=200,サマリー!$B$10,IF(Q32=100,サマリー!$B$11,0)))+IF(R32="",0,R32*サマリー!$B$12)</f>
        <v>0</v>
      </c>
      <c r="D32" s="26">
        <f>S32+T32+U32+V32+W32+IF(X32="",0,X32*サマリー!$B$9)+IF(Y32="",0,IF(Y32=200,サマリー!$B$10,IF(Y32=100,サマリー!$B$11,0)))+IF(Z32="",0,Z32*サマリー!$B$12)</f>
        <v>12800</v>
      </c>
      <c r="E32" s="26">
        <f t="shared" si="2"/>
        <v>12800</v>
      </c>
      <c r="I32" s="29">
        <v>0</v>
      </c>
      <c r="J32" s="29"/>
      <c r="K32" s="29"/>
      <c r="L32" s="29"/>
      <c r="M32" s="29"/>
      <c r="N32" s="29"/>
      <c r="O32" s="29"/>
      <c r="P32" s="30"/>
      <c r="Q32" s="30"/>
      <c r="R32" s="30"/>
      <c r="S32" s="31"/>
      <c r="T32" s="31"/>
      <c r="U32" s="31"/>
      <c r="V32" s="31">
        <v>12800</v>
      </c>
      <c r="W32" s="31"/>
      <c r="X32" s="32"/>
      <c r="Y32" s="32"/>
      <c r="Z32" s="32"/>
    </row>
    <row r="33" spans="1:26">
      <c r="A33" s="28">
        <v>9</v>
      </c>
      <c r="B33" s="17">
        <f t="shared" si="1"/>
        <v>46151</v>
      </c>
      <c r="C33" s="26">
        <f>I33+J33+K33+L33+M33+N33+O33+IF(P33="",0,P33*サマリー!$B$9)+IF(Q33="",0,IF(Q33=200,サマリー!$B$10,IF(Q33=100,サマリー!$B$11,0)))+IF(R33="",0,R33*サマリー!$B$12)</f>
        <v>4755</v>
      </c>
      <c r="D33" s="26">
        <f>S33+T33+U33+V33+W33+IF(X33="",0,X33*サマリー!$B$9)+IF(Y33="",0,IF(Y33=200,サマリー!$B$10,IF(Y33=100,サマリー!$B$11,0)))+IF(Z33="",0,Z33*サマリー!$B$12)</f>
        <v>0</v>
      </c>
      <c r="E33" s="26">
        <f t="shared" si="2"/>
        <v>4755</v>
      </c>
      <c r="I33" s="29"/>
      <c r="J33" s="29">
        <v>4755</v>
      </c>
      <c r="K33" s="29"/>
      <c r="L33" s="29"/>
      <c r="M33" s="29"/>
      <c r="N33" s="29"/>
      <c r="O33" s="29"/>
      <c r="P33" s="30"/>
      <c r="Q33" s="30"/>
      <c r="R33" s="30"/>
      <c r="S33" s="31"/>
      <c r="T33" s="31"/>
      <c r="U33" s="31"/>
      <c r="V33" s="31"/>
      <c r="W33" s="31"/>
      <c r="X33" s="32"/>
      <c r="Y33" s="32"/>
      <c r="Z33" s="32"/>
    </row>
    <row r="34" spans="1:26">
      <c r="A34" s="28">
        <v>10</v>
      </c>
      <c r="B34" s="17">
        <f t="shared" si="1"/>
        <v>46152</v>
      </c>
      <c r="C34" s="26">
        <f>I34+J34+K34+L34+M34+N34+O34+IF(P34="",0,P34*サマリー!$B$9)+IF(Q34="",0,IF(Q34=200,サマリー!$B$10,IF(Q34=100,サマリー!$B$11,0)))+IF(R34="",0,R34*サマリー!$B$12)</f>
        <v>0</v>
      </c>
      <c r="D34" s="26">
        <f>S34+T34+U34+V34+W34+IF(X34="",0,X34*サマリー!$B$9)+IF(Y34="",0,IF(Y34=200,サマリー!$B$10,IF(Y34=100,サマリー!$B$11,0)))+IF(Z34="",0,Z34*サマリー!$B$12)</f>
        <v>533336</v>
      </c>
      <c r="E34" s="26">
        <f t="shared" si="2"/>
        <v>533336</v>
      </c>
      <c r="I34" s="29"/>
      <c r="J34" s="29"/>
      <c r="K34" s="29"/>
      <c r="L34" s="29"/>
      <c r="M34" s="29"/>
      <c r="N34" s="29"/>
      <c r="O34" s="29"/>
      <c r="P34" s="30"/>
      <c r="Q34" s="30"/>
      <c r="R34" s="30"/>
      <c r="S34" s="31">
        <v>506638</v>
      </c>
      <c r="T34" s="31"/>
      <c r="U34" s="31"/>
      <c r="V34" s="31">
        <v>22319</v>
      </c>
      <c r="W34" s="31"/>
      <c r="X34" s="32"/>
      <c r="Y34" s="32">
        <v>100</v>
      </c>
      <c r="Z34" s="32"/>
    </row>
    <row r="35" spans="1:26">
      <c r="A35" s="28"/>
      <c r="B35" s="17">
        <f t="shared" si="1"/>
        <v>46152</v>
      </c>
      <c r="C35" s="26">
        <f>I35+J35+K35+L35+M35+N35+O35+IF(P35="",0,P35*サマリー!$B$9)+IF(Q35="",0,IF(Q35=200,サマリー!$B$10,IF(Q35=100,サマリー!$B$11,0)))+IF(R35="",0,R35*サマリー!$B$12)</f>
        <v>31760</v>
      </c>
      <c r="D35" s="26">
        <f>S35+T35+U35+V35+W35+IF(X35="",0,X35*サマリー!$B$9)+IF(Y35="",0,IF(Y35=200,サマリー!$B$10,IF(Y35=100,サマリー!$B$11,0)))+IF(Z35="",0,Z35*サマリー!$B$12)</f>
        <v>0</v>
      </c>
      <c r="E35" s="26">
        <f t="shared" si="2"/>
        <v>31760</v>
      </c>
      <c r="I35" s="29">
        <v>24519</v>
      </c>
      <c r="J35" s="29"/>
      <c r="K35" s="29"/>
      <c r="L35" s="29"/>
      <c r="M35" s="29"/>
      <c r="N35" s="29"/>
      <c r="O35" s="29"/>
      <c r="P35" s="30"/>
      <c r="Q35" s="30">
        <v>200</v>
      </c>
      <c r="R35" s="30"/>
      <c r="S35" s="31"/>
      <c r="T35" s="31"/>
      <c r="U35" s="31"/>
      <c r="V35" s="31"/>
      <c r="W35" s="31"/>
      <c r="X35" s="32"/>
      <c r="Y35" s="32"/>
      <c r="Z35" s="32"/>
    </row>
    <row r="36" spans="1:26">
      <c r="A36" s="28"/>
      <c r="B36" s="17">
        <f t="shared" si="1"/>
        <v>46152</v>
      </c>
      <c r="C36" s="26">
        <f>I36+J36+K36+L36+M36+N36+O36+IF(P36="",0,P36*サマリー!$B$9)+IF(Q36="",0,IF(Q36=200,サマリー!$B$10,IF(Q36=100,サマリー!$B$11,0)))+IF(R36="",0,R36*サマリー!$B$12)</f>
        <v>0</v>
      </c>
      <c r="D36" s="26">
        <f>S36+T36+U36+V36+W36+IF(X36="",0,X36*サマリー!$B$9)+IF(Y36="",0,IF(Y36=200,サマリー!$B$10,IF(Y36=100,サマリー!$B$11,0)))+IF(Z36="",0,Z36*サマリー!$B$12)</f>
        <v>2200</v>
      </c>
      <c r="E36" s="26">
        <f t="shared" si="2"/>
        <v>2200</v>
      </c>
      <c r="I36" s="29"/>
      <c r="J36" s="29"/>
      <c r="K36" s="29"/>
      <c r="L36" s="29"/>
      <c r="M36" s="29"/>
      <c r="N36" s="29"/>
      <c r="O36" s="29"/>
      <c r="P36" s="30"/>
      <c r="Q36" s="30"/>
      <c r="R36" s="30"/>
      <c r="S36" s="31"/>
      <c r="T36" s="31">
        <v>2200</v>
      </c>
      <c r="U36" s="31"/>
      <c r="V36" s="31"/>
      <c r="W36" s="31"/>
      <c r="X36" s="32"/>
      <c r="Y36" s="32"/>
      <c r="Z36" s="32"/>
    </row>
    <row r="37" spans="1:26">
      <c r="A37" s="28"/>
      <c r="B37" s="17">
        <f t="shared" si="1"/>
        <v>46152</v>
      </c>
      <c r="C37" s="26">
        <f>I37+J37+K37+L37+M37+N37+O37+IF(P37="",0,P37*サマリー!$B$9)+IF(Q37="",0,IF(Q37=200,サマリー!$B$10,IF(Q37=100,サマリー!$B$11,0)))+IF(R37="",0,R37*サマリー!$B$12)</f>
        <v>0</v>
      </c>
      <c r="D37" s="26">
        <f>S37+T37+U37+V37+W37+IF(X37="",0,X37*サマリー!$B$9)+IF(Y37="",0,IF(Y37=200,サマリー!$B$10,IF(Y37=100,サマリー!$B$11,0)))+IF(Z37="",0,Z37*サマリー!$B$12)</f>
        <v>4200</v>
      </c>
      <c r="E37" s="26">
        <f t="shared" si="2"/>
        <v>4200</v>
      </c>
      <c r="I37" s="29"/>
      <c r="J37" s="29"/>
      <c r="K37" s="29"/>
      <c r="L37" s="29"/>
      <c r="M37" s="29"/>
      <c r="N37" s="29"/>
      <c r="O37" s="29"/>
      <c r="P37" s="30"/>
      <c r="Q37" s="30"/>
      <c r="R37" s="30"/>
      <c r="S37" s="31"/>
      <c r="T37" s="31">
        <v>4200</v>
      </c>
      <c r="U37" s="31"/>
      <c r="V37" s="31"/>
      <c r="W37" s="31"/>
      <c r="X37" s="32"/>
      <c r="Y37" s="32"/>
      <c r="Z37" s="32"/>
    </row>
    <row r="38" spans="1:26">
      <c r="A38" s="28"/>
      <c r="B38" s="17">
        <f t="shared" si="1"/>
        <v>46152</v>
      </c>
      <c r="C38" s="26">
        <f>I38+J38+K38+L38+M38+N38+O38+IF(P38="",0,P38*サマリー!$B$9)+IF(Q38="",0,IF(Q38=200,サマリー!$B$10,IF(Q38=100,サマリー!$B$11,0)))+IF(R38="",0,R38*サマリー!$B$12)</f>
        <v>0</v>
      </c>
      <c r="D38" s="26">
        <f>S38+T38+U38+V38+W38+IF(X38="",0,X38*サマリー!$B$9)+IF(Y38="",0,IF(Y38=200,サマリー!$B$10,IF(Y38=100,サマリー!$B$11,0)))+IF(Z38="",0,Z38*サマリー!$B$12)</f>
        <v>4400</v>
      </c>
      <c r="E38" s="26">
        <f t="shared" si="2"/>
        <v>4400</v>
      </c>
      <c r="I38" s="29"/>
      <c r="J38" s="29"/>
      <c r="K38" s="29"/>
      <c r="L38" s="29"/>
      <c r="M38" s="29"/>
      <c r="N38" s="29"/>
      <c r="O38" s="29"/>
      <c r="P38" s="30"/>
      <c r="Q38" s="30"/>
      <c r="R38" s="30"/>
      <c r="S38" s="31"/>
      <c r="T38" s="31">
        <v>4400</v>
      </c>
      <c r="U38" s="31"/>
      <c r="V38" s="31"/>
      <c r="W38" s="31"/>
      <c r="X38" s="32"/>
      <c r="Y38" s="32"/>
      <c r="Z38" s="32"/>
    </row>
    <row r="39" spans="1:26">
      <c r="A39" s="28"/>
      <c r="B39" s="17">
        <f t="shared" ref="B39:B70" si="3">IF(A39="",B38,IF(A39&lt;DAY(B38),DATE(YEAR(B38),MONTH(B38)+1,A39),DATE(YEAR(B38),MONTH(B38),A39)))</f>
        <v>46152</v>
      </c>
      <c r="C39" s="26">
        <f>I39+J39+K39+L39+M39+N39+O39+IF(P39="",0,P39*サマリー!$B$9)+IF(Q39="",0,IF(Q39=200,サマリー!$B$10,IF(Q39=100,サマリー!$B$11,0)))+IF(R39="",0,R39*サマリー!$B$12)</f>
        <v>0</v>
      </c>
      <c r="D39" s="26">
        <f>S39+T39+U39+V39+W39+IF(X39="",0,X39*サマリー!$B$9)+IF(Y39="",0,IF(Y39=200,サマリー!$B$10,IF(Y39=100,サマリー!$B$11,0)))+IF(Z39="",0,Z39*サマリー!$B$12)</f>
        <v>32853</v>
      </c>
      <c r="E39" s="26">
        <f t="shared" ref="E39:E69" si="4">C39+D39</f>
        <v>32853</v>
      </c>
      <c r="I39" s="29"/>
      <c r="J39" s="29"/>
      <c r="K39" s="29"/>
      <c r="L39" s="29"/>
      <c r="M39" s="29"/>
      <c r="N39" s="29"/>
      <c r="O39" s="29"/>
      <c r="P39" s="30"/>
      <c r="Q39" s="30"/>
      <c r="R39" s="30"/>
      <c r="S39" s="31">
        <v>28474</v>
      </c>
      <c r="T39" s="31"/>
      <c r="U39" s="31"/>
      <c r="V39" s="31"/>
      <c r="W39" s="31"/>
      <c r="X39" s="32"/>
      <c r="Y39" s="32">
        <v>100</v>
      </c>
      <c r="Z39" s="32"/>
    </row>
    <row r="40" spans="1:26">
      <c r="A40" s="28">
        <v>11</v>
      </c>
      <c r="B40" s="17">
        <f t="shared" si="3"/>
        <v>46153</v>
      </c>
      <c r="C40" s="26">
        <f>I40+J40+K40+L40+M40+N40+O40+IF(P40="",0,P40*サマリー!$B$9)+IF(Q40="",0,IF(Q40=200,サマリー!$B$10,IF(Q40=100,サマリー!$B$11,0)))+IF(R40="",0,R40*サマリー!$B$12)</f>
        <v>0</v>
      </c>
      <c r="D40" s="26">
        <f>S40+T40+U40+V40+W40+IF(X40="",0,X40*サマリー!$B$9)+IF(Y40="",0,IF(Y40=200,サマリー!$B$10,IF(Y40=100,サマリー!$B$11,0)))+IF(Z40="",0,Z40*サマリー!$B$12)</f>
        <v>59255</v>
      </c>
      <c r="E40" s="26">
        <f t="shared" si="4"/>
        <v>59255</v>
      </c>
      <c r="I40" s="29"/>
      <c r="J40" s="29"/>
      <c r="K40" s="29"/>
      <c r="L40" s="29"/>
      <c r="M40" s="29"/>
      <c r="N40" s="29"/>
      <c r="O40" s="29"/>
      <c r="P40" s="30"/>
      <c r="Q40" s="30"/>
      <c r="R40" s="30"/>
      <c r="S40" s="31">
        <v>40357</v>
      </c>
      <c r="T40" s="31"/>
      <c r="U40" s="31"/>
      <c r="V40" s="31">
        <v>14519</v>
      </c>
      <c r="W40" s="31"/>
      <c r="X40" s="32"/>
      <c r="Y40" s="32">
        <v>100</v>
      </c>
      <c r="Z40" s="32"/>
    </row>
    <row r="41" spans="1:26">
      <c r="A41" s="28"/>
      <c r="B41" s="17">
        <f t="shared" si="3"/>
        <v>46153</v>
      </c>
      <c r="C41" s="26">
        <f>I41+J41+K41+L41+M41+N41+O41+IF(P41="",0,P41*サマリー!$B$9)+IF(Q41="",0,IF(Q41=200,サマリー!$B$10,IF(Q41=100,サマリー!$B$11,0)))+IF(R41="",0,R41*サマリー!$B$12)</f>
        <v>22355</v>
      </c>
      <c r="D41" s="26">
        <f>S41+T41+U41+V41+W41+IF(X41="",0,X41*サマリー!$B$9)+IF(Y41="",0,IF(Y41=200,サマリー!$B$10,IF(Y41=100,サマリー!$B$11,0)))+IF(Z41="",0,Z41*サマリー!$B$12)</f>
        <v>0</v>
      </c>
      <c r="E41" s="26">
        <f t="shared" si="4"/>
        <v>22355</v>
      </c>
      <c r="I41" s="29"/>
      <c r="J41" s="29">
        <v>22355</v>
      </c>
      <c r="K41" s="29"/>
      <c r="L41" s="29"/>
      <c r="M41" s="29"/>
      <c r="N41" s="29"/>
      <c r="O41" s="29"/>
      <c r="P41" s="30"/>
      <c r="Q41" s="30"/>
      <c r="R41" s="30"/>
      <c r="S41" s="31"/>
      <c r="T41" s="31"/>
      <c r="U41" s="31"/>
      <c r="V41" s="31"/>
      <c r="W41" s="31"/>
      <c r="X41" s="32"/>
      <c r="Y41" s="32"/>
      <c r="Z41" s="32"/>
    </row>
    <row r="42" spans="1:26">
      <c r="A42" s="28"/>
      <c r="B42" s="17">
        <f t="shared" si="3"/>
        <v>46153</v>
      </c>
      <c r="C42" s="26">
        <f>I42+J42+K42+L42+M42+N42+O42+IF(P42="",0,P42*サマリー!$B$9)+IF(Q42="",0,IF(Q42=200,サマリー!$B$10,IF(Q42=100,サマリー!$B$11,0)))+IF(R42="",0,R42*サマリー!$B$12)</f>
        <v>0</v>
      </c>
      <c r="D42" s="26">
        <f>S42+T42+U42+V42+W42+IF(X42="",0,X42*サマリー!$B$9)+IF(Y42="",0,IF(Y42=200,サマリー!$B$10,IF(Y42=100,サマリー!$B$11,0)))+IF(Z42="",0,Z42*サマリー!$B$12)</f>
        <v>25172</v>
      </c>
      <c r="E42" s="26">
        <f t="shared" si="4"/>
        <v>25172</v>
      </c>
      <c r="I42" s="29"/>
      <c r="J42" s="29"/>
      <c r="K42" s="29"/>
      <c r="L42" s="29"/>
      <c r="M42" s="29"/>
      <c r="N42" s="29"/>
      <c r="O42" s="29"/>
      <c r="P42" s="30"/>
      <c r="Q42" s="30"/>
      <c r="R42" s="30"/>
      <c r="S42" s="31"/>
      <c r="T42" s="31">
        <v>18250</v>
      </c>
      <c r="U42" s="31">
        <v>6922</v>
      </c>
      <c r="V42" s="31"/>
      <c r="W42" s="31"/>
      <c r="X42" s="32"/>
      <c r="Y42" s="32"/>
      <c r="Z42" s="32"/>
    </row>
    <row r="43" spans="1:26">
      <c r="A43" s="28">
        <v>12</v>
      </c>
      <c r="B43" s="17">
        <f t="shared" si="3"/>
        <v>46154</v>
      </c>
      <c r="C43" s="26">
        <f>I43+J43+K43+L43+M43+N43+O43+IF(P43="",0,P43*サマリー!$B$9)+IF(Q43="",0,IF(Q43=200,サマリー!$B$10,IF(Q43=100,サマリー!$B$11,0)))+IF(R43="",0,R43*サマリー!$B$12)</f>
        <v>0</v>
      </c>
      <c r="D43" s="26">
        <f>S43+T43+U43+V43+W43+IF(X43="",0,X43*サマリー!$B$9)+IF(Y43="",0,IF(Y43=200,サマリー!$B$10,IF(Y43=100,サマリー!$B$11,0)))+IF(Z43="",0,Z43*サマリー!$B$12)</f>
        <v>43752</v>
      </c>
      <c r="E43" s="26">
        <f t="shared" si="4"/>
        <v>43752</v>
      </c>
      <c r="I43" s="29"/>
      <c r="J43" s="29"/>
      <c r="K43" s="29"/>
      <c r="L43" s="29"/>
      <c r="M43" s="29"/>
      <c r="N43" s="29"/>
      <c r="O43" s="29"/>
      <c r="P43" s="30"/>
      <c r="Q43" s="30"/>
      <c r="R43" s="30"/>
      <c r="S43" s="31">
        <v>36511</v>
      </c>
      <c r="T43" s="31"/>
      <c r="U43" s="31"/>
      <c r="V43" s="31"/>
      <c r="W43" s="31"/>
      <c r="X43" s="32"/>
      <c r="Y43" s="32">
        <v>200</v>
      </c>
      <c r="Z43" s="32"/>
    </row>
    <row r="44" spans="1:26">
      <c r="A44" s="28"/>
      <c r="B44" s="17">
        <f t="shared" si="3"/>
        <v>46154</v>
      </c>
      <c r="C44" s="26">
        <f>I44+J44+K44+L44+M44+N44+O44+IF(P44="",0,P44*サマリー!$B$9)+IF(Q44="",0,IF(Q44=200,サマリー!$B$10,IF(Q44=100,サマリー!$B$11,0)))+IF(R44="",0,R44*サマリー!$B$12)</f>
        <v>0</v>
      </c>
      <c r="D44" s="26">
        <f>S44+T44+U44+V44+W44+IF(X44="",0,X44*サマリー!$B$9)+IF(Y44="",0,IF(Y44=200,サマリー!$B$10,IF(Y44=100,サマリー!$B$11,0)))+IF(Z44="",0,Z44*サマリー!$B$12)</f>
        <v>2200</v>
      </c>
      <c r="E44" s="26">
        <f t="shared" si="4"/>
        <v>2200</v>
      </c>
      <c r="I44" s="29"/>
      <c r="J44" s="29"/>
      <c r="K44" s="29"/>
      <c r="L44" s="29"/>
      <c r="M44" s="29"/>
      <c r="N44" s="29"/>
      <c r="O44" s="29"/>
      <c r="P44" s="30"/>
      <c r="Q44" s="30"/>
      <c r="R44" s="30"/>
      <c r="S44" s="31"/>
      <c r="T44" s="31">
        <v>2200</v>
      </c>
      <c r="U44" s="31"/>
      <c r="V44" s="31"/>
      <c r="W44" s="31"/>
      <c r="X44" s="32"/>
      <c r="Y44" s="32"/>
      <c r="Z44" s="32"/>
    </row>
    <row r="45" spans="1:26">
      <c r="A45" s="28"/>
      <c r="B45" s="17">
        <f t="shared" si="3"/>
        <v>46154</v>
      </c>
      <c r="C45" s="26">
        <f>I45+J45+K45+L45+M45+N45+O45+IF(P45="",0,P45*サマリー!$B$9)+IF(Q45="",0,IF(Q45=200,サマリー!$B$10,IF(Q45=100,サマリー!$B$11,0)))+IF(R45="",0,R45*サマリー!$B$12)</f>
        <v>0</v>
      </c>
      <c r="D45" s="26">
        <f>S45+T45+U45+V45+W45+IF(X45="",0,X45*サマリー!$B$9)+IF(Y45="",0,IF(Y45=200,サマリー!$B$10,IF(Y45=100,サマリー!$B$11,0)))+IF(Z45="",0,Z45*サマリー!$B$12)</f>
        <v>11000</v>
      </c>
      <c r="E45" s="26">
        <f t="shared" si="4"/>
        <v>11000</v>
      </c>
      <c r="I45" s="29"/>
      <c r="J45" s="29"/>
      <c r="K45" s="29"/>
      <c r="L45" s="29"/>
      <c r="M45" s="29"/>
      <c r="N45" s="29"/>
      <c r="O45" s="29"/>
      <c r="P45" s="30"/>
      <c r="Q45" s="30"/>
      <c r="R45" s="30"/>
      <c r="S45" s="31">
        <v>11000</v>
      </c>
      <c r="T45" s="31"/>
      <c r="U45" s="31"/>
      <c r="V45" s="31"/>
      <c r="W45" s="31"/>
      <c r="X45" s="32"/>
      <c r="Y45" s="32"/>
      <c r="Z45" s="32"/>
    </row>
    <row r="46" spans="1:26">
      <c r="A46" s="28">
        <v>13</v>
      </c>
      <c r="B46" s="17">
        <f t="shared" si="3"/>
        <v>46155</v>
      </c>
      <c r="C46" s="26">
        <f>I46+J46+K46+L46+M46+N46+O46+IF(P46="",0,P46*サマリー!$B$9)+IF(Q46="",0,IF(Q46=200,サマリー!$B$10,IF(Q46=100,サマリー!$B$11,0)))+IF(R46="",0,R46*サマリー!$B$12)</f>
        <v>0</v>
      </c>
      <c r="D46" s="26">
        <f>S46+T46+U46+V46+W46+IF(X46="",0,X46*サマリー!$B$9)+IF(Y46="",0,IF(Y46=200,サマリー!$B$10,IF(Y46=100,サマリー!$B$11,0)))+IF(Z46="",0,Z46*サマリー!$B$12)</f>
        <v>0</v>
      </c>
      <c r="E46" s="26">
        <f t="shared" si="4"/>
        <v>0</v>
      </c>
      <c r="I46" s="29">
        <v>0</v>
      </c>
      <c r="J46" s="29"/>
      <c r="K46" s="29"/>
      <c r="L46" s="29"/>
      <c r="M46" s="29"/>
      <c r="N46" s="29"/>
      <c r="O46" s="29"/>
      <c r="P46" s="30"/>
      <c r="Q46" s="30"/>
      <c r="R46" s="30"/>
      <c r="S46" s="31"/>
      <c r="T46" s="31"/>
      <c r="U46" s="31"/>
      <c r="V46" s="31"/>
      <c r="W46" s="31"/>
      <c r="X46" s="32"/>
      <c r="Y46" s="32"/>
      <c r="Z46" s="32"/>
    </row>
    <row r="47" spans="1:26">
      <c r="A47" s="28">
        <v>14</v>
      </c>
      <c r="B47" s="17">
        <f t="shared" si="3"/>
        <v>46156</v>
      </c>
      <c r="C47" s="26">
        <f>I47+J47+K47+L47+M47+N47+O47+IF(P47="",0,P47*サマリー!$B$9)+IF(Q47="",0,IF(Q47=200,サマリー!$B$10,IF(Q47=100,サマリー!$B$11,0)))+IF(R47="",0,R47*サマリー!$B$12)</f>
        <v>2200</v>
      </c>
      <c r="D47" s="26">
        <f>S47+T47+U47+V47+W47+IF(X47="",0,X47*サマリー!$B$9)+IF(Y47="",0,IF(Y47=200,サマリー!$B$10,IF(Y47=100,サマリー!$B$11,0)))+IF(Z47="",0,Z47*サマリー!$B$12)</f>
        <v>0</v>
      </c>
      <c r="E47" s="26">
        <f t="shared" si="4"/>
        <v>2200</v>
      </c>
      <c r="I47" s="29"/>
      <c r="J47" s="29">
        <v>2200</v>
      </c>
      <c r="K47" s="29"/>
      <c r="L47" s="29"/>
      <c r="M47" s="29"/>
      <c r="N47" s="29"/>
      <c r="O47" s="29"/>
      <c r="P47" s="30"/>
      <c r="Q47" s="30"/>
      <c r="R47" s="30"/>
      <c r="S47" s="31"/>
      <c r="T47" s="31"/>
      <c r="U47" s="31"/>
      <c r="V47" s="31"/>
      <c r="W47" s="31"/>
      <c r="X47" s="32"/>
      <c r="Y47" s="32"/>
      <c r="Z47" s="32"/>
    </row>
    <row r="48" spans="1:26">
      <c r="A48" s="28"/>
      <c r="B48" s="17">
        <f t="shared" si="3"/>
        <v>46156</v>
      </c>
      <c r="C48" s="26">
        <f>I48+J48+K48+L48+M48+N48+O48+IF(P48="",0,P48*サマリー!$B$9)+IF(Q48="",0,IF(Q48=200,サマリー!$B$10,IF(Q48=100,サマリー!$B$11,0)))+IF(R48="",0,R48*サマリー!$B$12)</f>
        <v>0</v>
      </c>
      <c r="D48" s="26">
        <f>S48+T48+U48+V48+W48+IF(X48="",0,X48*サマリー!$B$9)+IF(Y48="",0,IF(Y48=200,サマリー!$B$10,IF(Y48=100,サマリー!$B$11,0)))+IF(Z48="",0,Z48*サマリー!$B$12)</f>
        <v>3300</v>
      </c>
      <c r="E48" s="26">
        <f t="shared" si="4"/>
        <v>3300</v>
      </c>
      <c r="I48" s="29"/>
      <c r="J48" s="29"/>
      <c r="K48" s="29"/>
      <c r="L48" s="29"/>
      <c r="M48" s="29"/>
      <c r="N48" s="29"/>
      <c r="O48" s="29"/>
      <c r="P48" s="30"/>
      <c r="Q48" s="30"/>
      <c r="R48" s="30"/>
      <c r="S48" s="31"/>
      <c r="T48" s="31">
        <v>3300</v>
      </c>
      <c r="U48" s="31"/>
      <c r="V48" s="31"/>
      <c r="W48" s="31"/>
      <c r="X48" s="32"/>
      <c r="Y48" s="32"/>
      <c r="Z48" s="32"/>
    </row>
    <row r="49" spans="1:26">
      <c r="A49" s="28"/>
      <c r="B49" s="17">
        <f t="shared" si="3"/>
        <v>46156</v>
      </c>
      <c r="C49" s="26">
        <f>I49+J49+K49+L49+M49+N49+O49+IF(P49="",0,P49*サマリー!$B$9)+IF(Q49="",0,IF(Q49=200,サマリー!$B$10,IF(Q49=100,サマリー!$B$11,0)))+IF(R49="",0,R49*サマリー!$B$12)</f>
        <v>0</v>
      </c>
      <c r="D49" s="26">
        <f>S49+T49+U49+V49+W49+IF(X49="",0,X49*サマリー!$B$9)+IF(Y49="",0,IF(Y49=200,サマリー!$B$10,IF(Y49=100,サマリー!$B$11,0)))+IF(Z49="",0,Z49*サマリー!$B$12)</f>
        <v>63679</v>
      </c>
      <c r="E49" s="26">
        <f t="shared" si="4"/>
        <v>63679</v>
      </c>
      <c r="I49" s="29"/>
      <c r="J49" s="29"/>
      <c r="K49" s="29"/>
      <c r="L49" s="29"/>
      <c r="M49" s="29"/>
      <c r="N49" s="29"/>
      <c r="O49" s="29"/>
      <c r="P49" s="30"/>
      <c r="Q49" s="30"/>
      <c r="R49" s="30"/>
      <c r="S49" s="31">
        <v>56438</v>
      </c>
      <c r="T49" s="31"/>
      <c r="U49" s="31"/>
      <c r="V49" s="31"/>
      <c r="W49" s="31"/>
      <c r="X49" s="32"/>
      <c r="Y49" s="32">
        <v>200</v>
      </c>
      <c r="Z49" s="32"/>
    </row>
    <row r="50" spans="1:26">
      <c r="A50" s="28"/>
      <c r="B50" s="17">
        <f t="shared" si="3"/>
        <v>46156</v>
      </c>
      <c r="C50" s="26">
        <f>I50+J50+K50+L50+M50+N50+O50+IF(P50="",0,P50*サマリー!$B$9)+IF(Q50="",0,IF(Q50=200,サマリー!$B$10,IF(Q50=100,サマリー!$B$11,0)))+IF(R50="",0,R50*サマリー!$B$12)</f>
        <v>0</v>
      </c>
      <c r="D50" s="26">
        <f>S50+T50+U50+V50+W50+IF(X50="",0,X50*サマリー!$B$9)+IF(Y50="",0,IF(Y50=200,サマリー!$B$10,IF(Y50=100,サマリー!$B$11,0)))+IF(Z50="",0,Z50*サマリー!$B$12)</f>
        <v>42960</v>
      </c>
      <c r="E50" s="26">
        <f t="shared" si="4"/>
        <v>42960</v>
      </c>
      <c r="I50" s="29"/>
      <c r="J50" s="29"/>
      <c r="K50" s="29"/>
      <c r="L50" s="29"/>
      <c r="M50" s="29"/>
      <c r="N50" s="29"/>
      <c r="O50" s="29"/>
      <c r="P50" s="30"/>
      <c r="Q50" s="30"/>
      <c r="R50" s="30"/>
      <c r="S50" s="31">
        <v>35719</v>
      </c>
      <c r="T50" s="31"/>
      <c r="U50" s="31"/>
      <c r="V50" s="31"/>
      <c r="W50" s="31"/>
      <c r="X50" s="32"/>
      <c r="Y50" s="32">
        <v>200</v>
      </c>
      <c r="Z50" s="32"/>
    </row>
    <row r="51" spans="1:26">
      <c r="A51" s="28">
        <v>15</v>
      </c>
      <c r="B51" s="17">
        <f t="shared" si="3"/>
        <v>46157</v>
      </c>
      <c r="C51" s="26">
        <f>I51+J51+K51+L51+M51+N51+O51+IF(P51="",0,P51*サマリー!$B$9)+IF(Q51="",0,IF(Q51=200,サマリー!$B$10,IF(Q51=100,サマリー!$B$11,0)))+IF(R51="",0,R51*サマリー!$B$12)</f>
        <v>5855</v>
      </c>
      <c r="D51" s="26">
        <f>S51+T51+U51+V51+W51+IF(X51="",0,X51*サマリー!$B$9)+IF(Y51="",0,IF(Y51=200,サマリー!$B$10,IF(Y51=100,サマリー!$B$11,0)))+IF(Z51="",0,Z51*サマリー!$B$12)</f>
        <v>0</v>
      </c>
      <c r="E51" s="26">
        <f t="shared" si="4"/>
        <v>5855</v>
      </c>
      <c r="I51" s="29"/>
      <c r="J51" s="29">
        <v>5855</v>
      </c>
      <c r="K51" s="29"/>
      <c r="L51" s="29"/>
      <c r="M51" s="29"/>
      <c r="N51" s="29"/>
      <c r="O51" s="29"/>
      <c r="P51" s="30"/>
      <c r="Q51" s="30"/>
      <c r="R51" s="30"/>
      <c r="S51" s="31"/>
      <c r="T51" s="31"/>
      <c r="U51" s="31"/>
      <c r="V51" s="31"/>
      <c r="W51" s="31"/>
      <c r="X51" s="32"/>
      <c r="Y51" s="32"/>
      <c r="Z51" s="32"/>
    </row>
    <row r="52" spans="1:26">
      <c r="A52" s="28"/>
      <c r="B52" s="17">
        <f t="shared" si="3"/>
        <v>46157</v>
      </c>
      <c r="C52" s="26">
        <f>I52+J52+K52+L52+M52+N52+O52+IF(P52="",0,P52*サマリー!$B$9)+IF(Q52="",0,IF(Q52=200,サマリー!$B$10,IF(Q52=100,サマリー!$B$11,0)))+IF(R52="",0,R52*サマリー!$B$12)</f>
        <v>1655</v>
      </c>
      <c r="D52" s="26">
        <f>S52+T52+U52+V52+W52+IF(X52="",0,X52*サマリー!$B$9)+IF(Y52="",0,IF(Y52=200,サマリー!$B$10,IF(Y52=100,サマリー!$B$11,0)))+IF(Z52="",0,Z52*サマリー!$B$12)</f>
        <v>0</v>
      </c>
      <c r="E52" s="26">
        <f t="shared" si="4"/>
        <v>1655</v>
      </c>
      <c r="I52" s="29"/>
      <c r="J52" s="29">
        <v>1655</v>
      </c>
      <c r="K52" s="29"/>
      <c r="L52" s="29"/>
      <c r="M52" s="29"/>
      <c r="N52" s="29"/>
      <c r="O52" s="29"/>
      <c r="P52" s="30"/>
      <c r="Q52" s="30"/>
      <c r="R52" s="30"/>
      <c r="S52" s="31"/>
      <c r="T52" s="31"/>
      <c r="U52" s="31"/>
      <c r="V52" s="31"/>
      <c r="W52" s="31"/>
      <c r="X52" s="32"/>
      <c r="Y52" s="32"/>
      <c r="Z52" s="32"/>
    </row>
    <row r="53" spans="1:26">
      <c r="A53" s="28"/>
      <c r="B53" s="17">
        <f t="shared" si="3"/>
        <v>46157</v>
      </c>
      <c r="C53" s="26">
        <f>I53+J53+K53+L53+M53+N53+O53+IF(P53="",0,P53*サマリー!$B$9)+IF(Q53="",0,IF(Q53=200,サマリー!$B$10,IF(Q53=100,サマリー!$B$11,0)))+IF(R53="",0,R53*サマリー!$B$12)</f>
        <v>55360</v>
      </c>
      <c r="D53" s="26">
        <f>S53+T53+U53+V53+W53+IF(X53="",0,X53*サマリー!$B$9)+IF(Y53="",0,IF(Y53=200,サマリー!$B$10,IF(Y53=100,サマリー!$B$11,0)))+IF(Z53="",0,Z53*サマリー!$B$12)</f>
        <v>0</v>
      </c>
      <c r="E53" s="26">
        <f t="shared" si="4"/>
        <v>55360</v>
      </c>
      <c r="I53" s="29">
        <v>48119</v>
      </c>
      <c r="J53" s="29"/>
      <c r="K53" s="29"/>
      <c r="L53" s="29"/>
      <c r="M53" s="29"/>
      <c r="N53" s="29"/>
      <c r="O53" s="29"/>
      <c r="P53" s="30"/>
      <c r="Q53" s="30">
        <v>200</v>
      </c>
      <c r="R53" s="30"/>
      <c r="S53" s="31"/>
      <c r="T53" s="31"/>
      <c r="U53" s="31"/>
      <c r="V53" s="31"/>
      <c r="W53" s="31"/>
      <c r="X53" s="32"/>
      <c r="Y53" s="32"/>
      <c r="Z53" s="32"/>
    </row>
    <row r="54" spans="1:26">
      <c r="A54" s="28">
        <v>16</v>
      </c>
      <c r="B54" s="17">
        <f t="shared" si="3"/>
        <v>46158</v>
      </c>
      <c r="C54" s="26">
        <f>I54+J54+K54+L54+M54+N54+O54+IF(P54="",0,P54*サマリー!$B$9)+IF(Q54="",0,IF(Q54=200,サマリー!$B$10,IF(Q54=100,サマリー!$B$11,0)))+IF(R54="",0,R54*サマリー!$B$12)</f>
        <v>63330</v>
      </c>
      <c r="D54" s="26">
        <f>S54+T54+U54+V54+W54+IF(X54="",0,X54*サマリー!$B$9)+IF(Y54="",0,IF(Y54=200,サマリー!$B$10,IF(Y54=100,サマリー!$B$11,0)))+IF(Z54="",0,Z54*サマリー!$B$12)</f>
        <v>0</v>
      </c>
      <c r="E54" s="26">
        <f t="shared" si="4"/>
        <v>63330</v>
      </c>
      <c r="I54" s="29">
        <v>24570</v>
      </c>
      <c r="J54" s="29"/>
      <c r="K54" s="29">
        <v>24241</v>
      </c>
      <c r="L54" s="29"/>
      <c r="M54" s="29"/>
      <c r="N54" s="29">
        <v>14519</v>
      </c>
      <c r="O54" s="29"/>
      <c r="P54" s="30"/>
      <c r="Q54" s="30"/>
      <c r="R54" s="30"/>
      <c r="S54" s="31"/>
      <c r="T54" s="31"/>
      <c r="U54" s="31"/>
      <c r="V54" s="31"/>
      <c r="W54" s="31"/>
      <c r="X54" s="32"/>
      <c r="Y54" s="32"/>
      <c r="Z54" s="32"/>
    </row>
    <row r="55" spans="1:26">
      <c r="A55" s="28"/>
      <c r="B55" s="17">
        <f t="shared" si="3"/>
        <v>46158</v>
      </c>
      <c r="C55" s="26">
        <f>I55+J55+K55+L55+M55+N55+O55+IF(P55="",0,P55*サマリー!$B$9)+IF(Q55="",0,IF(Q55=200,サマリー!$B$10,IF(Q55=100,サマリー!$B$11,0)))+IF(R55="",0,R55*サマリー!$B$12)</f>
        <v>41055</v>
      </c>
      <c r="D55" s="26">
        <f>S55+T55+U55+V55+W55+IF(X55="",0,X55*サマリー!$B$9)+IF(Y55="",0,IF(Y55=200,サマリー!$B$10,IF(Y55=100,サマリー!$B$11,0)))+IF(Z55="",0,Z55*サマリー!$B$12)</f>
        <v>0</v>
      </c>
      <c r="E55" s="26">
        <f t="shared" si="4"/>
        <v>41055</v>
      </c>
      <c r="I55" s="29"/>
      <c r="J55" s="29">
        <v>41055</v>
      </c>
      <c r="K55" s="29"/>
      <c r="L55" s="29"/>
      <c r="M55" s="29"/>
      <c r="N55" s="29"/>
      <c r="O55" s="29"/>
      <c r="P55" s="30"/>
      <c r="Q55" s="30"/>
      <c r="R55" s="30"/>
      <c r="S55" s="31"/>
      <c r="T55" s="31"/>
      <c r="U55" s="31"/>
      <c r="V55" s="31"/>
      <c r="W55" s="31"/>
      <c r="X55" s="32"/>
      <c r="Y55" s="32"/>
      <c r="Z55" s="32"/>
    </row>
    <row r="56" spans="1:26">
      <c r="A56" s="28">
        <v>17</v>
      </c>
      <c r="B56" s="17">
        <f t="shared" si="3"/>
        <v>46159</v>
      </c>
      <c r="C56" s="26">
        <f>I56+J56+K56+L56+M56+N56+O56+IF(P56="",0,P56*サマリー!$B$9)+IF(Q56="",0,IF(Q56=200,サマリー!$B$10,IF(Q56=100,サマリー!$B$11,0)))+IF(R56="",0,R56*サマリー!$B$12)</f>
        <v>0</v>
      </c>
      <c r="D56" s="26">
        <f>S56+T56+U56+V56+W56+IF(X56="",0,X56*サマリー!$B$9)+IF(Y56="",0,IF(Y56=200,サマリー!$B$10,IF(Y56=100,サマリー!$B$11,0)))+IF(Z56="",0,Z56*サマリー!$B$12)</f>
        <v>31760</v>
      </c>
      <c r="E56" s="26">
        <f t="shared" si="4"/>
        <v>31760</v>
      </c>
      <c r="I56" s="29"/>
      <c r="J56" s="29"/>
      <c r="K56" s="29"/>
      <c r="L56" s="29"/>
      <c r="M56" s="29"/>
      <c r="N56" s="29"/>
      <c r="O56" s="29"/>
      <c r="P56" s="30"/>
      <c r="Q56" s="30"/>
      <c r="R56" s="30"/>
      <c r="S56" s="31">
        <v>24519</v>
      </c>
      <c r="T56" s="31"/>
      <c r="U56" s="31"/>
      <c r="V56" s="31"/>
      <c r="W56" s="31"/>
      <c r="X56" s="32"/>
      <c r="Y56" s="32">
        <v>200</v>
      </c>
      <c r="Z56" s="32"/>
    </row>
    <row r="57" spans="1:26">
      <c r="A57" s="28"/>
      <c r="B57" s="17">
        <f t="shared" si="3"/>
        <v>46159</v>
      </c>
      <c r="C57" s="26">
        <f>I57+J57+K57+L57+M57+N57+O57+IF(P57="",0,P57*サマリー!$B$9)+IF(Q57="",0,IF(Q57=200,サマリー!$B$10,IF(Q57=100,サマリー!$B$11,0)))+IF(R57="",0,R57*サマリー!$B$12)</f>
        <v>6330</v>
      </c>
      <c r="D57" s="26">
        <f>S57+T57+U57+V57+W57+IF(X57="",0,X57*サマリー!$B$9)+IF(Y57="",0,IF(Y57=200,サマリー!$B$10,IF(Y57=100,サマリー!$B$11,0)))+IF(Z57="",0,Z57*サマリー!$B$12)</f>
        <v>0</v>
      </c>
      <c r="E57" s="26">
        <f t="shared" si="4"/>
        <v>6330</v>
      </c>
      <c r="I57" s="29"/>
      <c r="J57" s="29"/>
      <c r="K57" s="29">
        <v>6330</v>
      </c>
      <c r="L57" s="29"/>
      <c r="M57" s="29"/>
      <c r="N57" s="29"/>
      <c r="O57" s="29"/>
      <c r="P57" s="30"/>
      <c r="Q57" s="30"/>
      <c r="R57" s="30"/>
      <c r="S57" s="31"/>
      <c r="T57" s="31"/>
      <c r="U57" s="31"/>
      <c r="V57" s="31"/>
      <c r="W57" s="31"/>
      <c r="X57" s="32"/>
      <c r="Y57" s="32"/>
      <c r="Z57" s="32"/>
    </row>
    <row r="58" spans="1:26">
      <c r="A58" s="28"/>
      <c r="B58" s="17">
        <f t="shared" si="3"/>
        <v>46159</v>
      </c>
      <c r="C58" s="26">
        <f>I58+J58+K58+L58+M58+N58+O58+IF(P58="",0,P58*サマリー!$B$9)+IF(Q58="",0,IF(Q58=200,サマリー!$B$10,IF(Q58=100,サマリー!$B$11,0)))+IF(R58="",0,R58*サマリー!$B$12)</f>
        <v>35565</v>
      </c>
      <c r="D58" s="26">
        <f>S58+T58+U58+V58+W58+IF(X58="",0,X58*サマリー!$B$9)+IF(Y58="",0,IF(Y58=200,サマリー!$B$10,IF(Y58=100,サマリー!$B$11,0)))+IF(Z58="",0,Z58*サマリー!$B$12)</f>
        <v>0</v>
      </c>
      <c r="E58" s="26">
        <f t="shared" si="4"/>
        <v>35565</v>
      </c>
      <c r="I58" s="29"/>
      <c r="J58" s="29">
        <v>35565</v>
      </c>
      <c r="K58" s="29"/>
      <c r="L58" s="29"/>
      <c r="M58" s="29"/>
      <c r="N58" s="29"/>
      <c r="O58" s="29"/>
      <c r="P58" s="30"/>
      <c r="Q58" s="30"/>
      <c r="R58" s="30"/>
      <c r="S58" s="31"/>
      <c r="T58" s="31"/>
      <c r="U58" s="31"/>
      <c r="V58" s="31"/>
      <c r="W58" s="31"/>
      <c r="X58" s="32"/>
      <c r="Y58" s="32"/>
      <c r="Z58" s="32"/>
    </row>
    <row r="59" spans="1:26">
      <c r="A59" s="28">
        <v>18</v>
      </c>
      <c r="B59" s="17">
        <f t="shared" si="3"/>
        <v>46160</v>
      </c>
      <c r="C59" s="26">
        <f>I59+J59+K59+L59+M59+N59+O59+IF(P59="",0,P59*サマリー!$B$9)+IF(Q59="",0,IF(Q59=200,サマリー!$B$10,IF(Q59=100,サマリー!$B$11,0)))+IF(R59="",0,R59*サマリー!$B$12)</f>
        <v>0</v>
      </c>
      <c r="D59" s="26">
        <f>S59+T59+U59+V59+W59+IF(X59="",0,X59*サマリー!$B$9)+IF(Y59="",0,IF(Y59=200,サマリー!$B$10,IF(Y59=100,サマリー!$B$11,0)))+IF(Z59="",0,Z59*サマリー!$B$12)</f>
        <v>32800</v>
      </c>
      <c r="E59" s="26">
        <f t="shared" si="4"/>
        <v>32800</v>
      </c>
      <c r="I59" s="29"/>
      <c r="J59" s="29"/>
      <c r="K59" s="29"/>
      <c r="L59" s="29"/>
      <c r="M59" s="29"/>
      <c r="N59" s="29"/>
      <c r="O59" s="29"/>
      <c r="P59" s="30"/>
      <c r="Q59" s="30"/>
      <c r="R59" s="30"/>
      <c r="S59" s="31"/>
      <c r="T59" s="31">
        <v>32800</v>
      </c>
      <c r="U59" s="31"/>
      <c r="V59" s="31"/>
      <c r="W59" s="31"/>
      <c r="X59" s="32"/>
      <c r="Y59" s="32"/>
      <c r="Z59" s="32"/>
    </row>
    <row r="60" spans="1:26">
      <c r="A60" s="28"/>
      <c r="B60" s="17">
        <f t="shared" si="3"/>
        <v>46160</v>
      </c>
      <c r="C60" s="26">
        <f>I60+J60+K60+L60+M60+N60+O60+IF(P60="",0,P60*サマリー!$B$9)+IF(Q60="",0,IF(Q60=200,サマリー!$B$10,IF(Q60=100,サマリー!$B$11,0)))+IF(R60="",0,R60*サマリー!$B$12)</f>
        <v>0</v>
      </c>
      <c r="D60" s="26">
        <f>S60+T60+U60+V60+W60+IF(X60="",0,X60*サマリー!$B$9)+IF(Y60="",0,IF(Y60=200,サマリー!$B$10,IF(Y60=100,サマリー!$B$11,0)))+IF(Z60="",0,Z60*サマリー!$B$12)</f>
        <v>10455</v>
      </c>
      <c r="E60" s="26">
        <f t="shared" si="4"/>
        <v>10455</v>
      </c>
      <c r="I60" s="29"/>
      <c r="J60" s="29"/>
      <c r="K60" s="29"/>
      <c r="L60" s="29"/>
      <c r="M60" s="29"/>
      <c r="N60" s="29"/>
      <c r="O60" s="29"/>
      <c r="P60" s="30"/>
      <c r="Q60" s="30"/>
      <c r="R60" s="30"/>
      <c r="S60" s="31"/>
      <c r="T60" s="31">
        <v>10455</v>
      </c>
      <c r="U60" s="31"/>
      <c r="V60" s="31"/>
      <c r="W60" s="31"/>
      <c r="X60" s="32"/>
      <c r="Y60" s="32"/>
      <c r="Z60" s="32"/>
    </row>
    <row r="61" spans="1:26">
      <c r="A61" s="28"/>
      <c r="B61" s="17">
        <f t="shared" si="3"/>
        <v>46160</v>
      </c>
      <c r="C61" s="26">
        <f>I61+J61+K61+L61+M61+N61+O61+IF(P61="",0,P61*サマリー!$B$9)+IF(Q61="",0,IF(Q61=200,サマリー!$B$10,IF(Q61=100,サマリー!$B$11,0)))+IF(R61="",0,R61*サマリー!$B$12)</f>
        <v>0</v>
      </c>
      <c r="D61" s="26">
        <f>S61+T61+U61+V61+W61+IF(X61="",0,X61*サマリー!$B$9)+IF(Y61="",0,IF(Y61=200,サマリー!$B$10,IF(Y61=100,サマリー!$B$11,0)))+IF(Z61="",0,Z61*サマリー!$B$12)</f>
        <v>14519</v>
      </c>
      <c r="E61" s="26">
        <f t="shared" si="4"/>
        <v>14519</v>
      </c>
      <c r="I61" s="29"/>
      <c r="J61" s="29"/>
      <c r="K61" s="29"/>
      <c r="L61" s="29"/>
      <c r="M61" s="29"/>
      <c r="N61" s="29"/>
      <c r="O61" s="29"/>
      <c r="P61" s="30"/>
      <c r="Q61" s="30"/>
      <c r="R61" s="30"/>
      <c r="S61" s="31">
        <v>14519</v>
      </c>
      <c r="T61" s="31"/>
      <c r="U61" s="31"/>
      <c r="V61" s="31"/>
      <c r="W61" s="31"/>
      <c r="X61" s="32"/>
      <c r="Y61" s="32"/>
      <c r="Z61" s="32"/>
    </row>
    <row r="62" spans="1:26">
      <c r="A62" s="28"/>
      <c r="B62" s="17">
        <f t="shared" si="3"/>
        <v>46160</v>
      </c>
      <c r="C62" s="26">
        <f>I62+J62+K62+L62+M62+N62+O62+IF(P62="",0,P62*サマリー!$B$9)+IF(Q62="",0,IF(Q62=200,サマリー!$B$10,IF(Q62=100,サマリー!$B$11,0)))+IF(R62="",0,R62*サマリー!$B$12)</f>
        <v>0</v>
      </c>
      <c r="D62" s="26">
        <f>S62+T62+U62+V62+W62+IF(X62="",0,X62*サマリー!$B$9)+IF(Y62="",0,IF(Y62=200,サマリー!$B$10,IF(Y62=100,サマリー!$B$11,0)))+IF(Z62="",0,Z62*サマリー!$B$12)</f>
        <v>22560</v>
      </c>
      <c r="E62" s="26">
        <f t="shared" si="4"/>
        <v>22560</v>
      </c>
      <c r="I62" s="29"/>
      <c r="J62" s="29"/>
      <c r="K62" s="29"/>
      <c r="L62" s="29"/>
      <c r="M62" s="29"/>
      <c r="N62" s="29"/>
      <c r="O62" s="29"/>
      <c r="P62" s="30"/>
      <c r="Q62" s="30"/>
      <c r="R62" s="30"/>
      <c r="S62" s="31">
        <v>15319</v>
      </c>
      <c r="T62" s="31"/>
      <c r="U62" s="31"/>
      <c r="V62" s="31"/>
      <c r="W62" s="31"/>
      <c r="X62" s="32"/>
      <c r="Y62" s="32">
        <v>200</v>
      </c>
      <c r="Z62" s="32"/>
    </row>
    <row r="63" spans="1:26">
      <c r="A63" s="28">
        <v>19</v>
      </c>
      <c r="B63" s="17">
        <f t="shared" si="3"/>
        <v>46161</v>
      </c>
      <c r="C63" s="26">
        <f>I63+J63+K63+L63+M63+N63+O63+IF(P63="",0,P63*サマリー!$B$9)+IF(Q63="",0,IF(Q63=200,サマリー!$B$10,IF(Q63=100,サマリー!$B$11,0)))+IF(R63="",0,R63*サマリー!$B$12)</f>
        <v>3300</v>
      </c>
      <c r="D63" s="26">
        <f>S63+T63+U63+V63+W63+IF(X63="",0,X63*サマリー!$B$9)+IF(Y63="",0,IF(Y63=200,サマリー!$B$10,IF(Y63=100,サマリー!$B$11,0)))+IF(Z63="",0,Z63*サマリー!$B$12)</f>
        <v>0</v>
      </c>
      <c r="E63" s="26">
        <f t="shared" si="4"/>
        <v>3300</v>
      </c>
      <c r="I63" s="29"/>
      <c r="J63" s="29">
        <v>3300</v>
      </c>
      <c r="K63" s="29"/>
      <c r="L63" s="29"/>
      <c r="M63" s="29"/>
      <c r="N63" s="29"/>
      <c r="O63" s="29"/>
      <c r="P63" s="30"/>
      <c r="Q63" s="30"/>
      <c r="R63" s="30"/>
      <c r="S63" s="31"/>
      <c r="T63" s="31"/>
      <c r="U63" s="31"/>
      <c r="V63" s="31"/>
      <c r="W63" s="31"/>
      <c r="X63" s="32"/>
      <c r="Y63" s="32"/>
      <c r="Z63" s="32"/>
    </row>
    <row r="64" spans="1:26">
      <c r="A64" s="28"/>
      <c r="B64" s="17">
        <f t="shared" si="3"/>
        <v>46161</v>
      </c>
      <c r="C64" s="26">
        <f>I64+J64+K64+L64+M64+N64+O64+IF(P64="",0,P64*サマリー!$B$9)+IF(Q64="",0,IF(Q64=200,サマリー!$B$10,IF(Q64=100,サマリー!$B$11,0)))+IF(R64="",0,R64*サマリー!$B$12)</f>
        <v>10800</v>
      </c>
      <c r="D64" s="26">
        <f>S64+T64+U64+V64+W64+IF(X64="",0,X64*サマリー!$B$9)+IF(Y64="",0,IF(Y64=200,サマリー!$B$10,IF(Y64=100,サマリー!$B$11,0)))+IF(Z64="",0,Z64*サマリー!$B$12)</f>
        <v>0</v>
      </c>
      <c r="E64" s="26">
        <f t="shared" si="4"/>
        <v>10800</v>
      </c>
      <c r="I64" s="29"/>
      <c r="J64" s="29">
        <v>10800</v>
      </c>
      <c r="K64" s="29"/>
      <c r="L64" s="29"/>
      <c r="M64" s="29"/>
      <c r="N64" s="29"/>
      <c r="O64" s="29"/>
      <c r="P64" s="30"/>
      <c r="Q64" s="30"/>
      <c r="R64" s="30"/>
      <c r="S64" s="31"/>
      <c r="T64" s="31"/>
      <c r="U64" s="31"/>
      <c r="V64" s="31"/>
      <c r="W64" s="31"/>
      <c r="X64" s="32"/>
      <c r="Y64" s="32"/>
      <c r="Z64" s="32"/>
    </row>
    <row r="65" spans="1:26">
      <c r="A65" s="28"/>
      <c r="B65" s="17">
        <f t="shared" si="3"/>
        <v>46161</v>
      </c>
      <c r="C65" s="26">
        <f>I65+J65+K65+L65+M65+N65+O65+IF(P65="",0,P65*サマリー!$B$9)+IF(Q65="",0,IF(Q65=200,サマリー!$B$10,IF(Q65=100,サマリー!$B$11,0)))+IF(R65="",0,R65*サマリー!$B$12)</f>
        <v>4120</v>
      </c>
      <c r="D65" s="26">
        <f>S65+T65+U65+V65+W65+IF(X65="",0,X65*サマリー!$B$9)+IF(Y65="",0,IF(Y65=200,サマリー!$B$10,IF(Y65=100,サマリー!$B$11,0)))+IF(Z65="",0,Z65*サマリー!$B$12)</f>
        <v>0</v>
      </c>
      <c r="E65" s="26">
        <f t="shared" si="4"/>
        <v>4120</v>
      </c>
      <c r="I65" s="29"/>
      <c r="J65" s="29">
        <v>4120</v>
      </c>
      <c r="K65" s="29"/>
      <c r="L65" s="29"/>
      <c r="M65" s="29"/>
      <c r="N65" s="29"/>
      <c r="O65" s="29"/>
      <c r="P65" s="30"/>
      <c r="Q65" s="30"/>
      <c r="R65" s="30"/>
      <c r="S65" s="31"/>
      <c r="T65" s="31"/>
      <c r="U65" s="31"/>
      <c r="V65" s="31"/>
      <c r="W65" s="31"/>
      <c r="X65" s="32"/>
      <c r="Y65" s="32"/>
      <c r="Z65" s="32"/>
    </row>
    <row r="66" spans="1:26">
      <c r="A66" s="28">
        <v>20</v>
      </c>
      <c r="B66" s="17">
        <f t="shared" si="3"/>
        <v>46162</v>
      </c>
      <c r="C66" s="26">
        <f>I66+J66+K66+L66+M66+N66+O66+IF(P66="",0,P66*サマリー!$B$9)+IF(Q66="",0,IF(Q66=200,サマリー!$B$10,IF(Q66=100,サマリー!$B$11,0)))+IF(R66="",0,R66*サマリー!$B$12)</f>
        <v>0</v>
      </c>
      <c r="D66" s="26">
        <f>S66+T66+U66+V66+W66+IF(X66="",0,X66*サマリー!$B$9)+IF(Y66="",0,IF(Y66=200,サマリー!$B$10,IF(Y66=100,サマリー!$B$11,0)))+IF(Z66="",0,Z66*サマリー!$B$12)</f>
        <v>7719</v>
      </c>
      <c r="E66" s="26">
        <f t="shared" si="4"/>
        <v>7719</v>
      </c>
      <c r="I66" s="29"/>
      <c r="J66" s="29"/>
      <c r="K66" s="29"/>
      <c r="L66" s="29"/>
      <c r="M66" s="29"/>
      <c r="N66" s="29"/>
      <c r="O66" s="29"/>
      <c r="P66" s="30"/>
      <c r="Q66" s="30"/>
      <c r="R66" s="30"/>
      <c r="S66" s="31"/>
      <c r="T66" s="31">
        <v>7719</v>
      </c>
      <c r="U66" s="31"/>
      <c r="V66" s="31"/>
      <c r="W66" s="31"/>
      <c r="X66" s="32"/>
      <c r="Y66" s="32"/>
      <c r="Z66" s="32"/>
    </row>
    <row r="67" spans="1:26">
      <c r="A67" s="28"/>
      <c r="B67" s="17">
        <f t="shared" si="3"/>
        <v>46162</v>
      </c>
      <c r="C67" s="26">
        <f>I67+J67+K67+L67+M67+N67+O67+IF(P67="",0,P67*サマリー!$B$9)+IF(Q67="",0,IF(Q67=200,サマリー!$B$10,IF(Q67=100,サマリー!$B$11,0)))+IF(R67="",0,R67*サマリー!$B$12)</f>
        <v>5519</v>
      </c>
      <c r="D67" s="26">
        <f>S67+T67+U67+V67+W67+IF(X67="",0,X67*サマリー!$B$9)+IF(Y67="",0,IF(Y67=200,サマリー!$B$10,IF(Y67=100,サマリー!$B$11,0)))+IF(Z67="",0,Z67*サマリー!$B$12)</f>
        <v>0</v>
      </c>
      <c r="E67" s="26">
        <f t="shared" si="4"/>
        <v>5519</v>
      </c>
      <c r="I67" s="29"/>
      <c r="J67" s="29">
        <v>5519</v>
      </c>
      <c r="K67" s="29"/>
      <c r="L67" s="29"/>
      <c r="M67" s="29"/>
      <c r="N67" s="29"/>
      <c r="O67" s="29"/>
      <c r="P67" s="30"/>
      <c r="Q67" s="30"/>
      <c r="R67" s="30"/>
      <c r="S67" s="31"/>
      <c r="T67" s="31"/>
      <c r="U67" s="31"/>
      <c r="V67" s="31"/>
      <c r="W67" s="31"/>
      <c r="X67" s="32"/>
      <c r="Y67" s="32"/>
      <c r="Z67" s="32"/>
    </row>
    <row r="68" spans="1:26">
      <c r="A68" s="28"/>
      <c r="B68" s="17">
        <f t="shared" si="3"/>
        <v>46162</v>
      </c>
      <c r="C68" s="26">
        <f>I68+J68+K68+L68+M68+N68+O68+IF(P68="",0,P68*サマリー!$B$9)+IF(Q68="",0,IF(Q68=200,サマリー!$B$10,IF(Q68=100,サマリー!$B$11,0)))+IF(R68="",0,R68*サマリー!$B$12)</f>
        <v>26765</v>
      </c>
      <c r="D68" s="26">
        <f>S68+T68+U68+V68+W68+IF(X68="",0,X68*サマリー!$B$9)+IF(Y68="",0,IF(Y68=200,サマリー!$B$10,IF(Y68=100,サマリー!$B$11,0)))+IF(Z68="",0,Z68*サマリー!$B$12)</f>
        <v>0</v>
      </c>
      <c r="E68" s="26">
        <f t="shared" si="4"/>
        <v>26765</v>
      </c>
      <c r="I68" s="29"/>
      <c r="J68" s="29">
        <v>26765</v>
      </c>
      <c r="K68" s="29"/>
      <c r="L68" s="29"/>
      <c r="M68" s="29"/>
      <c r="N68" s="29"/>
      <c r="O68" s="29"/>
      <c r="P68" s="30"/>
      <c r="Q68" s="30"/>
      <c r="R68" s="30"/>
      <c r="S68" s="31"/>
      <c r="T68" s="31"/>
      <c r="U68" s="31"/>
      <c r="V68" s="31"/>
      <c r="W68" s="31"/>
      <c r="X68" s="32"/>
      <c r="Y68" s="32"/>
      <c r="Z68" s="32"/>
    </row>
    <row r="69" spans="1:26">
      <c r="A69" s="28">
        <v>21</v>
      </c>
      <c r="B69" s="17">
        <f t="shared" si="3"/>
        <v>46163</v>
      </c>
      <c r="C69" s="26">
        <f>I69+J69+K69+L69+M69+N69+O69+IF(P69="",0,P69*サマリー!$B$9)+IF(Q69="",0,IF(Q69=200,サマリー!$B$10,IF(Q69=100,サマリー!$B$11,0)))+IF(R69="",0,R69*サマリー!$B$12)</f>
        <v>0</v>
      </c>
      <c r="D69" s="26">
        <f>S69+T69+U69+V69+W69+IF(X69="",0,X69*サマリー!$B$9)+IF(Y69="",0,IF(Y69=200,サマリー!$B$10,IF(Y69=100,サマリー!$B$11,0)))+IF(Z69="",0,Z69*サマリー!$B$12)</f>
        <v>11900</v>
      </c>
      <c r="E69" s="26">
        <f t="shared" si="4"/>
        <v>11900</v>
      </c>
      <c r="I69" s="29"/>
      <c r="J69" s="29"/>
      <c r="K69" s="29"/>
      <c r="L69" s="29"/>
      <c r="M69" s="29"/>
      <c r="N69" s="29"/>
      <c r="O69" s="29"/>
      <c r="P69" s="30"/>
      <c r="Q69" s="30"/>
      <c r="R69" s="30"/>
      <c r="S69" s="31"/>
      <c r="T69" s="31">
        <v>11900</v>
      </c>
      <c r="U69" s="31"/>
      <c r="V69" s="31"/>
      <c r="W69" s="31"/>
      <c r="X69" s="32"/>
      <c r="Y69" s="32"/>
      <c r="Z69" s="32"/>
    </row>
    <row r="70" spans="1:26">
      <c r="A70" s="28"/>
      <c r="B70" s="17">
        <f t="shared" si="3"/>
        <v>46163</v>
      </c>
      <c r="C70" s="26">
        <f>I70+J70+K70+L70+M70+N70+O70+IF(P70="",0,P70*サマリー!$B$9)+IF(Q70="",0,IF(Q70=200,サマリー!$B$10,IF(Q70=100,サマリー!$B$11,0)))+IF(R70="",0,R70*サマリー!$B$12)</f>
        <v>0</v>
      </c>
      <c r="D70" s="26">
        <f>S70+T70+U70+V70+W70+IF(X70="",0,X70*サマリー!$B$9)+IF(Y70="",0,IF(Y70=200,サマリー!$B$10,IF(Y70=100,サマリー!$B$11,0)))+IF(Z70="",0,Z70*サマリー!$B$12)</f>
        <v>5500</v>
      </c>
      <c r="E70" s="26">
        <f t="shared" ref="E70:E133" si="5">C70+D70</f>
        <v>5500</v>
      </c>
      <c r="I70" s="29"/>
      <c r="J70" s="29"/>
      <c r="K70" s="29"/>
      <c r="L70" s="29"/>
      <c r="M70" s="29"/>
      <c r="N70" s="29"/>
      <c r="O70" s="29"/>
      <c r="P70" s="30"/>
      <c r="Q70" s="30"/>
      <c r="R70" s="30"/>
      <c r="S70" s="31"/>
      <c r="T70" s="31">
        <v>5500</v>
      </c>
      <c r="U70" s="31"/>
      <c r="V70" s="31"/>
      <c r="W70" s="31"/>
      <c r="X70" s="32"/>
      <c r="Y70" s="32"/>
      <c r="Z70" s="32"/>
    </row>
    <row r="71" spans="1:26">
      <c r="A71" s="28">
        <v>22</v>
      </c>
      <c r="B71" s="17">
        <f t="shared" ref="B71:B134" si="6">IF(A71="",B70,IF(A71&lt;DAY(B70),DATE(YEAR(B70),MONTH(B70)+1,A71),DATE(YEAR(B70),MONTH(B70),A71)))</f>
        <v>46164</v>
      </c>
      <c r="C71" s="26">
        <f>I71+J71+K71+L71+M71+N71+O71+IF(P71="",0,P71*サマリー!$B$9)+IF(Q71="",0,IF(Q71=200,サマリー!$B$10,IF(Q71=100,サマリー!$B$11,0)))+IF(R71="",0,R71*サマリー!$B$12)</f>
        <v>6400</v>
      </c>
      <c r="D71" s="26">
        <f>S71+T71+U71+V71+W71+IF(X71="",0,X71*サマリー!$B$9)+IF(Y71="",0,IF(Y71=200,サマリー!$B$10,IF(Y71=100,サマリー!$B$11,0)))+IF(Z71="",0,Z71*サマリー!$B$12)</f>
        <v>7510</v>
      </c>
      <c r="E71" s="26">
        <f t="shared" si="5"/>
        <v>13910</v>
      </c>
      <c r="I71" s="29"/>
      <c r="J71" s="29">
        <v>6400</v>
      </c>
      <c r="K71" s="29"/>
      <c r="L71" s="29"/>
      <c r="M71" s="29"/>
      <c r="N71" s="29"/>
      <c r="O71" s="29"/>
      <c r="P71" s="30"/>
      <c r="Q71" s="30"/>
      <c r="R71" s="30"/>
      <c r="S71" s="31"/>
      <c r="T71" s="31"/>
      <c r="U71" s="31"/>
      <c r="V71" s="31">
        <v>7510</v>
      </c>
      <c r="W71" s="31"/>
      <c r="X71" s="32"/>
      <c r="Y71" s="32"/>
      <c r="Z71" s="32"/>
    </row>
    <row r="72" spans="1:26">
      <c r="A72" s="28">
        <v>23</v>
      </c>
      <c r="B72" s="17">
        <f t="shared" si="6"/>
        <v>46165</v>
      </c>
      <c r="C72" s="26">
        <f>I72+J72+K72+L72+M72+N72+O72+IF(P72="",0,P72*サマリー!$B$9)+IF(Q72="",0,IF(Q72=200,サマリー!$B$10,IF(Q72=100,サマリー!$B$11,0)))+IF(R72="",0,R72*サマリー!$B$12)</f>
        <v>21250</v>
      </c>
      <c r="D72" s="26">
        <f>S72+T72+U72+V72+W72+IF(X72="",0,X72*サマリー!$B$9)+IF(Y72="",0,IF(Y72=200,サマリー!$B$10,IF(Y72=100,サマリー!$B$11,0)))+IF(Z72="",0,Z72*サマリー!$B$12)</f>
        <v>0</v>
      </c>
      <c r="E72" s="26">
        <f t="shared" si="5"/>
        <v>21250</v>
      </c>
      <c r="I72" s="29"/>
      <c r="J72" s="29">
        <v>21250</v>
      </c>
      <c r="K72" s="29"/>
      <c r="L72" s="29"/>
      <c r="M72" s="29"/>
      <c r="N72" s="29"/>
      <c r="O72" s="29"/>
      <c r="P72" s="30"/>
      <c r="Q72" s="30"/>
      <c r="R72" s="30"/>
      <c r="S72" s="31"/>
      <c r="T72" s="31"/>
      <c r="U72" s="31"/>
      <c r="V72" s="31"/>
      <c r="W72" s="31"/>
      <c r="X72" s="32"/>
      <c r="Y72" s="32"/>
      <c r="Z72" s="32"/>
    </row>
    <row r="73" spans="1:26">
      <c r="A73" s="28"/>
      <c r="B73" s="17">
        <f t="shared" si="6"/>
        <v>46165</v>
      </c>
      <c r="C73" s="26">
        <f>I73+J73+K73+L73+M73+N73+O73+IF(P73="",0,P73*サマリー!$B$9)+IF(Q73="",0,IF(Q73=200,サマリー!$B$10,IF(Q73=100,サマリー!$B$11,0)))+IF(R73="",0,R73*サマリー!$B$12)</f>
        <v>80398</v>
      </c>
      <c r="D73" s="26">
        <f>S73+T73+U73+V73+W73+IF(X73="",0,X73*サマリー!$B$9)+IF(Y73="",0,IF(Y73=200,サマリー!$B$10,IF(Y73=100,サマリー!$B$11,0)))+IF(Z73="",0,Z73*サマリー!$B$12)</f>
        <v>0</v>
      </c>
      <c r="E73" s="26">
        <f t="shared" si="5"/>
        <v>80398</v>
      </c>
      <c r="I73" s="29">
        <v>73157</v>
      </c>
      <c r="J73" s="29"/>
      <c r="K73" s="29"/>
      <c r="L73" s="29"/>
      <c r="M73" s="29"/>
      <c r="N73" s="29"/>
      <c r="O73" s="29"/>
      <c r="P73" s="30"/>
      <c r="Q73" s="30">
        <v>200</v>
      </c>
      <c r="R73" s="30"/>
      <c r="S73" s="31"/>
      <c r="T73" s="31"/>
      <c r="U73" s="31"/>
      <c r="V73" s="31"/>
      <c r="W73" s="31"/>
      <c r="X73" s="32"/>
      <c r="Y73" s="32"/>
      <c r="Z73" s="32"/>
    </row>
    <row r="74" spans="1:26">
      <c r="A74" s="28"/>
      <c r="B74" s="17">
        <f t="shared" si="6"/>
        <v>46165</v>
      </c>
      <c r="C74" s="26">
        <f>I74+J74+K74+L74+M74+N74+O74+IF(P74="",0,P74*サマリー!$B$9)+IF(Q74="",0,IF(Q74=200,サマリー!$B$10,IF(Q74=100,サマリー!$B$11,0)))+IF(R74="",0,R74*サマリー!$B$12)</f>
        <v>46560</v>
      </c>
      <c r="D74" s="26">
        <f>S74+T74+U74+V74+W74+IF(X74="",0,X74*サマリー!$B$9)+IF(Y74="",0,IF(Y74=200,サマリー!$B$10,IF(Y74=100,サマリー!$B$11,0)))+IF(Z74="",0,Z74*サマリー!$B$12)</f>
        <v>0</v>
      </c>
      <c r="E74" s="26">
        <f t="shared" si="5"/>
        <v>46560</v>
      </c>
      <c r="I74" s="29">
        <v>39319</v>
      </c>
      <c r="J74" s="29"/>
      <c r="K74" s="29"/>
      <c r="L74" s="29"/>
      <c r="M74" s="29"/>
      <c r="N74" s="29"/>
      <c r="O74" s="29"/>
      <c r="P74" s="30"/>
      <c r="Q74" s="30">
        <v>200</v>
      </c>
      <c r="R74" s="30"/>
      <c r="S74" s="31"/>
      <c r="T74" s="31"/>
      <c r="U74" s="31"/>
      <c r="V74" s="31"/>
      <c r="W74" s="31"/>
      <c r="X74" s="32"/>
      <c r="Y74" s="32"/>
      <c r="Z74" s="32"/>
    </row>
    <row r="75" spans="1:26">
      <c r="A75" s="28">
        <v>24</v>
      </c>
      <c r="B75" s="17">
        <f t="shared" si="6"/>
        <v>46166</v>
      </c>
      <c r="C75" s="26">
        <f>I75+J75+K75+L75+M75+N75+O75+IF(P75="",0,P75*サマリー!$B$9)+IF(Q75="",0,IF(Q75=200,サマリー!$B$10,IF(Q75=100,サマリー!$B$11,0)))+IF(R75="",0,R75*サマリー!$B$12)</f>
        <v>0</v>
      </c>
      <c r="D75" s="26">
        <f>S75+T75+U75+V75+W75+IF(X75="",0,X75*サマリー!$B$9)+IF(Y75="",0,IF(Y75=200,サマリー!$B$10,IF(Y75=100,サマリー!$B$11,0)))+IF(Z75="",0,Z75*サマリー!$B$12)</f>
        <v>85434</v>
      </c>
      <c r="E75" s="26">
        <f t="shared" si="5"/>
        <v>85434</v>
      </c>
      <c r="I75" s="29"/>
      <c r="J75" s="29"/>
      <c r="K75" s="29"/>
      <c r="L75" s="29"/>
      <c r="M75" s="29"/>
      <c r="N75" s="29"/>
      <c r="O75" s="29"/>
      <c r="P75" s="30"/>
      <c r="Q75" s="30"/>
      <c r="R75" s="30"/>
      <c r="S75" s="31">
        <v>78193</v>
      </c>
      <c r="T75" s="31"/>
      <c r="U75" s="31"/>
      <c r="V75" s="31"/>
      <c r="W75" s="31"/>
      <c r="X75" s="32"/>
      <c r="Y75" s="32">
        <v>200</v>
      </c>
      <c r="Z75" s="32"/>
    </row>
    <row r="76" spans="1:26">
      <c r="A76" s="28"/>
      <c r="B76" s="17">
        <f t="shared" si="6"/>
        <v>46166</v>
      </c>
      <c r="C76" s="26">
        <f>I76+J76+K76+L76+M76+N76+O76+IF(P76="",0,P76*サマリー!$B$9)+IF(Q76="",0,IF(Q76=200,サマリー!$B$10,IF(Q76=100,サマリー!$B$11,0)))+IF(R76="",0,R76*サマリー!$B$12)</f>
        <v>32260</v>
      </c>
      <c r="D76" s="26">
        <f>S76+T76+U76+V76+W76+IF(X76="",0,X76*サマリー!$B$9)+IF(Y76="",0,IF(Y76=200,サマリー!$B$10,IF(Y76=100,サマリー!$B$11,0)))+IF(Z76="",0,Z76*サマリー!$B$12)</f>
        <v>31760</v>
      </c>
      <c r="E76" s="26">
        <f t="shared" si="5"/>
        <v>64020</v>
      </c>
      <c r="I76" s="29"/>
      <c r="J76" s="29">
        <v>32260</v>
      </c>
      <c r="K76" s="29"/>
      <c r="L76" s="29"/>
      <c r="M76" s="29"/>
      <c r="N76" s="29"/>
      <c r="O76" s="29"/>
      <c r="P76" s="30"/>
      <c r="Q76" s="30"/>
      <c r="R76" s="30"/>
      <c r="S76" s="31">
        <v>24519</v>
      </c>
      <c r="T76" s="31"/>
      <c r="U76" s="31"/>
      <c r="V76" s="31"/>
      <c r="W76" s="31"/>
      <c r="X76" s="32"/>
      <c r="Y76" s="32">
        <v>200</v>
      </c>
      <c r="Z76" s="32"/>
    </row>
    <row r="77" spans="1:26">
      <c r="A77" s="28"/>
      <c r="B77" s="17">
        <f t="shared" si="6"/>
        <v>46166</v>
      </c>
      <c r="C77" s="26">
        <f>I77+J77+K77+L77+M77+N77+O77+IF(P77="",0,P77*サマリー!$B$9)+IF(Q77="",0,IF(Q77=200,サマリー!$B$10,IF(Q77=100,サマリー!$B$11,0)))+IF(R77="",0,R77*サマリー!$B$12)</f>
        <v>0</v>
      </c>
      <c r="D77" s="26">
        <f>S77+T77+U77+V77+W77+IF(X77="",0,X77*サマリー!$B$9)+IF(Y77="",0,IF(Y77=200,サマリー!$B$10,IF(Y77=100,サマリー!$B$11,0)))+IF(Z77="",0,Z77*サマリー!$B$12)</f>
        <v>3300</v>
      </c>
      <c r="E77" s="26">
        <f t="shared" si="5"/>
        <v>3300</v>
      </c>
      <c r="I77" s="29"/>
      <c r="J77" s="29"/>
      <c r="K77" s="29"/>
      <c r="L77" s="29"/>
      <c r="M77" s="29"/>
      <c r="N77" s="29"/>
      <c r="O77" s="29"/>
      <c r="P77" s="30"/>
      <c r="Q77" s="30"/>
      <c r="R77" s="30"/>
      <c r="S77" s="31"/>
      <c r="T77" s="31">
        <v>3300</v>
      </c>
      <c r="U77" s="31"/>
      <c r="V77" s="31"/>
      <c r="W77" s="31"/>
      <c r="X77" s="32"/>
      <c r="Y77" s="32"/>
      <c r="Z77" s="32"/>
    </row>
    <row r="78" spans="1:26">
      <c r="A78" s="28">
        <v>25</v>
      </c>
      <c r="B78" s="17">
        <f t="shared" si="6"/>
        <v>46167</v>
      </c>
      <c r="C78" s="26">
        <f>I78+J78+K78+L78+M78+N78+O78+IF(P78="",0,P78*サマリー!$B$9)+IF(Q78="",0,IF(Q78=200,サマリー!$B$10,IF(Q78=100,サマリー!$B$11,0)))+IF(R78="",0,R78*サマリー!$B$12)</f>
        <v>0</v>
      </c>
      <c r="D78" s="26">
        <f>S78+T78+U78+V78+W78+IF(X78="",0,X78*サマリー!$B$9)+IF(Y78="",0,IF(Y78=200,サマリー!$B$10,IF(Y78=100,サマリー!$B$11,0)))+IF(Z78="",0,Z78*サマリー!$B$12)</f>
        <v>4200</v>
      </c>
      <c r="E78" s="26">
        <f t="shared" si="5"/>
        <v>4200</v>
      </c>
      <c r="I78" s="29"/>
      <c r="J78" s="29"/>
      <c r="K78" s="29"/>
      <c r="L78" s="29"/>
      <c r="M78" s="29"/>
      <c r="N78" s="29"/>
      <c r="O78" s="29"/>
      <c r="P78" s="30"/>
      <c r="Q78" s="30"/>
      <c r="R78" s="30"/>
      <c r="S78" s="31"/>
      <c r="T78" s="31">
        <v>4200</v>
      </c>
      <c r="U78" s="31"/>
      <c r="V78" s="31"/>
      <c r="W78" s="31"/>
      <c r="X78" s="32"/>
      <c r="Y78" s="32"/>
      <c r="Z78" s="32"/>
    </row>
    <row r="79" spans="1:26">
      <c r="A79" s="28"/>
      <c r="B79" s="17">
        <f t="shared" si="6"/>
        <v>46167</v>
      </c>
      <c r="C79" s="26">
        <f>I79+J79+K79+L79+M79+N79+O79+IF(P79="",0,P79*サマリー!$B$9)+IF(Q79="",0,IF(Q79=200,サマリー!$B$10,IF(Q79=100,サマリー!$B$11,0)))+IF(R79="",0,R79*サマリー!$B$12)</f>
        <v>0</v>
      </c>
      <c r="D79" s="26">
        <f>S79+T79+U79+V79+W79+IF(X79="",0,X79*サマリー!$B$9)+IF(Y79="",0,IF(Y79=200,サマリー!$B$10,IF(Y79=100,サマリー!$B$11,0)))+IF(Z79="",0,Z79*サマリー!$B$12)</f>
        <v>40679</v>
      </c>
      <c r="E79" s="26">
        <f t="shared" si="5"/>
        <v>40679</v>
      </c>
      <c r="I79" s="29"/>
      <c r="J79" s="29"/>
      <c r="K79" s="29"/>
      <c r="L79" s="29"/>
      <c r="M79" s="29"/>
      <c r="N79" s="29"/>
      <c r="O79" s="29"/>
      <c r="P79" s="30"/>
      <c r="Q79" s="30"/>
      <c r="R79" s="30"/>
      <c r="S79" s="31">
        <v>33438</v>
      </c>
      <c r="T79" s="31"/>
      <c r="U79" s="31"/>
      <c r="V79" s="31"/>
      <c r="W79" s="31"/>
      <c r="X79" s="32"/>
      <c r="Y79" s="32">
        <v>200</v>
      </c>
      <c r="Z79" s="32"/>
    </row>
    <row r="80" spans="1:26">
      <c r="A80" s="28"/>
      <c r="B80" s="17">
        <f t="shared" si="6"/>
        <v>46167</v>
      </c>
      <c r="C80" s="26">
        <f>I80+J80+K80+L80+M80+N80+O80+IF(P80="",0,P80*サマリー!$B$9)+IF(Q80="",0,IF(Q80=200,サマリー!$B$10,IF(Q80=100,サマリー!$B$11,0)))+IF(R80="",0,R80*サマリー!$B$12)</f>
        <v>0</v>
      </c>
      <c r="D80" s="26">
        <f>S80+T80+U80+V80+W80+IF(X80="",0,X80*サマリー!$B$9)+IF(Y80="",0,IF(Y80=200,サマリー!$B$10,IF(Y80=100,サマリー!$B$11,0)))+IF(Z80="",0,Z80*サマリー!$B$12)</f>
        <v>555</v>
      </c>
      <c r="E80" s="26">
        <f t="shared" si="5"/>
        <v>555</v>
      </c>
      <c r="I80" s="29"/>
      <c r="J80" s="29"/>
      <c r="K80" s="29"/>
      <c r="L80" s="29"/>
      <c r="M80" s="29"/>
      <c r="N80" s="29"/>
      <c r="O80" s="29"/>
      <c r="P80" s="30"/>
      <c r="Q80" s="30"/>
      <c r="R80" s="30"/>
      <c r="S80" s="31"/>
      <c r="T80" s="31">
        <v>555</v>
      </c>
      <c r="U80" s="31"/>
      <c r="V80" s="31"/>
      <c r="W80" s="31"/>
      <c r="X80" s="32"/>
      <c r="Y80" s="32"/>
      <c r="Z80" s="32"/>
    </row>
    <row r="81" spans="1:26">
      <c r="A81" s="28">
        <v>26</v>
      </c>
      <c r="B81" s="17">
        <f t="shared" si="6"/>
        <v>46168</v>
      </c>
      <c r="C81" s="26">
        <f>I81+J81+K81+L81+M81+N81+O81+IF(P81="",0,P81*サマリー!$B$9)+IF(Q81="",0,IF(Q81=200,サマリー!$B$10,IF(Q81=100,サマリー!$B$11,0)))+IF(R81="",0,R81*サマリー!$B$12)</f>
        <v>0</v>
      </c>
      <c r="D81" s="26">
        <f>S81+T81+U81+V81+W81+IF(X81="",0,X81*サマリー!$B$9)+IF(Y81="",0,IF(Y81=200,サマリー!$B$10,IF(Y81=100,サマリー!$B$11,0)))+IF(Z81="",0,Z81*サマリー!$B$12)</f>
        <v>555</v>
      </c>
      <c r="E81" s="26">
        <f t="shared" si="5"/>
        <v>555</v>
      </c>
      <c r="I81" s="29"/>
      <c r="J81" s="29"/>
      <c r="K81" s="29"/>
      <c r="L81" s="29"/>
      <c r="M81" s="29"/>
      <c r="N81" s="29"/>
      <c r="O81" s="29"/>
      <c r="P81" s="30"/>
      <c r="Q81" s="30"/>
      <c r="R81" s="30"/>
      <c r="S81" s="31"/>
      <c r="T81" s="31">
        <v>555</v>
      </c>
      <c r="U81" s="31"/>
      <c r="V81" s="31"/>
      <c r="W81" s="31"/>
      <c r="X81" s="32"/>
      <c r="Y81" s="32"/>
      <c r="Z81" s="32"/>
    </row>
    <row r="82" spans="1:26">
      <c r="A82" s="28">
        <v>27</v>
      </c>
      <c r="B82" s="17">
        <f t="shared" si="6"/>
        <v>46169</v>
      </c>
      <c r="C82" s="26">
        <f>I82+J82+K82+L82+M82+N82+O82+IF(P82="",0,P82*サマリー!$B$9)+IF(Q82="",0,IF(Q82=200,サマリー!$B$10,IF(Q82=100,サマリー!$B$11,0)))+IF(R82="",0,R82*サマリー!$B$12)</f>
        <v>49519</v>
      </c>
      <c r="D82" s="26">
        <f>S82+T82+U82+V82+W82+IF(X82="",0,X82*サマリー!$B$9)+IF(Y82="",0,IF(Y82=200,サマリー!$B$10,IF(Y82=100,サマリー!$B$11,0)))+IF(Z82="",0,Z82*サマリー!$B$12)</f>
        <v>22319</v>
      </c>
      <c r="E82" s="26">
        <f t="shared" si="5"/>
        <v>71838</v>
      </c>
      <c r="I82" s="29">
        <v>24519</v>
      </c>
      <c r="J82" s="29"/>
      <c r="K82" s="29"/>
      <c r="L82" s="29"/>
      <c r="M82" s="29"/>
      <c r="N82" s="29"/>
      <c r="O82" s="29"/>
      <c r="P82" s="30">
        <v>1</v>
      </c>
      <c r="Q82" s="30"/>
      <c r="R82" s="30"/>
      <c r="S82" s="31"/>
      <c r="T82" s="31"/>
      <c r="U82" s="31"/>
      <c r="V82" s="31">
        <v>22319</v>
      </c>
      <c r="W82" s="31"/>
      <c r="X82" s="32"/>
      <c r="Y82" s="32"/>
      <c r="Z82" s="32"/>
    </row>
    <row r="83" spans="1:26">
      <c r="A83" s="28">
        <v>28</v>
      </c>
      <c r="B83" s="17">
        <f t="shared" si="6"/>
        <v>46170</v>
      </c>
      <c r="C83" s="26">
        <f>I83+J83+K83+L83+M83+N83+O83+IF(P83="",0,P83*サマリー!$B$9)+IF(Q83="",0,IF(Q83=200,サマリー!$B$10,IF(Q83=100,サマリー!$B$11,0)))+IF(R83="",0,R83*サマリー!$B$12)</f>
        <v>0</v>
      </c>
      <c r="D83" s="26">
        <f>S83+T83+U83+V83+W83+IF(X83="",0,X83*サマリー!$B$9)+IF(Y83="",0,IF(Y83=200,サマリー!$B$10,IF(Y83=100,サマリー!$B$11,0)))+IF(Z83="",0,Z83*サマリー!$B$12)</f>
        <v>11900</v>
      </c>
      <c r="E83" s="26">
        <f t="shared" si="5"/>
        <v>11900</v>
      </c>
      <c r="I83" s="29"/>
      <c r="J83" s="29"/>
      <c r="K83" s="29"/>
      <c r="L83" s="29"/>
      <c r="M83" s="29"/>
      <c r="N83" s="29"/>
      <c r="O83" s="29"/>
      <c r="P83" s="30"/>
      <c r="Q83" s="30"/>
      <c r="R83" s="30"/>
      <c r="S83" s="31"/>
      <c r="T83" s="31">
        <v>11900</v>
      </c>
      <c r="U83" s="31"/>
      <c r="V83" s="31"/>
      <c r="W83" s="31"/>
      <c r="X83" s="32"/>
      <c r="Y83" s="32"/>
      <c r="Z83" s="32"/>
    </row>
    <row r="84" spans="1:26">
      <c r="A84" s="28"/>
      <c r="B84" s="17">
        <f t="shared" si="6"/>
        <v>46170</v>
      </c>
      <c r="C84" s="26">
        <f>I84+J84+K84+L84+M84+N84+O84+IF(P84="",0,P84*サマリー!$B$9)+IF(Q84="",0,IF(Q84=200,サマリー!$B$10,IF(Q84=100,サマリー!$B$11,0)))+IF(R84="",0,R84*サマリー!$B$12)</f>
        <v>44380</v>
      </c>
      <c r="D84" s="26">
        <f>S84+T84+U84+V84+W84+IF(X84="",0,X84*サマリー!$B$9)+IF(Y84="",0,IF(Y84=200,サマリー!$B$10,IF(Y84=100,サマリー!$B$11,0)))+IF(Z84="",0,Z84*サマリー!$B$12)</f>
        <v>0</v>
      </c>
      <c r="E84" s="26">
        <f t="shared" si="5"/>
        <v>44380</v>
      </c>
      <c r="I84" s="29"/>
      <c r="J84" s="29">
        <v>44380</v>
      </c>
      <c r="K84" s="29"/>
      <c r="L84" s="29"/>
      <c r="M84" s="29"/>
      <c r="N84" s="29"/>
      <c r="O84" s="29"/>
      <c r="P84" s="30"/>
      <c r="Q84" s="30"/>
      <c r="R84" s="30"/>
      <c r="S84" s="31"/>
      <c r="T84" s="31"/>
      <c r="U84" s="31"/>
      <c r="V84" s="31"/>
      <c r="W84" s="31"/>
      <c r="X84" s="32"/>
      <c r="Y84" s="32"/>
      <c r="Z84" s="32"/>
    </row>
    <row r="85" spans="1:26">
      <c r="A85" s="28"/>
      <c r="B85" s="17">
        <f t="shared" si="6"/>
        <v>46170</v>
      </c>
      <c r="C85" s="26">
        <f>I85+J85+K85+L85+M85+N85+O85+IF(P85="",0,P85*サマリー!$B$9)+IF(Q85="",0,IF(Q85=200,サマリー!$B$10,IF(Q85=100,サマリー!$B$11,0)))+IF(R85="",0,R85*サマリー!$B$12)</f>
        <v>15765</v>
      </c>
      <c r="D85" s="26">
        <f>S85+T85+U85+V85+W85+IF(X85="",0,X85*サマリー!$B$9)+IF(Y85="",0,IF(Y85=200,サマリー!$B$10,IF(Y85=100,サマリー!$B$11,0)))+IF(Z85="",0,Z85*サマリー!$B$12)</f>
        <v>0</v>
      </c>
      <c r="E85" s="26">
        <f t="shared" si="5"/>
        <v>15765</v>
      </c>
      <c r="I85" s="29"/>
      <c r="J85" s="29">
        <v>15765</v>
      </c>
      <c r="K85" s="29"/>
      <c r="L85" s="29"/>
      <c r="M85" s="29"/>
      <c r="N85" s="29"/>
      <c r="O85" s="29"/>
      <c r="P85" s="30"/>
      <c r="Q85" s="30"/>
      <c r="R85" s="30"/>
      <c r="S85" s="31"/>
      <c r="T85" s="31"/>
      <c r="U85" s="31"/>
      <c r="V85" s="31"/>
      <c r="W85" s="31"/>
      <c r="X85" s="32"/>
      <c r="Y85" s="32"/>
      <c r="Z85" s="32"/>
    </row>
    <row r="86" spans="1:26">
      <c r="A86" s="28">
        <v>29</v>
      </c>
      <c r="B86" s="17">
        <f t="shared" si="6"/>
        <v>46171</v>
      </c>
      <c r="C86" s="26">
        <f>I86+J86+K86+L86+M86+N86+O86+IF(P86="",0,P86*サマリー!$B$9)+IF(Q86="",0,IF(Q86=200,サマリー!$B$10,IF(Q86=100,サマリー!$B$11,0)))+IF(R86="",0,R86*サマリー!$B$12)</f>
        <v>5855</v>
      </c>
      <c r="D86" s="26">
        <f>S86+T86+U86+V86+W86+IF(X86="",0,X86*サマリー!$B$9)+IF(Y86="",0,IF(Y86=200,サマリー!$B$10,IF(Y86=100,サマリー!$B$11,0)))+IF(Z86="",0,Z86*サマリー!$B$12)</f>
        <v>17419</v>
      </c>
      <c r="E86" s="26">
        <f t="shared" si="5"/>
        <v>23274</v>
      </c>
      <c r="I86" s="29"/>
      <c r="J86" s="29">
        <v>5855</v>
      </c>
      <c r="K86" s="29"/>
      <c r="L86" s="29"/>
      <c r="M86" s="29"/>
      <c r="N86" s="29"/>
      <c r="O86" s="29"/>
      <c r="P86" s="30"/>
      <c r="Q86" s="30"/>
      <c r="R86" s="30"/>
      <c r="S86" s="31"/>
      <c r="T86" s="31"/>
      <c r="U86" s="31"/>
      <c r="V86" s="31">
        <v>17419</v>
      </c>
      <c r="W86" s="31"/>
      <c r="X86" s="32"/>
      <c r="Y86" s="32"/>
      <c r="Z86" s="32"/>
    </row>
    <row r="87" spans="1:26">
      <c r="A87" s="28"/>
      <c r="B87" s="17">
        <f t="shared" si="6"/>
        <v>46171</v>
      </c>
      <c r="C87" s="26">
        <f>I87+J87+K87+L87+M87+N87+O87+IF(P87="",0,P87*サマリー!$B$9)+IF(Q87="",0,IF(Q87=200,サマリー!$B$10,IF(Q87=100,サマリー!$B$11,0)))+IF(R87="",0,R87*サマリー!$B$12)</f>
        <v>38798</v>
      </c>
      <c r="D87" s="26">
        <f>S87+T87+U87+V87+W87+IF(X87="",0,X87*サマリー!$B$9)+IF(Y87="",0,IF(Y87=200,サマリー!$B$10,IF(Y87=100,サマリー!$B$11,0)))+IF(Z87="",0,Z87*サマリー!$B$12)</f>
        <v>0</v>
      </c>
      <c r="E87" s="26">
        <f t="shared" si="5"/>
        <v>38798</v>
      </c>
      <c r="I87" s="29">
        <v>31557</v>
      </c>
      <c r="J87" s="29"/>
      <c r="K87" s="29"/>
      <c r="L87" s="29"/>
      <c r="M87" s="29"/>
      <c r="N87" s="29"/>
      <c r="O87" s="29"/>
      <c r="P87" s="30"/>
      <c r="Q87" s="30">
        <v>200</v>
      </c>
      <c r="R87" s="30"/>
      <c r="S87" s="31"/>
      <c r="T87" s="31"/>
      <c r="U87" s="31"/>
      <c r="V87" s="31"/>
      <c r="W87" s="31"/>
      <c r="X87" s="32"/>
      <c r="Y87" s="32"/>
      <c r="Z87" s="32"/>
    </row>
    <row r="88" spans="1:26">
      <c r="A88" s="28"/>
      <c r="B88" s="17">
        <f t="shared" si="6"/>
        <v>46171</v>
      </c>
      <c r="C88" s="26">
        <f>I88+J88+K88+L88+M88+N88+O88+IF(P88="",0,P88*サマリー!$B$9)+IF(Q88="",0,IF(Q88=200,サマリー!$B$10,IF(Q88=100,サマリー!$B$11,0)))+IF(R88="",0,R88*サマリー!$B$12)</f>
        <v>5519</v>
      </c>
      <c r="D88" s="26">
        <f>S88+T88+U88+V88+W88+IF(X88="",0,X88*サマリー!$B$9)+IF(Y88="",0,IF(Y88=200,サマリー!$B$10,IF(Y88=100,サマリー!$B$11,0)))+IF(Z88="",0,Z88*サマリー!$B$12)</f>
        <v>0</v>
      </c>
      <c r="E88" s="26">
        <f t="shared" si="5"/>
        <v>5519</v>
      </c>
      <c r="I88" s="29"/>
      <c r="J88" s="29">
        <v>5519</v>
      </c>
      <c r="K88" s="29"/>
      <c r="L88" s="29"/>
      <c r="M88" s="29"/>
      <c r="N88" s="29"/>
      <c r="O88" s="29"/>
      <c r="P88" s="30"/>
      <c r="Q88" s="30"/>
      <c r="R88" s="30"/>
      <c r="S88" s="31"/>
      <c r="T88" s="31"/>
      <c r="U88" s="31"/>
      <c r="V88" s="31"/>
      <c r="W88" s="31"/>
      <c r="X88" s="32"/>
      <c r="Y88" s="32"/>
      <c r="Z88" s="32"/>
    </row>
    <row r="89" spans="1:26">
      <c r="A89" s="28"/>
      <c r="B89" s="17">
        <f t="shared" si="6"/>
        <v>46171</v>
      </c>
      <c r="C89" s="26">
        <f>I89+J89+K89+L89+M89+N89+O89+IF(P89="",0,P89*サマリー!$B$9)+IF(Q89="",0,IF(Q89=200,サマリー!$B$10,IF(Q89=100,サマリー!$B$11,0)))+IF(R89="",0,R89*サマリー!$B$12)</f>
        <v>62398</v>
      </c>
      <c r="D89" s="26">
        <f>S89+T89+U89+V89+W89+IF(X89="",0,X89*サマリー!$B$9)+IF(Y89="",0,IF(Y89=200,サマリー!$B$10,IF(Y89=100,サマリー!$B$11,0)))+IF(Z89="",0,Z89*サマリー!$B$12)</f>
        <v>0</v>
      </c>
      <c r="E89" s="26">
        <f t="shared" si="5"/>
        <v>62398</v>
      </c>
      <c r="I89" s="29">
        <v>55157</v>
      </c>
      <c r="J89" s="29"/>
      <c r="K89" s="29"/>
      <c r="L89" s="29"/>
      <c r="M89" s="29"/>
      <c r="N89" s="29"/>
      <c r="O89" s="29"/>
      <c r="P89" s="30"/>
      <c r="Q89" s="30">
        <v>200</v>
      </c>
      <c r="R89" s="30"/>
      <c r="S89" s="31"/>
      <c r="T89" s="31"/>
      <c r="U89" s="31"/>
      <c r="V89" s="31"/>
      <c r="W89" s="31"/>
      <c r="X89" s="32"/>
      <c r="Y89" s="32"/>
      <c r="Z89" s="32"/>
    </row>
    <row r="90" spans="1:26">
      <c r="A90" s="28">
        <v>30</v>
      </c>
      <c r="B90" s="17">
        <f t="shared" si="6"/>
        <v>46172</v>
      </c>
      <c r="C90" s="26">
        <f>I90+J90+K90+L90+M90+N90+O90+IF(P90="",0,P90*サマリー!$B$9)+IF(Q90="",0,IF(Q90=200,サマリー!$B$10,IF(Q90=100,サマリー!$B$11,0)))+IF(R90="",0,R90*サマリー!$B$12)</f>
        <v>13876</v>
      </c>
      <c r="D90" s="26">
        <f>S90+T90+U90+V90+W90+IF(X90="",0,X90*サマリー!$B$9)+IF(Y90="",0,IF(Y90=200,サマリー!$B$10,IF(Y90=100,サマリー!$B$11,0)))+IF(Z90="",0,Z90*サマリー!$B$12)</f>
        <v>8600</v>
      </c>
      <c r="E90" s="26">
        <f t="shared" si="5"/>
        <v>22476</v>
      </c>
      <c r="I90" s="29"/>
      <c r="J90" s="29"/>
      <c r="K90" s="29"/>
      <c r="L90" s="29"/>
      <c r="M90" s="29">
        <v>13876</v>
      </c>
      <c r="N90" s="29"/>
      <c r="O90" s="29"/>
      <c r="P90" s="30"/>
      <c r="Q90" s="30"/>
      <c r="R90" s="30"/>
      <c r="S90" s="31"/>
      <c r="T90" s="31">
        <v>8600</v>
      </c>
      <c r="U90" s="31"/>
      <c r="V90" s="31"/>
      <c r="W90" s="31"/>
      <c r="X90" s="32"/>
      <c r="Y90" s="32"/>
      <c r="Z90" s="32"/>
    </row>
    <row r="91" spans="1:26">
      <c r="A91" s="28"/>
      <c r="B91" s="17">
        <f t="shared" si="6"/>
        <v>46172</v>
      </c>
      <c r="C91" s="26">
        <f>I91+J91+K91+L91+M91+N91+O91+IF(P91="",0,P91*サマリー!$B$9)+IF(Q91="",0,IF(Q91=200,サマリー!$B$10,IF(Q91=100,サマリー!$B$11,0)))+IF(R91="",0,R91*サマリー!$B$12)</f>
        <v>0</v>
      </c>
      <c r="D91" s="26">
        <f>S91+T91+U91+V91+W91+IF(X91="",0,X91*サマリー!$B$9)+IF(Y91="",0,IF(Y91=200,サマリー!$B$10,IF(Y91=100,サマリー!$B$11,0)))+IF(Z91="",0,Z91*サマリー!$B$12)</f>
        <v>5500</v>
      </c>
      <c r="E91" s="26">
        <f t="shared" si="5"/>
        <v>5500</v>
      </c>
      <c r="I91" s="29"/>
      <c r="J91" s="29"/>
      <c r="K91" s="29"/>
      <c r="L91" s="29"/>
      <c r="M91" s="29"/>
      <c r="N91" s="29"/>
      <c r="O91" s="29"/>
      <c r="P91" s="30"/>
      <c r="Q91" s="30"/>
      <c r="R91" s="30"/>
      <c r="S91" s="31"/>
      <c r="T91" s="31">
        <v>5500</v>
      </c>
      <c r="U91" s="31"/>
      <c r="V91" s="31"/>
      <c r="W91" s="31"/>
      <c r="X91" s="32"/>
      <c r="Y91" s="32"/>
      <c r="Z91" s="32"/>
    </row>
    <row r="92" spans="1:26">
      <c r="A92" s="28"/>
      <c r="B92" s="17">
        <f t="shared" si="6"/>
        <v>46172</v>
      </c>
      <c r="C92" s="26">
        <f>I92+J92+K92+L92+M92+N92+O92+IF(P92="",0,P92*サマリー!$B$9)+IF(Q92="",0,IF(Q92=200,サマリー!$B$10,IF(Q92=100,サマリー!$B$11,0)))+IF(R92="",0,R92*サマリー!$B$12)</f>
        <v>2648</v>
      </c>
      <c r="D92" s="26">
        <f>S92+T92+U92+V92+W92+IF(X92="",0,X92*サマリー!$B$9)+IF(Y92="",0,IF(Y92=200,サマリー!$B$10,IF(Y92=100,サマリー!$B$11,0)))+IF(Z92="",0,Z92*サマリー!$B$12)</f>
        <v>0</v>
      </c>
      <c r="E92" s="26">
        <f t="shared" si="5"/>
        <v>2648</v>
      </c>
      <c r="I92" s="29"/>
      <c r="J92" s="29">
        <v>1920</v>
      </c>
      <c r="K92" s="29">
        <v>728</v>
      </c>
      <c r="L92" s="29"/>
      <c r="M92" s="29"/>
      <c r="N92" s="29"/>
      <c r="O92" s="29"/>
      <c r="P92" s="30"/>
      <c r="Q92" s="30"/>
      <c r="R92" s="30"/>
      <c r="S92" s="31"/>
      <c r="T92" s="31"/>
      <c r="U92" s="31"/>
      <c r="V92" s="31"/>
      <c r="W92" s="31"/>
      <c r="X92" s="32"/>
      <c r="Y92" s="32"/>
      <c r="Z92" s="32"/>
    </row>
    <row r="93" spans="1:26">
      <c r="A93" s="28"/>
      <c r="B93" s="17">
        <f t="shared" si="6"/>
        <v>46172</v>
      </c>
      <c r="C93" s="26">
        <f>I93+J93+K93+L93+M93+N93+O93+IF(P93="",0,P93*サマリー!$B$9)+IF(Q93="",0,IF(Q93=200,サマリー!$B$10,IF(Q93=100,サマリー!$B$11,0)))+IF(R93="",0,R93*サマリー!$B$12)</f>
        <v>0</v>
      </c>
      <c r="D93" s="26">
        <f>S93+T93+U93+V93+W93+IF(X93="",0,X93*サマリー!$B$9)+IF(Y93="",0,IF(Y93=200,サマリー!$B$10,IF(Y93=100,サマリー!$B$11,0)))+IF(Z93="",0,Z93*サマリー!$B$12)</f>
        <v>24640</v>
      </c>
      <c r="E93" s="26">
        <f t="shared" si="5"/>
        <v>24640</v>
      </c>
      <c r="I93" s="29"/>
      <c r="J93" s="29"/>
      <c r="K93" s="29"/>
      <c r="L93" s="29"/>
      <c r="M93" s="29"/>
      <c r="N93" s="29"/>
      <c r="O93" s="29"/>
      <c r="P93" s="30"/>
      <c r="Q93" s="30"/>
      <c r="R93" s="30"/>
      <c r="S93" s="31">
        <v>24640</v>
      </c>
      <c r="T93" s="31"/>
      <c r="U93" s="31"/>
      <c r="V93" s="31"/>
      <c r="W93" s="31"/>
      <c r="X93" s="32"/>
      <c r="Y93" s="32"/>
      <c r="Z93" s="32"/>
    </row>
    <row r="94" spans="1:26">
      <c r="A94" s="28"/>
      <c r="B94" s="17">
        <f t="shared" si="6"/>
        <v>46172</v>
      </c>
      <c r="C94" s="26">
        <f>I94+J94+K94+L94+M94+N94+O94+IF(P94="",0,P94*サマリー!$B$9)+IF(Q94="",0,IF(Q94=200,サマリー!$B$10,IF(Q94=100,サマリー!$B$11,0)))+IF(R94="",0,R94*サマリー!$B$12)</f>
        <v>22440</v>
      </c>
      <c r="D94" s="26">
        <f>S94+T94+U94+V94+W94+IF(X94="",0,X94*サマリー!$B$9)+IF(Y94="",0,IF(Y94=200,サマリー!$B$10,IF(Y94=100,サマリー!$B$11,0)))+IF(Z94="",0,Z94*サマリー!$B$12)</f>
        <v>0</v>
      </c>
      <c r="E94" s="26">
        <f t="shared" si="5"/>
        <v>22440</v>
      </c>
      <c r="I94" s="29">
        <v>22440</v>
      </c>
      <c r="J94" s="29"/>
      <c r="K94" s="29"/>
      <c r="L94" s="29"/>
      <c r="M94" s="29"/>
      <c r="N94" s="29"/>
      <c r="O94" s="29"/>
      <c r="P94" s="30"/>
      <c r="Q94" s="30"/>
      <c r="R94" s="30"/>
      <c r="S94" s="31"/>
      <c r="T94" s="31"/>
      <c r="U94" s="31"/>
      <c r="V94" s="31"/>
      <c r="W94" s="31"/>
      <c r="X94" s="32"/>
      <c r="Y94" s="32"/>
      <c r="Z94" s="32"/>
    </row>
    <row r="95" spans="1:26">
      <c r="A95" s="28"/>
      <c r="B95" s="17">
        <f t="shared" si="6"/>
        <v>46172</v>
      </c>
      <c r="C95" s="26">
        <f>I95+J95+K95+L95+M95+N95+O95+IF(P95="",0,P95*サマリー!$B$9)+IF(Q95="",0,IF(Q95=200,サマリー!$B$10,IF(Q95=100,サマリー!$B$11,0)))+IF(R95="",0,R95*サマリー!$B$12)</f>
        <v>0</v>
      </c>
      <c r="D95" s="26">
        <f>S95+T95+U95+V95+W95+IF(X95="",0,X95*サマリー!$B$9)+IF(Y95="",0,IF(Y95=200,サマリー!$B$10,IF(Y95=100,サマリー!$B$11,0)))+IF(Z95="",0,Z95*サマリー!$B$12)</f>
        <v>24519</v>
      </c>
      <c r="E95" s="26">
        <f t="shared" si="5"/>
        <v>24519</v>
      </c>
      <c r="I95" s="29"/>
      <c r="J95" s="29"/>
      <c r="K95" s="29"/>
      <c r="L95" s="29"/>
      <c r="M95" s="29"/>
      <c r="N95" s="29"/>
      <c r="O95" s="29"/>
      <c r="P95" s="30"/>
      <c r="Q95" s="30"/>
      <c r="R95" s="30"/>
      <c r="S95" s="31">
        <v>24519</v>
      </c>
      <c r="T95" s="31"/>
      <c r="U95" s="31"/>
      <c r="V95" s="31"/>
      <c r="W95" s="31"/>
      <c r="X95" s="32"/>
      <c r="Y95" s="32"/>
      <c r="Z95" s="32"/>
    </row>
    <row r="96" spans="1:26">
      <c r="A96" s="28">
        <v>31</v>
      </c>
      <c r="B96" s="17">
        <f t="shared" si="6"/>
        <v>46173</v>
      </c>
      <c r="C96" s="26">
        <f>I96+J96+K96+L96+M96+N96+O96+IF(P96="",0,P96*サマリー!$B$9)+IF(Q96="",0,IF(Q96=200,サマリー!$B$10,IF(Q96=100,サマリー!$B$11,0)))+IF(R96="",0,R96*サマリー!$B$12)</f>
        <v>0</v>
      </c>
      <c r="D96" s="26">
        <f>S96+T96+U96+V96+W96+IF(X96="",0,X96*サマリー!$B$9)+IF(Y96="",0,IF(Y96=200,サマリー!$B$10,IF(Y96=100,サマリー!$B$11,0)))+IF(Z96="",0,Z96*サマリー!$B$12)</f>
        <v>3793</v>
      </c>
      <c r="E96" s="26">
        <f t="shared" si="5"/>
        <v>3793</v>
      </c>
      <c r="I96" s="29"/>
      <c r="J96" s="29"/>
      <c r="K96" s="29"/>
      <c r="L96" s="29"/>
      <c r="M96" s="29"/>
      <c r="N96" s="29"/>
      <c r="O96" s="29"/>
      <c r="P96" s="30"/>
      <c r="Q96" s="30"/>
      <c r="R96" s="30"/>
      <c r="S96" s="31"/>
      <c r="T96" s="31">
        <v>2750</v>
      </c>
      <c r="U96" s="31">
        <v>1043</v>
      </c>
      <c r="V96" s="31"/>
      <c r="W96" s="31"/>
      <c r="X96" s="32"/>
      <c r="Y96" s="32"/>
      <c r="Z96" s="32"/>
    </row>
    <row r="97" spans="1:26">
      <c r="A97" s="28">
        <v>1</v>
      </c>
      <c r="B97" s="17">
        <f t="shared" si="6"/>
        <v>46174</v>
      </c>
      <c r="C97" s="26">
        <f>I97+J97+K97+L97+M97+N97+O97+IF(P97="",0,P97*サマリー!$B$9)+IF(Q97="",0,IF(Q97=200,サマリー!$B$10,IF(Q97=100,サマリー!$B$11,0)))+IF(R97="",0,R97*サマリー!$B$12)</f>
        <v>0</v>
      </c>
      <c r="D97" s="26">
        <f>S97+T97+U97+V97+W97+IF(X97="",0,X97*サマリー!$B$9)+IF(Y97="",0,IF(Y97=200,サマリー!$B$10,IF(Y97=100,サマリー!$B$11,0)))+IF(Z97="",0,Z97*サマリー!$B$12)</f>
        <v>5519</v>
      </c>
      <c r="E97" s="26">
        <f t="shared" si="5"/>
        <v>5519</v>
      </c>
      <c r="I97" s="29"/>
      <c r="J97" s="29"/>
      <c r="K97" s="29"/>
      <c r="L97" s="29"/>
      <c r="M97" s="29"/>
      <c r="N97" s="29"/>
      <c r="O97" s="29"/>
      <c r="P97" s="30"/>
      <c r="Q97" s="30"/>
      <c r="R97" s="30"/>
      <c r="S97" s="31"/>
      <c r="T97" s="31">
        <v>5519</v>
      </c>
      <c r="U97" s="31"/>
      <c r="V97" s="31"/>
      <c r="W97" s="31"/>
      <c r="X97" s="32"/>
      <c r="Y97" s="32"/>
      <c r="Z97" s="32"/>
    </row>
    <row r="98" spans="1:26">
      <c r="A98" s="28"/>
      <c r="B98" s="17">
        <f t="shared" si="6"/>
        <v>46174</v>
      </c>
      <c r="C98" s="26">
        <f>I98+J98+K98+L98+M98+N98+O98+IF(P98="",0,P98*サマリー!$B$9)+IF(Q98="",0,IF(Q98=200,サマリー!$B$10,IF(Q98=100,サマリー!$B$11,0)))+IF(R98="",0,R98*サマリー!$B$12)</f>
        <v>0</v>
      </c>
      <c r="D98" s="26">
        <f>S98+T98+U98+V98+W98+IF(X98="",0,X98*サマリー!$B$9)+IF(Y98="",0,IF(Y98=200,サマリー!$B$10,IF(Y98=100,サマリー!$B$11,0)))+IF(Z98="",0,Z98*サマリー!$B$12)</f>
        <v>5500</v>
      </c>
      <c r="E98" s="26">
        <f t="shared" si="5"/>
        <v>5500</v>
      </c>
      <c r="I98" s="29"/>
      <c r="J98" s="29"/>
      <c r="K98" s="29"/>
      <c r="L98" s="29"/>
      <c r="M98" s="29"/>
      <c r="N98" s="29"/>
      <c r="O98" s="29"/>
      <c r="P98" s="30"/>
      <c r="Q98" s="30"/>
      <c r="R98" s="30"/>
      <c r="S98" s="31"/>
      <c r="T98" s="31">
        <v>5500</v>
      </c>
      <c r="U98" s="31"/>
      <c r="V98" s="31"/>
      <c r="W98" s="31"/>
      <c r="X98" s="32"/>
      <c r="Y98" s="32"/>
      <c r="Z98" s="32"/>
    </row>
    <row r="99" spans="1:26">
      <c r="A99" s="28"/>
      <c r="B99" s="17">
        <f t="shared" si="6"/>
        <v>46174</v>
      </c>
      <c r="C99" s="26">
        <f>I99+J99+K99+L99+M99+N99+O99+IF(P99="",0,P99*サマリー!$B$9)+IF(Q99="",0,IF(Q99=200,サマリー!$B$10,IF(Q99=100,サマリー!$B$11,0)))+IF(R99="",0,R99*サマリー!$B$12)</f>
        <v>0</v>
      </c>
      <c r="D99" s="26">
        <f>S99+T99+U99+V99+W99+IF(X99="",0,X99*サマリー!$B$9)+IF(Y99="",0,IF(Y99=200,サマリー!$B$10,IF(Y99=100,サマリー!$B$11,0)))+IF(Z99="",0,Z99*サマリー!$B$12)</f>
        <v>35279</v>
      </c>
      <c r="E99" s="26">
        <f t="shared" si="5"/>
        <v>35279</v>
      </c>
      <c r="I99" s="29"/>
      <c r="J99" s="29"/>
      <c r="K99" s="29"/>
      <c r="L99" s="29"/>
      <c r="M99" s="29"/>
      <c r="N99" s="29"/>
      <c r="O99" s="29"/>
      <c r="P99" s="30"/>
      <c r="Q99" s="30"/>
      <c r="R99" s="30"/>
      <c r="S99" s="31">
        <v>28038</v>
      </c>
      <c r="T99" s="31"/>
      <c r="U99" s="31"/>
      <c r="V99" s="31"/>
      <c r="W99" s="31"/>
      <c r="X99" s="32"/>
      <c r="Y99" s="32">
        <v>200</v>
      </c>
      <c r="Z99" s="32"/>
    </row>
    <row r="100" spans="1:26">
      <c r="A100" s="28"/>
      <c r="B100" s="17">
        <f t="shared" si="6"/>
        <v>46174</v>
      </c>
      <c r="C100" s="26">
        <f>I100+J100+K100+L100+M100+N100+O100+IF(P100="",0,P100*サマリー!$B$9)+IF(Q100="",0,IF(Q100=200,サマリー!$B$10,IF(Q100=100,サマリー!$B$11,0)))+IF(R100="",0,R100*サマリー!$B$12)</f>
        <v>0</v>
      </c>
      <c r="D100" s="26">
        <f>S100+T100+U100+V100+W100+IF(X100="",0,X100*サマリー!$B$9)+IF(Y100="",0,IF(Y100=200,サマリー!$B$10,IF(Y100=100,サマリー!$B$11,0)))+IF(Z100="",0,Z100*サマリー!$B$12)</f>
        <v>19560</v>
      </c>
      <c r="E100" s="26">
        <f t="shared" si="5"/>
        <v>19560</v>
      </c>
      <c r="I100" s="29"/>
      <c r="J100" s="29"/>
      <c r="K100" s="29"/>
      <c r="L100" s="29"/>
      <c r="M100" s="29"/>
      <c r="N100" s="29"/>
      <c r="O100" s="29"/>
      <c r="P100" s="30"/>
      <c r="Q100" s="30"/>
      <c r="R100" s="30"/>
      <c r="S100" s="31">
        <v>12319</v>
      </c>
      <c r="T100" s="31"/>
      <c r="U100" s="31"/>
      <c r="V100" s="31"/>
      <c r="W100" s="31"/>
      <c r="X100" s="32"/>
      <c r="Y100" s="32">
        <v>200</v>
      </c>
      <c r="Z100" s="32"/>
    </row>
    <row r="101" spans="1:26">
      <c r="A101" s="28">
        <v>2</v>
      </c>
      <c r="B101" s="17">
        <f t="shared" si="6"/>
        <v>46175</v>
      </c>
      <c r="C101" s="26">
        <f>I101+J101+K101+L101+M101+N101+O101+IF(P101="",0,P101*サマリー!$B$9)+IF(Q101="",0,IF(Q101=200,サマリー!$B$10,IF(Q101=100,サマリー!$B$11,0)))+IF(R101="",0,R101*サマリー!$B$12)</f>
        <v>52279</v>
      </c>
      <c r="D101" s="26">
        <f>S101+T101+U101+V101+W101+IF(X101="",0,X101*サマリー!$B$9)+IF(Y101="",0,IF(Y101=200,サマリー!$B$10,IF(Y101=100,サマリー!$B$11,0)))+IF(Z101="",0,Z101*サマリー!$B$12)</f>
        <v>0</v>
      </c>
      <c r="E101" s="26">
        <f t="shared" si="5"/>
        <v>52279</v>
      </c>
      <c r="I101" s="29">
        <v>45038</v>
      </c>
      <c r="J101" s="29"/>
      <c r="K101" s="29"/>
      <c r="L101" s="29"/>
      <c r="M101" s="29"/>
      <c r="N101" s="29"/>
      <c r="O101" s="29"/>
      <c r="P101" s="30"/>
      <c r="Q101" s="30">
        <v>200</v>
      </c>
      <c r="R101" s="30"/>
      <c r="S101" s="31"/>
      <c r="T101" s="31"/>
      <c r="U101" s="31"/>
      <c r="V101" s="31"/>
      <c r="W101" s="31"/>
      <c r="X101" s="32"/>
      <c r="Y101" s="32"/>
      <c r="Z101" s="32"/>
    </row>
    <row r="102" spans="1:26">
      <c r="A102" s="28">
        <v>3</v>
      </c>
      <c r="B102" s="17">
        <f t="shared" si="6"/>
        <v>46176</v>
      </c>
      <c r="C102" s="26">
        <f>I102+J102+K102+L102+M102+N102+O102+IF(P102="",0,P102*サマリー!$B$9)+IF(Q102="",0,IF(Q102=200,サマリー!$B$10,IF(Q102=100,サマリー!$B$11,0)))+IF(R102="",0,R102*サマリー!$B$12)</f>
        <v>35279</v>
      </c>
      <c r="D102" s="26">
        <f>S102+T102+U102+V102+W102+IF(X102="",0,X102*サマリー!$B$9)+IF(Y102="",0,IF(Y102=200,サマリー!$B$10,IF(Y102=100,サマリー!$B$11,0)))+IF(Z102="",0,Z102*サマリー!$B$12)</f>
        <v>0</v>
      </c>
      <c r="E102" s="26">
        <f t="shared" si="5"/>
        <v>35279</v>
      </c>
      <c r="I102" s="29">
        <v>28038</v>
      </c>
      <c r="J102" s="29"/>
      <c r="K102" s="29"/>
      <c r="L102" s="29"/>
      <c r="M102" s="29"/>
      <c r="N102" s="29"/>
      <c r="O102" s="29"/>
      <c r="P102" s="30"/>
      <c r="Q102" s="30">
        <v>200</v>
      </c>
      <c r="R102" s="30"/>
      <c r="S102" s="31"/>
      <c r="T102" s="31"/>
      <c r="U102" s="31"/>
      <c r="V102" s="31"/>
      <c r="W102" s="31"/>
      <c r="X102" s="32"/>
      <c r="Y102" s="32"/>
      <c r="Z102" s="32"/>
    </row>
    <row r="103" spans="1:26">
      <c r="A103" s="28"/>
      <c r="B103" s="17">
        <f t="shared" si="6"/>
        <v>46176</v>
      </c>
      <c r="C103" s="26">
        <f>I103+J103+K103+L103+M103+N103+O103+IF(P103="",0,P103*サマリー!$B$9)+IF(Q103="",0,IF(Q103=200,サマリー!$B$10,IF(Q103=100,サマリー!$B$11,0)))+IF(R103="",0,R103*サマリー!$B$12)</f>
        <v>8601</v>
      </c>
      <c r="D103" s="26">
        <f>S103+T103+U103+V103+W103+IF(X103="",0,X103*サマリー!$B$9)+IF(Y103="",0,IF(Y103=200,サマリー!$B$10,IF(Y103=100,サマリー!$B$11,0)))+IF(Z103="",0,Z103*サマリー!$B$12)</f>
        <v>0</v>
      </c>
      <c r="E103" s="26">
        <f t="shared" si="5"/>
        <v>8601</v>
      </c>
      <c r="I103" s="29"/>
      <c r="J103" s="29">
        <v>8601</v>
      </c>
      <c r="K103" s="29"/>
      <c r="L103" s="29"/>
      <c r="M103" s="29"/>
      <c r="N103" s="29"/>
      <c r="O103" s="29"/>
      <c r="P103" s="30"/>
      <c r="Q103" s="30"/>
      <c r="R103" s="30"/>
      <c r="S103" s="31"/>
      <c r="T103" s="31"/>
      <c r="U103" s="31"/>
      <c r="V103" s="31"/>
      <c r="W103" s="31"/>
      <c r="X103" s="32"/>
      <c r="Y103" s="32"/>
      <c r="Z103" s="32"/>
    </row>
    <row r="104" spans="1:26">
      <c r="A104" s="28">
        <v>4</v>
      </c>
      <c r="B104" s="17">
        <f t="shared" si="6"/>
        <v>46177</v>
      </c>
      <c r="C104" s="26">
        <f>I104+J104+K104+L104+M104+N104+O104+IF(P104="",0,P104*サマリー!$B$9)+IF(Q104="",0,IF(Q104=200,サマリー!$B$10,IF(Q104=100,サマリー!$B$11,0)))+IF(R104="",0,R104*サマリー!$B$12)</f>
        <v>19620</v>
      </c>
      <c r="D104" s="26">
        <f>S104+T104+U104+V104+W104+IF(X104="",0,X104*サマリー!$B$9)+IF(Y104="",0,IF(Y104=200,サマリー!$B$10,IF(Y104=100,サマリー!$B$11,0)))+IF(Z104="",0,Z104*サマリー!$B$12)</f>
        <v>0</v>
      </c>
      <c r="E104" s="26">
        <f t="shared" si="5"/>
        <v>19620</v>
      </c>
      <c r="I104" s="29"/>
      <c r="J104" s="29">
        <v>19620</v>
      </c>
      <c r="K104" s="29"/>
      <c r="L104" s="29"/>
      <c r="M104" s="29"/>
      <c r="N104" s="29"/>
      <c r="O104" s="29"/>
      <c r="P104" s="30"/>
      <c r="Q104" s="30"/>
      <c r="R104" s="30"/>
      <c r="S104" s="31"/>
      <c r="T104" s="31"/>
      <c r="U104" s="31"/>
      <c r="V104" s="31"/>
      <c r="W104" s="31"/>
      <c r="X104" s="32"/>
      <c r="Y104" s="32"/>
      <c r="Z104" s="32"/>
    </row>
    <row r="105" spans="1:26">
      <c r="A105" s="28">
        <v>5</v>
      </c>
      <c r="B105" s="17">
        <f t="shared" si="6"/>
        <v>46178</v>
      </c>
      <c r="C105" s="26">
        <f>I105+J105+K105+L105+M105+N105+O105+IF(P105="",0,P105*サマリー!$B$9)+IF(Q105="",0,IF(Q105=200,サマリー!$B$10,IF(Q105=100,サマリー!$B$11,0)))+IF(R105="",0,R105*サマリー!$B$12)</f>
        <v>0</v>
      </c>
      <c r="D105" s="26">
        <f>S105+T105+U105+V105+W105+IF(X105="",0,X105*サマリー!$B$9)+IF(Y105="",0,IF(Y105=200,サマリー!$B$10,IF(Y105=100,サマリー!$B$11,0)))+IF(Z105="",0,Z105*サマリー!$B$12)</f>
        <v>50738</v>
      </c>
      <c r="E105" s="26">
        <f t="shared" si="5"/>
        <v>50738</v>
      </c>
      <c r="I105" s="29">
        <v>0</v>
      </c>
      <c r="J105" s="29"/>
      <c r="K105" s="29"/>
      <c r="L105" s="29"/>
      <c r="M105" s="29"/>
      <c r="N105" s="29"/>
      <c r="O105" s="29"/>
      <c r="P105" s="30"/>
      <c r="Q105" s="30"/>
      <c r="R105" s="30"/>
      <c r="S105" s="31"/>
      <c r="T105" s="31"/>
      <c r="U105" s="31"/>
      <c r="V105" s="31">
        <v>50738</v>
      </c>
      <c r="W105" s="31"/>
      <c r="X105" s="32"/>
      <c r="Y105" s="32"/>
      <c r="Z105" s="32"/>
    </row>
    <row r="106" spans="1:26">
      <c r="A106" s="28">
        <v>6</v>
      </c>
      <c r="B106" s="17">
        <f t="shared" si="6"/>
        <v>46179</v>
      </c>
      <c r="C106" s="26">
        <f>I106+J106+K106+L106+M106+N106+O106+IF(P106="",0,P106*サマリー!$B$9)+IF(Q106="",0,IF(Q106=200,サマリー!$B$10,IF(Q106=100,サマリー!$B$11,0)))+IF(R106="",0,R106*サマリー!$B$12)</f>
        <v>0</v>
      </c>
      <c r="D106" s="26">
        <f>S106+T106+U106+V106+W106+IF(X106="",0,X106*サマリー!$B$9)+IF(Y106="",0,IF(Y106=200,サマリー!$B$10,IF(Y106=100,サマリー!$B$11,0)))+IF(Z106="",0,Z106*サマリー!$B$12)</f>
        <v>31760</v>
      </c>
      <c r="E106" s="26">
        <f t="shared" si="5"/>
        <v>31760</v>
      </c>
      <c r="I106" s="29"/>
      <c r="J106" s="29"/>
      <c r="K106" s="29"/>
      <c r="L106" s="29"/>
      <c r="M106" s="29"/>
      <c r="N106" s="29"/>
      <c r="O106" s="29"/>
      <c r="P106" s="30"/>
      <c r="Q106" s="30"/>
      <c r="R106" s="30"/>
      <c r="S106" s="31">
        <v>24519</v>
      </c>
      <c r="T106" s="31"/>
      <c r="U106" s="31"/>
      <c r="V106" s="31"/>
      <c r="W106" s="31"/>
      <c r="X106" s="32"/>
      <c r="Y106" s="32">
        <v>200</v>
      </c>
      <c r="Z106" s="32"/>
    </row>
    <row r="107" spans="1:26">
      <c r="A107" s="28">
        <v>7</v>
      </c>
      <c r="B107" s="17">
        <f t="shared" si="6"/>
        <v>46180</v>
      </c>
      <c r="C107" s="26">
        <f>I107+J107+K107+L107+M107+N107+O107+IF(P107="",0,P107*サマリー!$B$9)+IF(Q107="",0,IF(Q107=200,サマリー!$B$10,IF(Q107=100,サマリー!$B$11,0)))+IF(R107="",0,R107*サマリー!$B$12)</f>
        <v>3300</v>
      </c>
      <c r="D107" s="26">
        <f>S107+T107+U107+V107+W107+IF(X107="",0,X107*サマリー!$B$9)+IF(Y107="",0,IF(Y107=200,サマリー!$B$10,IF(Y107=100,サマリー!$B$11,0)))+IF(Z107="",0,Z107*サマリー!$B$12)</f>
        <v>48800</v>
      </c>
      <c r="E107" s="26">
        <f t="shared" si="5"/>
        <v>52100</v>
      </c>
      <c r="I107" s="29"/>
      <c r="J107" s="29">
        <v>3300</v>
      </c>
      <c r="K107" s="29"/>
      <c r="L107" s="29"/>
      <c r="M107" s="29"/>
      <c r="N107" s="29"/>
      <c r="O107" s="29"/>
      <c r="P107" s="30"/>
      <c r="Q107" s="30"/>
      <c r="R107" s="30"/>
      <c r="S107" s="31"/>
      <c r="T107" s="31"/>
      <c r="U107" s="31"/>
      <c r="V107" s="31">
        <v>18800</v>
      </c>
      <c r="W107" s="31"/>
      <c r="X107" s="32"/>
      <c r="Y107" s="32"/>
      <c r="Z107" s="32">
        <v>1</v>
      </c>
    </row>
    <row r="108" spans="1:26">
      <c r="A108" s="28"/>
      <c r="B108" s="17">
        <f t="shared" si="6"/>
        <v>46180</v>
      </c>
      <c r="C108" s="26">
        <f>I108+J108+K108+L108+M108+N108+O108+IF(P108="",0,P108*サマリー!$B$9)+IF(Q108="",0,IF(Q108=200,サマリー!$B$10,IF(Q108=100,サマリー!$B$11,0)))+IF(R108="",0,R108*サマリー!$B$12)</f>
        <v>0</v>
      </c>
      <c r="D108" s="26">
        <f>S108+T108+U108+V108+W108+IF(X108="",0,X108*サマリー!$B$9)+IF(Y108="",0,IF(Y108=200,サマリー!$B$10,IF(Y108=100,サマリー!$B$11,0)))+IF(Z108="",0,Z108*サマリー!$B$12)</f>
        <v>30000</v>
      </c>
      <c r="E108" s="26">
        <f t="shared" si="5"/>
        <v>30000</v>
      </c>
      <c r="I108" s="29"/>
      <c r="J108" s="29"/>
      <c r="K108" s="29"/>
      <c r="L108" s="29"/>
      <c r="M108" s="29"/>
      <c r="N108" s="29"/>
      <c r="O108" s="29"/>
      <c r="P108" s="30"/>
      <c r="Q108" s="30"/>
      <c r="R108" s="30"/>
      <c r="S108" s="31">
        <v>21750</v>
      </c>
      <c r="T108" s="31"/>
      <c r="U108" s="31">
        <v>8250</v>
      </c>
      <c r="V108" s="31"/>
      <c r="W108" s="31"/>
      <c r="X108" s="32"/>
      <c r="Y108" s="32"/>
      <c r="Z108" s="32"/>
    </row>
    <row r="109" spans="1:26">
      <c r="A109" s="28"/>
      <c r="B109" s="17">
        <f t="shared" si="6"/>
        <v>46180</v>
      </c>
      <c r="C109" s="26">
        <f>I109+J109+K109+L109+M109+N109+O109+IF(P109="",0,P109*サマリー!$B$9)+IF(Q109="",0,IF(Q109=200,サマリー!$B$10,IF(Q109=100,サマリー!$B$11,0)))+IF(R109="",0,R109*サマリー!$B$12)</f>
        <v>20879</v>
      </c>
      <c r="D109" s="26">
        <f>S109+T109+U109+V109+W109+IF(X109="",0,X109*サマリー!$B$9)+IF(Y109="",0,IF(Y109=200,サマリー!$B$10,IF(Y109=100,サマリー!$B$11,0)))+IF(Z109="",0,Z109*サマリー!$B$12)</f>
        <v>0</v>
      </c>
      <c r="E109" s="26">
        <f t="shared" si="5"/>
        <v>20879</v>
      </c>
      <c r="I109" s="29">
        <v>13638</v>
      </c>
      <c r="J109" s="29"/>
      <c r="K109" s="29"/>
      <c r="L109" s="29"/>
      <c r="M109" s="29"/>
      <c r="N109" s="29"/>
      <c r="O109" s="29"/>
      <c r="P109" s="30"/>
      <c r="Q109" s="30">
        <v>200</v>
      </c>
      <c r="R109" s="30"/>
      <c r="S109" s="31"/>
      <c r="T109" s="31"/>
      <c r="U109" s="31"/>
      <c r="V109" s="31"/>
      <c r="W109" s="31"/>
      <c r="X109" s="32"/>
      <c r="Y109" s="32"/>
      <c r="Z109" s="32"/>
    </row>
    <row r="110" spans="1:26">
      <c r="A110" s="28"/>
      <c r="B110" s="17">
        <f t="shared" si="6"/>
        <v>46180</v>
      </c>
      <c r="C110" s="26">
        <f>I110+J110+K110+L110+M110+N110+O110+IF(P110="",0,P110*サマリー!$B$9)+IF(Q110="",0,IF(Q110=200,サマリー!$B$10,IF(Q110=100,サマリー!$B$11,0)))+IF(R110="",0,R110*サマリー!$B$12)</f>
        <v>4400</v>
      </c>
      <c r="D110" s="26">
        <f>S110+T110+U110+V110+W110+IF(X110="",0,X110*サマリー!$B$9)+IF(Y110="",0,IF(Y110=200,サマリー!$B$10,IF(Y110=100,サマリー!$B$11,0)))+IF(Z110="",0,Z110*サマリー!$B$12)</f>
        <v>0</v>
      </c>
      <c r="E110" s="26">
        <f t="shared" si="5"/>
        <v>4400</v>
      </c>
      <c r="I110" s="29"/>
      <c r="J110" s="29">
        <v>4400</v>
      </c>
      <c r="K110" s="29"/>
      <c r="L110" s="29"/>
      <c r="M110" s="29"/>
      <c r="N110" s="29"/>
      <c r="O110" s="29"/>
      <c r="P110" s="30"/>
      <c r="Q110" s="30"/>
      <c r="R110" s="30"/>
      <c r="S110" s="31"/>
      <c r="T110" s="31"/>
      <c r="U110" s="31"/>
      <c r="V110" s="31"/>
      <c r="W110" s="31"/>
      <c r="X110" s="32"/>
      <c r="Y110" s="32"/>
      <c r="Z110" s="32"/>
    </row>
    <row r="111" spans="1:26">
      <c r="A111" s="28">
        <v>8</v>
      </c>
      <c r="B111" s="17">
        <f t="shared" si="6"/>
        <v>46181</v>
      </c>
      <c r="C111" s="26">
        <f>I111+J111+K111+L111+M111+N111+O111+IF(P111="",0,P111*サマリー!$B$9)+IF(Q111="",0,IF(Q111=200,サマリー!$B$10,IF(Q111=100,サマリー!$B$11,0)))+IF(R111="",0,R111*サマリー!$B$12)</f>
        <v>0</v>
      </c>
      <c r="D111" s="26">
        <f>S111+T111+U111+V111+W111+IF(X111="",0,X111*サマリー!$B$9)+IF(Y111="",0,IF(Y111=200,サマリー!$B$10,IF(Y111=100,サマリー!$B$11,0)))+IF(Z111="",0,Z111*サマリー!$B$12)</f>
        <v>52560</v>
      </c>
      <c r="E111" s="26">
        <f t="shared" si="5"/>
        <v>52560</v>
      </c>
      <c r="I111" s="29"/>
      <c r="J111" s="29"/>
      <c r="K111" s="29"/>
      <c r="L111" s="29"/>
      <c r="M111" s="29"/>
      <c r="N111" s="29"/>
      <c r="O111" s="29"/>
      <c r="P111" s="30"/>
      <c r="Q111" s="30"/>
      <c r="R111" s="30"/>
      <c r="S111" s="31">
        <v>45319</v>
      </c>
      <c r="T111" s="31"/>
      <c r="U111" s="31"/>
      <c r="V111" s="31"/>
      <c r="W111" s="31"/>
      <c r="X111" s="32"/>
      <c r="Y111" s="32">
        <v>200</v>
      </c>
      <c r="Z111" s="32"/>
    </row>
    <row r="112" spans="1:26">
      <c r="A112" s="28"/>
      <c r="B112" s="17">
        <f t="shared" si="6"/>
        <v>46181</v>
      </c>
      <c r="C112" s="26">
        <f>I112+J112+K112+L112+M112+N112+O112+IF(P112="",0,P112*サマリー!$B$9)+IF(Q112="",0,IF(Q112=200,サマリー!$B$10,IF(Q112=100,サマリー!$B$11,0)))+IF(R112="",0,R112*サマリー!$B$12)</f>
        <v>0</v>
      </c>
      <c r="D112" s="26">
        <f>S112+T112+U112+V112+W112+IF(X112="",0,X112*サマリー!$B$9)+IF(Y112="",0,IF(Y112=200,サマリー!$B$10,IF(Y112=100,サマリー!$B$11,0)))+IF(Z112="",0,Z112*サマリー!$B$12)</f>
        <v>17410</v>
      </c>
      <c r="E112" s="26">
        <f t="shared" si="5"/>
        <v>17410</v>
      </c>
      <c r="I112" s="29"/>
      <c r="J112" s="29"/>
      <c r="K112" s="29"/>
      <c r="L112" s="29"/>
      <c r="M112" s="29"/>
      <c r="N112" s="29"/>
      <c r="O112" s="29"/>
      <c r="P112" s="30"/>
      <c r="Q112" s="30"/>
      <c r="R112" s="30"/>
      <c r="S112" s="31"/>
      <c r="T112" s="31">
        <v>17410</v>
      </c>
      <c r="U112" s="31"/>
      <c r="V112" s="31"/>
      <c r="W112" s="31"/>
      <c r="X112" s="32"/>
      <c r="Y112" s="32"/>
      <c r="Z112" s="32"/>
    </row>
    <row r="113" spans="1:26">
      <c r="A113" s="28">
        <v>9</v>
      </c>
      <c r="B113" s="17">
        <f t="shared" si="6"/>
        <v>46182</v>
      </c>
      <c r="C113" s="26">
        <f>I113+J113+K113+L113+M113+N113+O113+IF(P113="",0,P113*サマリー!$B$9)+IF(Q113="",0,IF(Q113=200,サマリー!$B$10,IF(Q113=100,サマリー!$B$11,0)))+IF(R113="",0,R113*サマリー!$B$12)</f>
        <v>0</v>
      </c>
      <c r="D113" s="26">
        <f>S113+T113+U113+V113+W113+IF(X113="",0,X113*サマリー!$B$9)+IF(Y113="",0,IF(Y113=200,サマリー!$B$10,IF(Y113=100,サマリー!$B$11,0)))+IF(Z113="",0,Z113*サマリー!$B$12)</f>
        <v>3100</v>
      </c>
      <c r="E113" s="26">
        <f t="shared" si="5"/>
        <v>3100</v>
      </c>
      <c r="I113" s="29"/>
      <c r="J113" s="29"/>
      <c r="K113" s="29"/>
      <c r="L113" s="29"/>
      <c r="M113" s="29"/>
      <c r="N113" s="29"/>
      <c r="O113" s="29"/>
      <c r="P113" s="30"/>
      <c r="Q113" s="30"/>
      <c r="R113" s="30"/>
      <c r="S113" s="31"/>
      <c r="T113" s="31">
        <v>3100</v>
      </c>
      <c r="U113" s="31"/>
      <c r="V113" s="31"/>
      <c r="W113" s="31"/>
      <c r="X113" s="32"/>
      <c r="Y113" s="32"/>
      <c r="Z113" s="32"/>
    </row>
    <row r="114" spans="1:26">
      <c r="A114" s="28"/>
      <c r="B114" s="17">
        <f t="shared" si="6"/>
        <v>46182</v>
      </c>
      <c r="C114" s="26">
        <f>I114+J114+K114+L114+M114+N114+O114+IF(P114="",0,P114*サマリー!$B$9)+IF(Q114="",0,IF(Q114=200,サマリー!$B$10,IF(Q114=100,サマリー!$B$11,0)))+IF(R114="",0,R114*サマリー!$B$12)</f>
        <v>0</v>
      </c>
      <c r="D114" s="26">
        <f>S114+T114+U114+V114+W114+IF(X114="",0,X114*サマリー!$B$9)+IF(Y114="",0,IF(Y114=200,サマリー!$B$10,IF(Y114=100,サマリー!$B$11,0)))+IF(Z114="",0,Z114*サマリー!$B$12)</f>
        <v>22319</v>
      </c>
      <c r="E114" s="26">
        <f t="shared" si="5"/>
        <v>22319</v>
      </c>
      <c r="I114" s="29"/>
      <c r="J114" s="29"/>
      <c r="K114" s="29"/>
      <c r="L114" s="29"/>
      <c r="M114" s="29"/>
      <c r="N114" s="29"/>
      <c r="O114" s="29"/>
      <c r="P114" s="30"/>
      <c r="Q114" s="30"/>
      <c r="R114" s="30"/>
      <c r="S114" s="31">
        <v>22319</v>
      </c>
      <c r="T114" s="31"/>
      <c r="U114" s="31"/>
      <c r="V114" s="31"/>
      <c r="W114" s="31"/>
      <c r="X114" s="32"/>
      <c r="Y114" s="32"/>
      <c r="Z114" s="32"/>
    </row>
    <row r="115" spans="1:26">
      <c r="A115" s="28">
        <v>10</v>
      </c>
      <c r="B115" s="17">
        <f t="shared" si="6"/>
        <v>46183</v>
      </c>
      <c r="C115" s="26">
        <f>I115+J115+K115+L115+M115+N115+O115+IF(P115="",0,P115*サマリー!$B$9)+IF(Q115="",0,IF(Q115=200,サマリー!$B$10,IF(Q115=100,サマリー!$B$11,0)))+IF(R115="",0,R115*サマリー!$B$12)</f>
        <v>31160</v>
      </c>
      <c r="D115" s="26">
        <f>S115+T115+U115+V115+W115+IF(X115="",0,X115*サマリー!$B$9)+IF(Y115="",0,IF(Y115=200,サマリー!$B$10,IF(Y115=100,サマリー!$B$11,0)))+IF(Z115="",0,Z115*サマリー!$B$12)</f>
        <v>18800</v>
      </c>
      <c r="E115" s="26">
        <f t="shared" si="5"/>
        <v>49960</v>
      </c>
      <c r="I115" s="29"/>
      <c r="J115" s="29">
        <v>31160</v>
      </c>
      <c r="K115" s="29"/>
      <c r="L115" s="29"/>
      <c r="M115" s="29"/>
      <c r="N115" s="29"/>
      <c r="O115" s="29"/>
      <c r="P115" s="30"/>
      <c r="Q115" s="30"/>
      <c r="R115" s="30"/>
      <c r="S115" s="31"/>
      <c r="T115" s="31"/>
      <c r="U115" s="31"/>
      <c r="V115" s="31">
        <v>18800</v>
      </c>
      <c r="W115" s="31"/>
      <c r="X115" s="32"/>
      <c r="Y115" s="32"/>
      <c r="Z115" s="32"/>
    </row>
    <row r="116" spans="1:26">
      <c r="A116" s="28"/>
      <c r="B116" s="17">
        <f t="shared" si="6"/>
        <v>46183</v>
      </c>
      <c r="C116" s="26">
        <f>I116+J116+K116+L116+M116+N116+O116+IF(P116="",0,P116*サマリー!$B$9)+IF(Q116="",0,IF(Q116=200,サマリー!$B$10,IF(Q116=100,サマリー!$B$11,0)))+IF(R116="",0,R116*サマリー!$B$12)</f>
        <v>1655</v>
      </c>
      <c r="D116" s="26">
        <f>S116+T116+U116+V116+W116+IF(X116="",0,X116*サマリー!$B$9)+IF(Y116="",0,IF(Y116=200,サマリー!$B$10,IF(Y116=100,サマリー!$B$11,0)))+IF(Z116="",0,Z116*サマリー!$B$12)</f>
        <v>0</v>
      </c>
      <c r="E116" s="26">
        <f t="shared" si="5"/>
        <v>1655</v>
      </c>
      <c r="I116" s="29"/>
      <c r="J116" s="29">
        <v>1655</v>
      </c>
      <c r="K116" s="29"/>
      <c r="L116" s="29"/>
      <c r="M116" s="29"/>
      <c r="N116" s="29"/>
      <c r="O116" s="29"/>
      <c r="P116" s="30"/>
      <c r="Q116" s="30"/>
      <c r="R116" s="30"/>
      <c r="S116" s="31"/>
      <c r="T116" s="31"/>
      <c r="U116" s="31"/>
      <c r="V116" s="31"/>
      <c r="W116" s="31"/>
      <c r="X116" s="32"/>
      <c r="Y116" s="32"/>
      <c r="Z116" s="32"/>
    </row>
    <row r="117" spans="1:26">
      <c r="A117" s="28"/>
      <c r="B117" s="17">
        <f t="shared" si="6"/>
        <v>46183</v>
      </c>
      <c r="C117" s="26">
        <f>I117+J117+K117+L117+M117+N117+O117+IF(P117="",0,P117*サマリー!$B$9)+IF(Q117="",0,IF(Q117=200,サマリー!$B$10,IF(Q117=100,サマリー!$B$11,0)))+IF(R117="",0,R117*サマリー!$B$12)</f>
        <v>2200</v>
      </c>
      <c r="D117" s="26">
        <f>S117+T117+U117+V117+W117+IF(X117="",0,X117*サマリー!$B$9)+IF(Y117="",0,IF(Y117=200,サマリー!$B$10,IF(Y117=100,サマリー!$B$11,0)))+IF(Z117="",0,Z117*サマリー!$B$12)</f>
        <v>0</v>
      </c>
      <c r="E117" s="26">
        <f t="shared" si="5"/>
        <v>2200</v>
      </c>
      <c r="I117" s="29"/>
      <c r="J117" s="29">
        <v>2200</v>
      </c>
      <c r="K117" s="29"/>
      <c r="L117" s="29"/>
      <c r="M117" s="29"/>
      <c r="N117" s="29"/>
      <c r="O117" s="29"/>
      <c r="P117" s="30"/>
      <c r="Q117" s="30"/>
      <c r="R117" s="30"/>
      <c r="S117" s="31"/>
      <c r="T117" s="31"/>
      <c r="U117" s="31"/>
      <c r="V117" s="31"/>
      <c r="W117" s="31"/>
      <c r="X117" s="32"/>
      <c r="Y117" s="32"/>
      <c r="Z117" s="32"/>
    </row>
    <row r="118" spans="1:26">
      <c r="A118" s="28"/>
      <c r="B118" s="17">
        <f t="shared" si="6"/>
        <v>46183</v>
      </c>
      <c r="C118" s="26">
        <f>I118+J118+K118+L118+M118+N118+O118+IF(P118="",0,P118*サマリー!$B$9)+IF(Q118="",0,IF(Q118=200,サマリー!$B$10,IF(Q118=100,サマリー!$B$11,0)))+IF(R118="",0,R118*サマリー!$B$12)</f>
        <v>35279</v>
      </c>
      <c r="D118" s="26">
        <f>S118+T118+U118+V118+W118+IF(X118="",0,X118*サマリー!$B$9)+IF(Y118="",0,IF(Y118=200,サマリー!$B$10,IF(Y118=100,サマリー!$B$11,0)))+IF(Z118="",0,Z118*サマリー!$B$12)</f>
        <v>0</v>
      </c>
      <c r="E118" s="26">
        <f t="shared" si="5"/>
        <v>35279</v>
      </c>
      <c r="I118" s="29">
        <v>28038</v>
      </c>
      <c r="J118" s="29"/>
      <c r="K118" s="29"/>
      <c r="L118" s="29"/>
      <c r="M118" s="29"/>
      <c r="N118" s="29"/>
      <c r="O118" s="29"/>
      <c r="P118" s="30"/>
      <c r="Q118" s="30">
        <v>200</v>
      </c>
      <c r="R118" s="30"/>
      <c r="S118" s="31"/>
      <c r="T118" s="31"/>
      <c r="U118" s="31"/>
      <c r="V118" s="31"/>
      <c r="W118" s="31"/>
      <c r="X118" s="32"/>
      <c r="Y118" s="32"/>
      <c r="Z118" s="32"/>
    </row>
    <row r="119" spans="1:26">
      <c r="A119" s="28"/>
      <c r="B119" s="17">
        <f t="shared" si="6"/>
        <v>46183</v>
      </c>
      <c r="C119" s="26">
        <f>I119+J119+K119+L119+M119+N119+O119+IF(P119="",0,P119*サマリー!$B$9)+IF(Q119="",0,IF(Q119=200,サマリー!$B$10,IF(Q119=100,サマリー!$B$11,0)))+IF(R119="",0,R119*サマリー!$B$12)</f>
        <v>9910</v>
      </c>
      <c r="D119" s="26">
        <f>S119+T119+U119+V119+W119+IF(X119="",0,X119*サマリー!$B$9)+IF(Y119="",0,IF(Y119=200,サマリー!$B$10,IF(Y119=100,サマリー!$B$11,0)))+IF(Z119="",0,Z119*サマリー!$B$12)</f>
        <v>0</v>
      </c>
      <c r="E119" s="26">
        <f t="shared" si="5"/>
        <v>9910</v>
      </c>
      <c r="I119" s="29"/>
      <c r="J119" s="29">
        <v>9910</v>
      </c>
      <c r="K119" s="29"/>
      <c r="L119" s="29"/>
      <c r="M119" s="29"/>
      <c r="N119" s="29"/>
      <c r="O119" s="29"/>
      <c r="P119" s="30"/>
      <c r="Q119" s="30"/>
      <c r="R119" s="30"/>
      <c r="S119" s="31"/>
      <c r="T119" s="31"/>
      <c r="U119" s="31"/>
      <c r="V119" s="31"/>
      <c r="W119" s="31"/>
      <c r="X119" s="32"/>
      <c r="Y119" s="32"/>
      <c r="Z119" s="32"/>
    </row>
    <row r="120" spans="1:26">
      <c r="A120" s="28"/>
      <c r="B120" s="17">
        <f t="shared" si="6"/>
        <v>46183</v>
      </c>
      <c r="C120" s="26">
        <f>I120+J120+K120+L120+M120+N120+O120+IF(P120="",0,P120*サマリー!$B$9)+IF(Q120="",0,IF(Q120=200,サマリー!$B$10,IF(Q120=100,サマリー!$B$11,0)))+IF(R120="",0,R120*サマリー!$B$12)</f>
        <v>3855</v>
      </c>
      <c r="D120" s="26">
        <f>S120+T120+U120+V120+W120+IF(X120="",0,X120*サマリー!$B$9)+IF(Y120="",0,IF(Y120=200,サマリー!$B$10,IF(Y120=100,サマリー!$B$11,0)))+IF(Z120="",0,Z120*サマリー!$B$12)</f>
        <v>0</v>
      </c>
      <c r="E120" s="26">
        <f t="shared" si="5"/>
        <v>3855</v>
      </c>
      <c r="I120" s="29"/>
      <c r="J120" s="29">
        <v>3855</v>
      </c>
      <c r="K120" s="29"/>
      <c r="L120" s="29"/>
      <c r="M120" s="29"/>
      <c r="N120" s="29"/>
      <c r="O120" s="29"/>
      <c r="P120" s="30"/>
      <c r="Q120" s="30"/>
      <c r="R120" s="30"/>
      <c r="S120" s="31"/>
      <c r="T120" s="31"/>
      <c r="U120" s="31"/>
      <c r="V120" s="31"/>
      <c r="W120" s="31"/>
      <c r="X120" s="32"/>
      <c r="Y120" s="32"/>
      <c r="Z120" s="32"/>
    </row>
    <row r="121" spans="1:26">
      <c r="A121" s="28">
        <v>11</v>
      </c>
      <c r="B121" s="17">
        <f t="shared" si="6"/>
        <v>46184</v>
      </c>
      <c r="C121" s="26">
        <f>I121+J121+K121+L121+M121+N121+O121+IF(P121="",0,P121*サマリー!$B$9)+IF(Q121="",0,IF(Q121=200,サマリー!$B$10,IF(Q121=100,サマリー!$B$11,0)))+IF(R121="",0,R121*サマリー!$B$12)</f>
        <v>0</v>
      </c>
      <c r="D121" s="26">
        <f>S121+T121+U121+V121+W121+IF(X121="",0,X121*サマリー!$B$9)+IF(Y121="",0,IF(Y121=200,サマリー!$B$10,IF(Y121=100,サマリー!$B$11,0)))+IF(Z121="",0,Z121*サマリー!$B$12)</f>
        <v>2200</v>
      </c>
      <c r="E121" s="26">
        <f t="shared" si="5"/>
        <v>2200</v>
      </c>
      <c r="I121" s="29"/>
      <c r="J121" s="29"/>
      <c r="K121" s="29"/>
      <c r="L121" s="29"/>
      <c r="M121" s="29"/>
      <c r="N121" s="29"/>
      <c r="O121" s="29"/>
      <c r="P121" s="30"/>
      <c r="Q121" s="30"/>
      <c r="R121" s="30"/>
      <c r="S121" s="31"/>
      <c r="T121" s="31">
        <v>2200</v>
      </c>
      <c r="U121" s="31"/>
      <c r="V121" s="31"/>
      <c r="W121" s="31"/>
      <c r="X121" s="32"/>
      <c r="Y121" s="32"/>
      <c r="Z121" s="32"/>
    </row>
    <row r="122" spans="1:26">
      <c r="A122" s="28"/>
      <c r="B122" s="17">
        <f t="shared" si="6"/>
        <v>46184</v>
      </c>
      <c r="C122" s="26">
        <f>I122+J122+K122+L122+M122+N122+O122+IF(P122="",0,P122*サマリー!$B$9)+IF(Q122="",0,IF(Q122=200,サマリー!$B$10,IF(Q122=100,サマリー!$B$11,0)))+IF(R122="",0,R122*サマリー!$B$12)</f>
        <v>0</v>
      </c>
      <c r="D122" s="26">
        <f>S122+T122+U122+V122+W122+IF(X122="",0,X122*サマリー!$B$9)+IF(Y122="",0,IF(Y122=200,サマリー!$B$10,IF(Y122=100,サマリー!$B$11,0)))+IF(Z122="",0,Z122*サマリー!$B$12)</f>
        <v>15755</v>
      </c>
      <c r="E122" s="26">
        <f t="shared" si="5"/>
        <v>15755</v>
      </c>
      <c r="I122" s="29"/>
      <c r="J122" s="29"/>
      <c r="K122" s="29"/>
      <c r="L122" s="29"/>
      <c r="M122" s="29"/>
      <c r="N122" s="29"/>
      <c r="O122" s="29"/>
      <c r="P122" s="30"/>
      <c r="Q122" s="30"/>
      <c r="R122" s="30"/>
      <c r="S122" s="31"/>
      <c r="T122" s="31">
        <v>15755</v>
      </c>
      <c r="U122" s="31"/>
      <c r="V122" s="31"/>
      <c r="W122" s="31"/>
      <c r="X122" s="32"/>
      <c r="Y122" s="32"/>
      <c r="Z122" s="32"/>
    </row>
    <row r="123" spans="1:26">
      <c r="A123" s="28">
        <v>12</v>
      </c>
      <c r="B123" s="17">
        <f t="shared" si="6"/>
        <v>46185</v>
      </c>
      <c r="C123" s="26">
        <f>I123+J123+K123+L123+M123+N123+O123+IF(P123="",0,P123*サマリー!$B$9)+IF(Q123="",0,IF(Q123=200,サマリー!$B$10,IF(Q123=100,サマリー!$B$11,0)))+IF(R123="",0,R123*サマリー!$B$12)</f>
        <v>24200</v>
      </c>
      <c r="D123" s="26">
        <f>S123+T123+U123+V123+W123+IF(X123="",0,X123*サマリー!$B$9)+IF(Y123="",0,IF(Y123=200,サマリー!$B$10,IF(Y123=100,サマリー!$B$11,0)))+IF(Z123="",0,Z123*サマリー!$B$12)</f>
        <v>62750</v>
      </c>
      <c r="E123" s="26">
        <f t="shared" si="5"/>
        <v>86950</v>
      </c>
      <c r="I123" s="29"/>
      <c r="J123" s="29">
        <v>24200</v>
      </c>
      <c r="K123" s="29"/>
      <c r="L123" s="29"/>
      <c r="M123" s="29"/>
      <c r="N123" s="29"/>
      <c r="O123" s="29"/>
      <c r="P123" s="30"/>
      <c r="Q123" s="30"/>
      <c r="R123" s="30"/>
      <c r="S123" s="31"/>
      <c r="T123" s="31"/>
      <c r="U123" s="31"/>
      <c r="V123" s="31">
        <v>62750</v>
      </c>
      <c r="W123" s="31"/>
      <c r="X123" s="32"/>
      <c r="Y123" s="32"/>
      <c r="Z123" s="32"/>
    </row>
    <row r="124" spans="1:26">
      <c r="A124" s="28"/>
      <c r="B124" s="17">
        <f t="shared" si="6"/>
        <v>46185</v>
      </c>
      <c r="C124" s="26">
        <f>I124+J124+K124+L124+M124+N124+O124+IF(P124="",0,P124*サマリー!$B$9)+IF(Q124="",0,IF(Q124=200,サマリー!$B$10,IF(Q124=100,サマリー!$B$11,0)))+IF(R124="",0,R124*サマリー!$B$12)</f>
        <v>1100</v>
      </c>
      <c r="D124" s="26">
        <f>S124+T124+U124+V124+W124+IF(X124="",0,X124*サマリー!$B$9)+IF(Y124="",0,IF(Y124=200,サマリー!$B$10,IF(Y124=100,サマリー!$B$11,0)))+IF(Z124="",0,Z124*サマリー!$B$12)</f>
        <v>0</v>
      </c>
      <c r="E124" s="26">
        <f t="shared" si="5"/>
        <v>1100</v>
      </c>
      <c r="I124" s="29"/>
      <c r="J124" s="29">
        <v>1100</v>
      </c>
      <c r="K124" s="29"/>
      <c r="L124" s="29"/>
      <c r="M124" s="29"/>
      <c r="N124" s="29"/>
      <c r="O124" s="29"/>
      <c r="P124" s="30"/>
      <c r="Q124" s="30"/>
      <c r="R124" s="30"/>
      <c r="S124" s="31"/>
      <c r="T124" s="31"/>
      <c r="U124" s="31"/>
      <c r="V124" s="31"/>
      <c r="W124" s="31"/>
      <c r="X124" s="32"/>
      <c r="Y124" s="32"/>
      <c r="Z124" s="32"/>
    </row>
    <row r="125" spans="1:26">
      <c r="A125" s="28"/>
      <c r="B125" s="17">
        <f t="shared" si="6"/>
        <v>46185</v>
      </c>
      <c r="C125" s="26">
        <f>I125+J125+K125+L125+M125+N125+O125+IF(P125="",0,P125*サマリー!$B$9)+IF(Q125="",0,IF(Q125=200,サマリー!$B$10,IF(Q125=100,サマリー!$B$11,0)))+IF(R125="",0,R125*サマリー!$B$12)</f>
        <v>6400</v>
      </c>
      <c r="D125" s="26">
        <f>S125+T125+U125+V125+W125+IF(X125="",0,X125*サマリー!$B$9)+IF(Y125="",0,IF(Y125=200,サマリー!$B$10,IF(Y125=100,サマリー!$B$11,0)))+IF(Z125="",0,Z125*サマリー!$B$12)</f>
        <v>0</v>
      </c>
      <c r="E125" s="26">
        <f t="shared" si="5"/>
        <v>6400</v>
      </c>
      <c r="I125" s="29"/>
      <c r="J125" s="29">
        <v>6400</v>
      </c>
      <c r="K125" s="29"/>
      <c r="L125" s="29"/>
      <c r="M125" s="29"/>
      <c r="N125" s="29"/>
      <c r="O125" s="29"/>
      <c r="P125" s="30"/>
      <c r="Q125" s="30"/>
      <c r="R125" s="30"/>
      <c r="S125" s="31"/>
      <c r="T125" s="31"/>
      <c r="U125" s="31"/>
      <c r="V125" s="31"/>
      <c r="W125" s="31"/>
      <c r="X125" s="32"/>
      <c r="Y125" s="32"/>
      <c r="Z125" s="32"/>
    </row>
    <row r="126" spans="1:26">
      <c r="A126" s="28">
        <v>13</v>
      </c>
      <c r="B126" s="17">
        <f t="shared" si="6"/>
        <v>46186</v>
      </c>
      <c r="C126" s="26">
        <f>I126+J126+K126+L126+M126+N126+O126+IF(P126="",0,P126*サマリー!$B$9)+IF(Q126="",0,IF(Q126=200,サマリー!$B$10,IF(Q126=100,サマリー!$B$11,0)))+IF(R126="",0,R126*サマリー!$B$12)</f>
        <v>0</v>
      </c>
      <c r="D126" s="26">
        <f>S126+T126+U126+V126+W126+IF(X126="",0,X126*サマリー!$B$9)+IF(Y126="",0,IF(Y126=200,サマリー!$B$10,IF(Y126=100,サマリー!$B$11,0)))+IF(Z126="",0,Z126*サマリー!$B$12)</f>
        <v>22319</v>
      </c>
      <c r="E126" s="26">
        <f t="shared" si="5"/>
        <v>22319</v>
      </c>
      <c r="I126" s="29">
        <v>0</v>
      </c>
      <c r="J126" s="29"/>
      <c r="K126" s="29"/>
      <c r="L126" s="29"/>
      <c r="M126" s="29"/>
      <c r="N126" s="29"/>
      <c r="O126" s="29"/>
      <c r="P126" s="30"/>
      <c r="Q126" s="30"/>
      <c r="R126" s="30"/>
      <c r="S126" s="31"/>
      <c r="T126" s="31"/>
      <c r="U126" s="31"/>
      <c r="V126" s="31">
        <v>22319</v>
      </c>
      <c r="W126" s="31"/>
      <c r="X126" s="32"/>
      <c r="Y126" s="32"/>
      <c r="Z126" s="32"/>
    </row>
    <row r="127" spans="1:26">
      <c r="A127" s="28">
        <v>14</v>
      </c>
      <c r="B127" s="17">
        <f t="shared" si="6"/>
        <v>46187</v>
      </c>
      <c r="C127" s="26">
        <f>I127+J127+K127+L127+M127+N127+O127+IF(P127="",0,P127*サマリー!$B$9)+IF(Q127="",0,IF(Q127=200,サマリー!$B$10,IF(Q127=100,サマリー!$B$11,0)))+IF(R127="",0,R127*サマリー!$B$12)</f>
        <v>67717</v>
      </c>
      <c r="D127" s="26">
        <f>S127+T127+U127+V127+W127+IF(X127="",0,X127*サマリー!$B$9)+IF(Y127="",0,IF(Y127=200,サマリー!$B$10,IF(Y127=100,サマリー!$B$11,0)))+IF(Z127="",0,Z127*サマリー!$B$12)</f>
        <v>0</v>
      </c>
      <c r="E127" s="26">
        <f t="shared" si="5"/>
        <v>67717</v>
      </c>
      <c r="I127" s="29">
        <v>60476</v>
      </c>
      <c r="J127" s="29"/>
      <c r="K127" s="29"/>
      <c r="L127" s="29"/>
      <c r="M127" s="29"/>
      <c r="N127" s="29"/>
      <c r="O127" s="29"/>
      <c r="P127" s="30"/>
      <c r="Q127" s="30">
        <v>200</v>
      </c>
      <c r="R127" s="30"/>
      <c r="S127" s="31"/>
      <c r="T127" s="31"/>
      <c r="U127" s="31"/>
      <c r="V127" s="31"/>
      <c r="W127" s="31"/>
      <c r="X127" s="32"/>
      <c r="Y127" s="32"/>
      <c r="Z127" s="32"/>
    </row>
    <row r="128" spans="1:26">
      <c r="A128" s="28"/>
      <c r="B128" s="17">
        <f t="shared" si="6"/>
        <v>46187</v>
      </c>
      <c r="C128" s="26">
        <f>I128+J128+K128+L128+M128+N128+O128+IF(P128="",0,P128*サマリー!$B$9)+IF(Q128="",0,IF(Q128=200,サマリー!$B$10,IF(Q128=100,サマリー!$B$11,0)))+IF(R128="",0,R128*サマリー!$B$12)</f>
        <v>40510</v>
      </c>
      <c r="D128" s="26">
        <f>S128+T128+U128+V128+W128+IF(X128="",0,X128*サマリー!$B$9)+IF(Y128="",0,IF(Y128=200,サマリー!$B$10,IF(Y128=100,サマリー!$B$11,0)))+IF(Z128="",0,Z128*サマリー!$B$12)</f>
        <v>0</v>
      </c>
      <c r="E128" s="26">
        <f t="shared" si="5"/>
        <v>40510</v>
      </c>
      <c r="I128" s="29"/>
      <c r="J128" s="29">
        <v>40510</v>
      </c>
      <c r="K128" s="29"/>
      <c r="L128" s="29"/>
      <c r="M128" s="29"/>
      <c r="N128" s="29"/>
      <c r="O128" s="29"/>
      <c r="P128" s="30"/>
      <c r="Q128" s="30"/>
      <c r="R128" s="30"/>
      <c r="S128" s="31"/>
      <c r="T128" s="31"/>
      <c r="U128" s="31"/>
      <c r="V128" s="31"/>
      <c r="W128" s="31"/>
      <c r="X128" s="32"/>
      <c r="Y128" s="32"/>
      <c r="Z128" s="32"/>
    </row>
    <row r="129" spans="1:26">
      <c r="A129" s="28"/>
      <c r="B129" s="17">
        <f t="shared" si="6"/>
        <v>46187</v>
      </c>
      <c r="C129" s="26">
        <f>I129+J129+K129+L129+M129+N129+O129+IF(P129="",0,P129*サマリー!$B$9)+IF(Q129="",0,IF(Q129=200,サマリー!$B$10,IF(Q129=100,サマリー!$B$11,0)))+IF(R129="",0,R129*サマリー!$B$12)</f>
        <v>33757</v>
      </c>
      <c r="D129" s="26">
        <f>S129+T129+U129+V129+W129+IF(X129="",0,X129*サマリー!$B$9)+IF(Y129="",0,IF(Y129=200,サマリー!$B$10,IF(Y129=100,サマリー!$B$11,0)))+IF(Z129="",0,Z129*サマリー!$B$12)</f>
        <v>0</v>
      </c>
      <c r="E129" s="26">
        <f t="shared" si="5"/>
        <v>33757</v>
      </c>
      <c r="I129" s="29">
        <v>33757</v>
      </c>
      <c r="J129" s="29"/>
      <c r="K129" s="29"/>
      <c r="L129" s="29"/>
      <c r="M129" s="29"/>
      <c r="N129" s="29"/>
      <c r="O129" s="29"/>
      <c r="P129" s="30"/>
      <c r="Q129" s="30"/>
      <c r="R129" s="30"/>
      <c r="S129" s="31"/>
      <c r="T129" s="31"/>
      <c r="U129" s="31"/>
      <c r="V129" s="31"/>
      <c r="W129" s="31"/>
      <c r="X129" s="32"/>
      <c r="Y129" s="32"/>
      <c r="Z129" s="32"/>
    </row>
    <row r="130" spans="1:26">
      <c r="A130" s="28">
        <v>15</v>
      </c>
      <c r="B130" s="17">
        <f t="shared" si="6"/>
        <v>46188</v>
      </c>
      <c r="C130" s="26">
        <f>I130+J130+K130+L130+M130+N130+O130+IF(P130="",0,P130*サマリー!$B$9)+IF(Q130="",0,IF(Q130=200,サマリー!$B$10,IF(Q130=100,サマリー!$B$11,0)))+IF(R130="",0,R130*サマリー!$B$12)</f>
        <v>0</v>
      </c>
      <c r="D130" s="26">
        <f>S130+T130+U130+V130+W130+IF(X130="",0,X130*サマリー!$B$9)+IF(Y130="",0,IF(Y130=200,サマリー!$B$10,IF(Y130=100,サマリー!$B$11,0)))+IF(Z130="",0,Z130*サマリー!$B$12)</f>
        <v>38898</v>
      </c>
      <c r="E130" s="26">
        <f t="shared" si="5"/>
        <v>38898</v>
      </c>
      <c r="I130" s="29"/>
      <c r="J130" s="29"/>
      <c r="K130" s="29"/>
      <c r="L130" s="29"/>
      <c r="M130" s="29"/>
      <c r="N130" s="29"/>
      <c r="O130" s="29"/>
      <c r="P130" s="30"/>
      <c r="Q130" s="30"/>
      <c r="R130" s="30"/>
      <c r="S130" s="31">
        <v>31657</v>
      </c>
      <c r="T130" s="31"/>
      <c r="U130" s="31"/>
      <c r="V130" s="31"/>
      <c r="W130" s="31"/>
      <c r="X130" s="32"/>
      <c r="Y130" s="32">
        <v>200</v>
      </c>
      <c r="Z130" s="32"/>
    </row>
    <row r="131" spans="1:26">
      <c r="A131" s="28"/>
      <c r="B131" s="17">
        <f t="shared" si="6"/>
        <v>46188</v>
      </c>
      <c r="C131" s="26">
        <f>I131+J131+K131+L131+M131+N131+O131+IF(P131="",0,P131*サマリー!$B$9)+IF(Q131="",0,IF(Q131=200,サマリー!$B$10,IF(Q131=100,サマリー!$B$11,0)))+IF(R131="",0,R131*サマリー!$B$12)</f>
        <v>0</v>
      </c>
      <c r="D131" s="26">
        <f>S131+T131+U131+V131+W131+IF(X131="",0,X131*サマリー!$B$9)+IF(Y131="",0,IF(Y131=200,サマリー!$B$10,IF(Y131=100,サマリー!$B$11,0)))+IF(Z131="",0,Z131*サマリー!$B$12)</f>
        <v>31241</v>
      </c>
      <c r="E131" s="26">
        <f t="shared" si="5"/>
        <v>31241</v>
      </c>
      <c r="I131" s="29"/>
      <c r="J131" s="29"/>
      <c r="K131" s="29"/>
      <c r="L131" s="29"/>
      <c r="M131" s="29"/>
      <c r="N131" s="29"/>
      <c r="O131" s="29"/>
      <c r="P131" s="30"/>
      <c r="Q131" s="30"/>
      <c r="R131" s="30"/>
      <c r="S131" s="31">
        <v>22650</v>
      </c>
      <c r="T131" s="31"/>
      <c r="U131" s="31">
        <v>8591</v>
      </c>
      <c r="V131" s="31"/>
      <c r="W131" s="31"/>
      <c r="X131" s="32"/>
      <c r="Y131" s="32"/>
      <c r="Z131" s="32"/>
    </row>
    <row r="132" spans="1:26">
      <c r="A132" s="28"/>
      <c r="B132" s="17">
        <f t="shared" si="6"/>
        <v>46188</v>
      </c>
      <c r="C132" s="26">
        <f>I132+J132+K132+L132+M132+N132+O132+IF(P132="",0,P132*サマリー!$B$9)+IF(Q132="",0,IF(Q132=200,サマリー!$B$10,IF(Q132=100,サマリー!$B$11,0)))+IF(R132="",0,R132*サマリー!$B$12)</f>
        <v>0</v>
      </c>
      <c r="D132" s="26">
        <f>S132+T132+U132+V132+W132+IF(X132="",0,X132*サマリー!$B$9)+IF(Y132="",0,IF(Y132=200,サマリー!$B$10,IF(Y132=100,サマリー!$B$11,0)))+IF(Z132="",0,Z132*サマリー!$B$12)</f>
        <v>1100</v>
      </c>
      <c r="E132" s="26">
        <f t="shared" si="5"/>
        <v>1100</v>
      </c>
      <c r="I132" s="29"/>
      <c r="J132" s="29"/>
      <c r="K132" s="29"/>
      <c r="L132" s="29"/>
      <c r="M132" s="29"/>
      <c r="N132" s="29"/>
      <c r="O132" s="29"/>
      <c r="P132" s="30"/>
      <c r="Q132" s="30"/>
      <c r="R132" s="30"/>
      <c r="S132" s="31"/>
      <c r="T132" s="31">
        <v>1100</v>
      </c>
      <c r="U132" s="31"/>
      <c r="V132" s="31"/>
      <c r="W132" s="31"/>
      <c r="X132" s="32"/>
      <c r="Y132" s="32"/>
      <c r="Z132" s="32"/>
    </row>
    <row r="133" spans="1:26">
      <c r="A133" s="28"/>
      <c r="B133" s="17">
        <f t="shared" si="6"/>
        <v>46188</v>
      </c>
      <c r="C133" s="26">
        <f>I133+J133+K133+L133+M133+N133+O133+IF(P133="",0,P133*サマリー!$B$9)+IF(Q133="",0,IF(Q133=200,サマリー!$B$10,IF(Q133=100,サマリー!$B$11,0)))+IF(R133="",0,R133*サマリー!$B$12)</f>
        <v>0</v>
      </c>
      <c r="D133" s="26">
        <f>S133+T133+U133+V133+W133+IF(X133="",0,X133*サマリー!$B$9)+IF(Y133="",0,IF(Y133=200,サマリー!$B$10,IF(Y133=100,サマリー!$B$11,0)))+IF(Z133="",0,Z133*サマリー!$B$12)</f>
        <v>53644</v>
      </c>
      <c r="E133" s="26">
        <f t="shared" si="5"/>
        <v>53644</v>
      </c>
      <c r="I133" s="29"/>
      <c r="J133" s="29"/>
      <c r="K133" s="29"/>
      <c r="L133" s="29"/>
      <c r="M133" s="29"/>
      <c r="N133" s="29"/>
      <c r="O133" s="29"/>
      <c r="P133" s="30"/>
      <c r="Q133" s="30"/>
      <c r="R133" s="30"/>
      <c r="S133" s="31">
        <v>46403</v>
      </c>
      <c r="T133" s="31"/>
      <c r="U133" s="31"/>
      <c r="V133" s="31"/>
      <c r="W133" s="31"/>
      <c r="X133" s="32"/>
      <c r="Y133" s="32">
        <v>200</v>
      </c>
      <c r="Z133" s="32"/>
    </row>
    <row r="134" spans="1:26">
      <c r="A134" s="28">
        <v>16</v>
      </c>
      <c r="B134" s="17">
        <f t="shared" si="6"/>
        <v>46189</v>
      </c>
      <c r="C134" s="26">
        <f>I134+J134+K134+L134+M134+N134+O134+IF(P134="",0,P134*サマリー!$B$9)+IF(Q134="",0,IF(Q134=200,サマリー!$B$10,IF(Q134=100,サマリー!$B$11,0)))+IF(R134="",0,R134*サマリー!$B$12)</f>
        <v>7700</v>
      </c>
      <c r="D134" s="26">
        <f>S134+T134+U134+V134+W134+IF(X134="",0,X134*サマリー!$B$9)+IF(Y134="",0,IF(Y134=200,サマリー!$B$10,IF(Y134=100,サマリー!$B$11,0)))+IF(Z134="",0,Z134*サマリー!$B$12)</f>
        <v>0</v>
      </c>
      <c r="E134" s="26">
        <f t="shared" ref="E134:E165" si="7">C134+D134</f>
        <v>7700</v>
      </c>
      <c r="I134" s="29"/>
      <c r="J134" s="29">
        <v>7700</v>
      </c>
      <c r="K134" s="29"/>
      <c r="L134" s="29"/>
      <c r="M134" s="29"/>
      <c r="N134" s="29"/>
      <c r="O134" s="29"/>
      <c r="P134" s="30"/>
      <c r="Q134" s="30"/>
      <c r="R134" s="30"/>
      <c r="S134" s="31"/>
      <c r="T134" s="31"/>
      <c r="U134" s="31"/>
      <c r="V134" s="31"/>
      <c r="W134" s="31"/>
      <c r="X134" s="32"/>
      <c r="Y134" s="32"/>
      <c r="Z134" s="32"/>
    </row>
    <row r="135" spans="1:26">
      <c r="A135" s="28">
        <v>17</v>
      </c>
      <c r="B135" s="17">
        <f t="shared" ref="B135:B166" si="8">IF(A135="",B134,IF(A135&lt;DAY(B134),DATE(YEAR(B134),MONTH(B134)+1,A135),DATE(YEAR(B134),MONTH(B134),A135)))</f>
        <v>46190</v>
      </c>
      <c r="C135" s="26">
        <f>I135+J135+K135+L135+M135+N135+O135+IF(P135="",0,P135*サマリー!$B$9)+IF(Q135="",0,IF(Q135=200,サマリー!$B$10,IF(Q135=100,サマリー!$B$11,0)))+IF(R135="",0,R135*サマリー!$B$12)</f>
        <v>22238</v>
      </c>
      <c r="D135" s="26">
        <f>S135+T135+U135+V135+W135+IF(X135="",0,X135*サマリー!$B$9)+IF(Y135="",0,IF(Y135=200,サマリー!$B$10,IF(Y135=100,サマリー!$B$11,0)))+IF(Z135="",0,Z135*サマリー!$B$12)</f>
        <v>0</v>
      </c>
      <c r="E135" s="26">
        <f t="shared" si="7"/>
        <v>22238</v>
      </c>
      <c r="I135" s="29"/>
      <c r="J135" s="29">
        <v>22238</v>
      </c>
      <c r="K135" s="29"/>
      <c r="L135" s="29"/>
      <c r="M135" s="29"/>
      <c r="N135" s="29"/>
      <c r="O135" s="29"/>
      <c r="P135" s="30"/>
      <c r="Q135" s="30"/>
      <c r="R135" s="30"/>
      <c r="S135" s="31"/>
      <c r="T135" s="31"/>
      <c r="U135" s="31"/>
      <c r="V135" s="31"/>
      <c r="W135" s="31"/>
      <c r="X135" s="32"/>
      <c r="Y135" s="32"/>
      <c r="Z135" s="32"/>
    </row>
    <row r="136" spans="1:26">
      <c r="A136" s="28">
        <v>18</v>
      </c>
      <c r="B136" s="17">
        <f t="shared" si="8"/>
        <v>46191</v>
      </c>
      <c r="C136" s="26">
        <f>I136+J136+K136+L136+M136+N136+O136+IF(P136="",0,P136*サマリー!$B$9)+IF(Q136="",0,IF(Q136=200,サマリー!$B$10,IF(Q136=100,サマリー!$B$11,0)))+IF(R136="",0,R136*サマリー!$B$12)</f>
        <v>0</v>
      </c>
      <c r="D136" s="26">
        <f>S136+T136+U136+V136+W136+IF(X136="",0,X136*サマリー!$B$9)+IF(Y136="",0,IF(Y136=200,サマリー!$B$10,IF(Y136=100,サマリー!$B$11,0)))+IF(Z136="",0,Z136*サマリー!$B$12)</f>
        <v>0</v>
      </c>
      <c r="E136" s="26">
        <f t="shared" si="7"/>
        <v>0</v>
      </c>
      <c r="I136" s="29">
        <v>0</v>
      </c>
      <c r="J136" s="29"/>
      <c r="K136" s="29"/>
      <c r="L136" s="29"/>
      <c r="M136" s="29"/>
      <c r="N136" s="29"/>
      <c r="O136" s="29"/>
      <c r="P136" s="30"/>
      <c r="Q136" s="30"/>
      <c r="R136" s="30"/>
      <c r="S136" s="31"/>
      <c r="T136" s="31"/>
      <c r="U136" s="31"/>
      <c r="V136" s="31"/>
      <c r="W136" s="31"/>
      <c r="X136" s="32"/>
      <c r="Y136" s="32"/>
      <c r="Z136" s="32"/>
    </row>
    <row r="137" spans="1:26">
      <c r="A137" s="28">
        <v>19</v>
      </c>
      <c r="B137" s="17">
        <f t="shared" si="8"/>
        <v>46192</v>
      </c>
      <c r="C137" s="26">
        <f>I137+J137+K137+L137+M137+N137+O137+IF(P137="",0,P137*サマリー!$B$9)+IF(Q137="",0,IF(Q137=200,サマリー!$B$10,IF(Q137=100,サマリー!$B$11,0)))+IF(R137="",0,R137*サマリー!$B$12)</f>
        <v>23665</v>
      </c>
      <c r="D137" s="26">
        <f>S137+T137+U137+V137+W137+IF(X137="",0,X137*サマリー!$B$9)+IF(Y137="",0,IF(Y137=200,サマリー!$B$10,IF(Y137=100,サマリー!$B$11,0)))+IF(Z137="",0,Z137*サマリー!$B$12)</f>
        <v>52719</v>
      </c>
      <c r="E137" s="26">
        <f t="shared" si="7"/>
        <v>76384</v>
      </c>
      <c r="I137" s="29"/>
      <c r="J137" s="29">
        <v>23665</v>
      </c>
      <c r="K137" s="29"/>
      <c r="L137" s="29"/>
      <c r="M137" s="29"/>
      <c r="N137" s="29"/>
      <c r="O137" s="29"/>
      <c r="P137" s="30"/>
      <c r="Q137" s="30"/>
      <c r="R137" s="30"/>
      <c r="S137" s="31"/>
      <c r="T137" s="31"/>
      <c r="U137" s="31"/>
      <c r="V137" s="31">
        <v>52719</v>
      </c>
      <c r="W137" s="31"/>
      <c r="X137" s="32"/>
      <c r="Y137" s="32"/>
      <c r="Z137" s="32"/>
    </row>
    <row r="138" spans="1:26">
      <c r="A138" s="28"/>
      <c r="B138" s="17">
        <f t="shared" si="8"/>
        <v>46192</v>
      </c>
      <c r="C138" s="26">
        <f>I138+J138+K138+L138+M138+N138+O138+IF(P138="",0,P138*サマリー!$B$9)+IF(Q138="",0,IF(Q138=200,サマリー!$B$10,IF(Q138=100,サマリー!$B$11,0)))+IF(R138="",0,R138*サマリー!$B$12)</f>
        <v>65917</v>
      </c>
      <c r="D138" s="26">
        <f>S138+T138+U138+V138+W138+IF(X138="",0,X138*サマリー!$B$9)+IF(Y138="",0,IF(Y138=200,サマリー!$B$10,IF(Y138=100,サマリー!$B$11,0)))+IF(Z138="",0,Z138*サマリー!$B$12)</f>
        <v>0</v>
      </c>
      <c r="E138" s="26">
        <f t="shared" si="7"/>
        <v>65917</v>
      </c>
      <c r="I138" s="29">
        <v>58676</v>
      </c>
      <c r="J138" s="29"/>
      <c r="K138" s="29"/>
      <c r="L138" s="29"/>
      <c r="M138" s="29"/>
      <c r="N138" s="29"/>
      <c r="O138" s="29"/>
      <c r="P138" s="30"/>
      <c r="Q138" s="30">
        <v>200</v>
      </c>
      <c r="R138" s="30"/>
      <c r="S138" s="31"/>
      <c r="T138" s="31"/>
      <c r="U138" s="31"/>
      <c r="V138" s="31"/>
      <c r="W138" s="31"/>
      <c r="X138" s="32"/>
      <c r="Y138" s="32"/>
      <c r="Z138" s="32"/>
    </row>
    <row r="139" spans="1:26">
      <c r="A139" s="28"/>
      <c r="B139" s="17">
        <f t="shared" si="8"/>
        <v>46192</v>
      </c>
      <c r="C139" s="26">
        <f>I139+J139+K139+L139+M139+N139+O139+IF(P139="",0,P139*サマリー!$B$9)+IF(Q139="",0,IF(Q139=200,サマリー!$B$10,IF(Q139=100,サマリー!$B$11,0)))+IF(R139="",0,R139*サマリー!$B$12)</f>
        <v>25834</v>
      </c>
      <c r="D139" s="26">
        <f>S139+T139+U139+V139+W139+IF(X139="",0,X139*サマリー!$B$9)+IF(Y139="",0,IF(Y139=200,サマリー!$B$10,IF(Y139=100,サマリー!$B$11,0)))+IF(Z139="",0,Z139*サマリー!$B$12)</f>
        <v>0</v>
      </c>
      <c r="E139" s="26">
        <f t="shared" si="7"/>
        <v>25834</v>
      </c>
      <c r="I139" s="29">
        <v>18593</v>
      </c>
      <c r="J139" s="29"/>
      <c r="K139" s="29"/>
      <c r="L139" s="29"/>
      <c r="M139" s="29"/>
      <c r="N139" s="29"/>
      <c r="O139" s="29"/>
      <c r="P139" s="30"/>
      <c r="Q139" s="30">
        <v>200</v>
      </c>
      <c r="R139" s="30"/>
      <c r="S139" s="31"/>
      <c r="T139" s="31"/>
      <c r="U139" s="31"/>
      <c r="V139" s="31"/>
      <c r="W139" s="31"/>
      <c r="X139" s="32"/>
      <c r="Y139" s="32"/>
      <c r="Z139" s="32"/>
    </row>
    <row r="140" spans="1:26">
      <c r="A140" s="28">
        <v>20</v>
      </c>
      <c r="B140" s="17">
        <f t="shared" si="8"/>
        <v>46193</v>
      </c>
      <c r="C140" s="26">
        <f>I140+J140+K140+L140+M140+N140+O140+IF(P140="",0,P140*サマリー!$B$9)+IF(Q140="",0,IF(Q140=200,サマリー!$B$10,IF(Q140=100,サマリー!$B$11,0)))+IF(R140="",0,R140*サマリー!$B$12)</f>
        <v>4955</v>
      </c>
      <c r="D140" s="26">
        <f>S140+T140+U140+V140+W140+IF(X140="",0,X140*サマリー!$B$9)+IF(Y140="",0,IF(Y140=200,サマリー!$B$10,IF(Y140=100,サマリー!$B$11,0)))+IF(Z140="",0,Z140*サマリー!$B$12)</f>
        <v>0</v>
      </c>
      <c r="E140" s="26">
        <f t="shared" si="7"/>
        <v>4955</v>
      </c>
      <c r="I140" s="29"/>
      <c r="J140" s="29">
        <v>4955</v>
      </c>
      <c r="K140" s="29"/>
      <c r="L140" s="29"/>
      <c r="M140" s="29"/>
      <c r="N140" s="29"/>
      <c r="O140" s="29"/>
      <c r="P140" s="30"/>
      <c r="Q140" s="30"/>
      <c r="R140" s="30"/>
      <c r="S140" s="31"/>
      <c r="T140" s="31"/>
      <c r="U140" s="31"/>
      <c r="V140" s="31"/>
      <c r="W140" s="31"/>
      <c r="X140" s="32"/>
      <c r="Y140" s="32"/>
      <c r="Z140" s="32"/>
    </row>
    <row r="141" spans="1:26">
      <c r="A141" s="28"/>
      <c r="B141" s="17">
        <f t="shared" si="8"/>
        <v>46193</v>
      </c>
      <c r="C141" s="26">
        <f>I141+J141+K141+L141+M141+N141+O141+IF(P141="",0,P141*サマリー!$B$9)+IF(Q141="",0,IF(Q141=200,サマリー!$B$10,IF(Q141=100,サマリー!$B$11,0)))+IF(R141="",0,R141*サマリー!$B$12)</f>
        <v>0</v>
      </c>
      <c r="D141" s="26">
        <f>S141+T141+U141+V141+W141+IF(X141="",0,X141*サマリー!$B$9)+IF(Y141="",0,IF(Y141=200,サマリー!$B$10,IF(Y141=100,サマリー!$B$11,0)))+IF(Z141="",0,Z141*サマリー!$B$12)</f>
        <v>4955</v>
      </c>
      <c r="E141" s="26">
        <f t="shared" si="7"/>
        <v>4955</v>
      </c>
      <c r="I141" s="29"/>
      <c r="J141" s="29"/>
      <c r="K141" s="29"/>
      <c r="L141" s="29"/>
      <c r="M141" s="29"/>
      <c r="N141" s="29"/>
      <c r="O141" s="29"/>
      <c r="P141" s="30"/>
      <c r="Q141" s="30"/>
      <c r="R141" s="30"/>
      <c r="S141" s="31"/>
      <c r="T141" s="31">
        <v>4955</v>
      </c>
      <c r="U141" s="31"/>
      <c r="V141" s="31"/>
      <c r="W141" s="31"/>
      <c r="X141" s="32"/>
      <c r="Y141" s="32"/>
      <c r="Z141" s="32"/>
    </row>
    <row r="142" spans="1:26">
      <c r="A142" s="28"/>
      <c r="B142" s="17">
        <f t="shared" si="8"/>
        <v>46193</v>
      </c>
      <c r="C142" s="26">
        <f>I142+J142+K142+L142+M142+N142+O142+IF(P142="",0,P142*サマリー!$B$9)+IF(Q142="",0,IF(Q142=200,サマリー!$B$10,IF(Q142=100,サマリー!$B$11,0)))+IF(R142="",0,R142*サマリー!$B$12)</f>
        <v>0</v>
      </c>
      <c r="D142" s="26">
        <f>S142+T142+U142+V142+W142+IF(X142="",0,X142*サマリー!$B$9)+IF(Y142="",0,IF(Y142=200,サマリー!$B$10,IF(Y142=100,サマリー!$B$11,0)))+IF(Z142="",0,Z142*サマリー!$B$12)</f>
        <v>15400</v>
      </c>
      <c r="E142" s="26">
        <f t="shared" si="7"/>
        <v>15400</v>
      </c>
      <c r="I142" s="29"/>
      <c r="J142" s="29"/>
      <c r="K142" s="29"/>
      <c r="L142" s="29"/>
      <c r="M142" s="29"/>
      <c r="N142" s="29"/>
      <c r="O142" s="29"/>
      <c r="P142" s="30"/>
      <c r="Q142" s="30"/>
      <c r="R142" s="30"/>
      <c r="S142" s="31"/>
      <c r="T142" s="31">
        <v>15400</v>
      </c>
      <c r="U142" s="31"/>
      <c r="V142" s="31"/>
      <c r="W142" s="31"/>
      <c r="X142" s="32"/>
      <c r="Y142" s="32"/>
      <c r="Z142" s="32"/>
    </row>
    <row r="143" spans="1:26">
      <c r="A143" s="28"/>
      <c r="B143" s="17">
        <f t="shared" si="8"/>
        <v>46193</v>
      </c>
      <c r="C143" s="26">
        <f>I143+J143+K143+L143+M143+N143+O143+IF(P143="",0,P143*サマリー!$B$9)+IF(Q143="",0,IF(Q143=200,サマリー!$B$10,IF(Q143=100,サマリー!$B$11,0)))+IF(R143="",0,R143*サマリー!$B$12)</f>
        <v>31150</v>
      </c>
      <c r="D143" s="26">
        <f>S143+T143+U143+V143+W143+IF(X143="",0,X143*サマリー!$B$9)+IF(Y143="",0,IF(Y143=200,サマリー!$B$10,IF(Y143=100,サマリー!$B$11,0)))+IF(Z143="",0,Z143*サマリー!$B$12)</f>
        <v>0</v>
      </c>
      <c r="E143" s="26">
        <f t="shared" si="7"/>
        <v>31150</v>
      </c>
      <c r="I143" s="29"/>
      <c r="J143" s="29">
        <v>31150</v>
      </c>
      <c r="K143" s="29"/>
      <c r="L143" s="29"/>
      <c r="M143" s="29"/>
      <c r="N143" s="29"/>
      <c r="O143" s="29"/>
      <c r="P143" s="30"/>
      <c r="Q143" s="30"/>
      <c r="R143" s="30"/>
      <c r="S143" s="31"/>
      <c r="T143" s="31"/>
      <c r="U143" s="31"/>
      <c r="V143" s="31"/>
      <c r="W143" s="31"/>
      <c r="X143" s="32"/>
      <c r="Y143" s="32"/>
      <c r="Z143" s="32"/>
    </row>
    <row r="144" spans="1:26">
      <c r="A144" s="28"/>
      <c r="B144" s="17">
        <f t="shared" si="8"/>
        <v>46193</v>
      </c>
      <c r="C144" s="26">
        <f>I144+J144+K144+L144+M144+N144+O144+IF(P144="",0,P144*サマリー!$B$9)+IF(Q144="",0,IF(Q144=200,サマリー!$B$10,IF(Q144=100,サマリー!$B$11,0)))+IF(R144="",0,R144*サマリー!$B$12)</f>
        <v>555</v>
      </c>
      <c r="D144" s="26">
        <f>S144+T144+U144+V144+W144+IF(X144="",0,X144*サマリー!$B$9)+IF(Y144="",0,IF(Y144=200,サマリー!$B$10,IF(Y144=100,サマリー!$B$11,0)))+IF(Z144="",0,Z144*サマリー!$B$12)</f>
        <v>0</v>
      </c>
      <c r="E144" s="26">
        <f t="shared" si="7"/>
        <v>555</v>
      </c>
      <c r="I144" s="29"/>
      <c r="J144" s="29">
        <v>555</v>
      </c>
      <c r="K144" s="29"/>
      <c r="L144" s="29"/>
      <c r="M144" s="29"/>
      <c r="N144" s="29"/>
      <c r="O144" s="29"/>
      <c r="P144" s="30"/>
      <c r="Q144" s="30"/>
      <c r="R144" s="30"/>
      <c r="S144" s="31"/>
      <c r="T144" s="31"/>
      <c r="U144" s="31"/>
      <c r="V144" s="31"/>
      <c r="W144" s="31"/>
      <c r="X144" s="32"/>
      <c r="Y144" s="32"/>
      <c r="Z144" s="32"/>
    </row>
    <row r="145" spans="1:26">
      <c r="A145" s="28">
        <v>21</v>
      </c>
      <c r="B145" s="17">
        <f t="shared" si="8"/>
        <v>46194</v>
      </c>
      <c r="C145" s="26">
        <f>I145+J145+K145+L145+M145+N145+O145+IF(P145="",0,P145*サマリー!$B$9)+IF(Q145="",0,IF(Q145=200,サマリー!$B$10,IF(Q145=100,サマリー!$B$11,0)))+IF(R145="",0,R145*サマリー!$B$12)</f>
        <v>0</v>
      </c>
      <c r="D145" s="26">
        <f>S145+T145+U145+V145+W145+IF(X145="",0,X145*サマリー!$B$9)+IF(Y145="",0,IF(Y145=200,サマリー!$B$10,IF(Y145=100,サマリー!$B$11,0)))+IF(Z145="",0,Z145*サマリー!$B$12)</f>
        <v>28475</v>
      </c>
      <c r="E145" s="26">
        <f t="shared" si="7"/>
        <v>28475</v>
      </c>
      <c r="I145" s="29"/>
      <c r="J145" s="29"/>
      <c r="K145" s="29"/>
      <c r="L145" s="29"/>
      <c r="M145" s="29"/>
      <c r="N145" s="29"/>
      <c r="O145" s="29"/>
      <c r="P145" s="30"/>
      <c r="Q145" s="30"/>
      <c r="R145" s="30"/>
      <c r="S145" s="31">
        <v>28475</v>
      </c>
      <c r="T145" s="31"/>
      <c r="U145" s="31"/>
      <c r="V145" s="31"/>
      <c r="W145" s="31"/>
      <c r="X145" s="32"/>
      <c r="Y145" s="32"/>
      <c r="Z145" s="32"/>
    </row>
    <row r="146" spans="1:26">
      <c r="A146" s="28"/>
      <c r="B146" s="17">
        <f t="shared" si="8"/>
        <v>46194</v>
      </c>
      <c r="C146" s="26">
        <f>I146+J146+K146+L146+M146+N146+O146+IF(P146="",0,P146*サマリー!$B$9)+IF(Q146="",0,IF(Q146=200,サマリー!$B$10,IF(Q146=100,サマリー!$B$11,0)))+IF(R146="",0,R146*サマリー!$B$12)</f>
        <v>50079</v>
      </c>
      <c r="D146" s="26">
        <f>S146+T146+U146+V146+W146+IF(X146="",0,X146*サマリー!$B$9)+IF(Y146="",0,IF(Y146=200,サマリー!$B$10,IF(Y146=100,サマリー!$B$11,0)))+IF(Z146="",0,Z146*サマリー!$B$12)</f>
        <v>0</v>
      </c>
      <c r="E146" s="26">
        <f t="shared" si="7"/>
        <v>50079</v>
      </c>
      <c r="I146" s="29">
        <v>42838</v>
      </c>
      <c r="J146" s="29"/>
      <c r="K146" s="29"/>
      <c r="L146" s="29"/>
      <c r="M146" s="29"/>
      <c r="N146" s="29"/>
      <c r="O146" s="29"/>
      <c r="P146" s="30"/>
      <c r="Q146" s="30">
        <v>200</v>
      </c>
      <c r="R146" s="30"/>
      <c r="S146" s="31"/>
      <c r="T146" s="31"/>
      <c r="U146" s="31"/>
      <c r="V146" s="31"/>
      <c r="W146" s="31"/>
      <c r="X146" s="32"/>
      <c r="Y146" s="32"/>
      <c r="Z146" s="32"/>
    </row>
    <row r="147" spans="1:26">
      <c r="A147" s="28"/>
      <c r="B147" s="17">
        <f t="shared" si="8"/>
        <v>46194</v>
      </c>
      <c r="C147" s="26">
        <f>I147+J147+K147+L147+M147+N147+O147+IF(P147="",0,P147*サマリー!$B$9)+IF(Q147="",0,IF(Q147=200,サマリー!$B$10,IF(Q147=100,サマリー!$B$11,0)))+IF(R147="",0,R147*サマリー!$B$12)</f>
        <v>32438</v>
      </c>
      <c r="D147" s="26">
        <f>S147+T147+U147+V147+W147+IF(X147="",0,X147*サマリー!$B$9)+IF(Y147="",0,IF(Y147=200,サマリー!$B$10,IF(Y147=100,サマリー!$B$11,0)))+IF(Z147="",0,Z147*サマリー!$B$12)</f>
        <v>0</v>
      </c>
      <c r="E147" s="26">
        <f t="shared" si="7"/>
        <v>32438</v>
      </c>
      <c r="I147" s="29">
        <v>32438</v>
      </c>
      <c r="J147" s="29"/>
      <c r="K147" s="29"/>
      <c r="L147" s="29"/>
      <c r="M147" s="29"/>
      <c r="N147" s="29"/>
      <c r="O147" s="29"/>
      <c r="P147" s="30"/>
      <c r="Q147" s="30"/>
      <c r="R147" s="30"/>
      <c r="S147" s="31"/>
      <c r="T147" s="31"/>
      <c r="U147" s="31"/>
      <c r="V147" s="31"/>
      <c r="W147" s="31"/>
      <c r="X147" s="32"/>
      <c r="Y147" s="32"/>
      <c r="Z147" s="32"/>
    </row>
    <row r="148" spans="1:26">
      <c r="A148" s="28">
        <v>22</v>
      </c>
      <c r="B148" s="17">
        <f t="shared" si="8"/>
        <v>46195</v>
      </c>
      <c r="C148" s="26">
        <f>I148+J148+K148+L148+M148+N148+O148+IF(P148="",0,P148*サマリー!$B$9)+IF(Q148="",0,IF(Q148=200,サマリー!$B$10,IF(Q148=100,サマリー!$B$11,0)))+IF(R148="",0,R148*サマリー!$B$12)</f>
        <v>0</v>
      </c>
      <c r="D148" s="26">
        <f>S148+T148+U148+V148+W148+IF(X148="",0,X148*サマリー!$B$9)+IF(Y148="",0,IF(Y148=200,サマリー!$B$10,IF(Y148=100,サマリー!$B$11,0)))+IF(Z148="",0,Z148*サマリー!$B$12)</f>
        <v>555</v>
      </c>
      <c r="E148" s="26">
        <f t="shared" si="7"/>
        <v>555</v>
      </c>
      <c r="I148" s="29"/>
      <c r="J148" s="29"/>
      <c r="K148" s="29"/>
      <c r="L148" s="29"/>
      <c r="M148" s="29"/>
      <c r="N148" s="29"/>
      <c r="O148" s="29"/>
      <c r="P148" s="30"/>
      <c r="Q148" s="30"/>
      <c r="R148" s="30"/>
      <c r="S148" s="31"/>
      <c r="T148" s="31">
        <v>555</v>
      </c>
      <c r="U148" s="31"/>
      <c r="V148" s="31"/>
      <c r="W148" s="31"/>
      <c r="X148" s="32"/>
      <c r="Y148" s="32"/>
      <c r="Z148" s="32"/>
    </row>
    <row r="149" spans="1:26">
      <c r="A149" s="28">
        <v>23</v>
      </c>
      <c r="B149" s="17">
        <f t="shared" si="8"/>
        <v>46196</v>
      </c>
      <c r="C149" s="26">
        <f>I149+J149+K149+L149+M149+N149+O149+IF(P149="",0,P149*サマリー!$B$9)+IF(Q149="",0,IF(Q149=200,サマリー!$B$10,IF(Q149=100,サマリー!$B$11,0)))+IF(R149="",0,R149*サマリー!$B$12)</f>
        <v>0</v>
      </c>
      <c r="D149" s="26">
        <f>S149+T149+U149+V149+W149+IF(X149="",0,X149*サマリー!$B$9)+IF(Y149="",0,IF(Y149=200,サマリー!$B$10,IF(Y149=100,サマリー!$B$11,0)))+IF(Z149="",0,Z149*サマリー!$B$12)</f>
        <v>17400</v>
      </c>
      <c r="E149" s="26">
        <f t="shared" si="7"/>
        <v>17400</v>
      </c>
      <c r="I149" s="29"/>
      <c r="J149" s="29"/>
      <c r="K149" s="29"/>
      <c r="L149" s="29"/>
      <c r="M149" s="29"/>
      <c r="N149" s="29"/>
      <c r="O149" s="29"/>
      <c r="P149" s="30"/>
      <c r="Q149" s="30"/>
      <c r="R149" s="30"/>
      <c r="S149" s="31"/>
      <c r="T149" s="31">
        <v>17400</v>
      </c>
      <c r="U149" s="31"/>
      <c r="V149" s="31"/>
      <c r="W149" s="31"/>
      <c r="X149" s="32"/>
      <c r="Y149" s="32"/>
      <c r="Z149" s="32"/>
    </row>
    <row r="150" spans="1:26">
      <c r="A150" s="28"/>
      <c r="B150" s="17">
        <f t="shared" si="8"/>
        <v>46196</v>
      </c>
      <c r="C150" s="26">
        <f>I150+J150+K150+L150+M150+N150+O150+IF(P150="",0,P150*サマリー!$B$9)+IF(Q150="",0,IF(Q150=200,サマリー!$B$10,IF(Q150=100,サマリー!$B$11,0)))+IF(R150="",0,R150*サマリー!$B$12)</f>
        <v>10800</v>
      </c>
      <c r="D150" s="26">
        <f>S150+T150+U150+V150+W150+IF(X150="",0,X150*サマリー!$B$9)+IF(Y150="",0,IF(Y150=200,サマリー!$B$10,IF(Y150=100,サマリー!$B$11,0)))+IF(Z150="",0,Z150*サマリー!$B$12)</f>
        <v>0</v>
      </c>
      <c r="E150" s="26">
        <f t="shared" si="7"/>
        <v>10800</v>
      </c>
      <c r="I150" s="29"/>
      <c r="J150" s="29">
        <v>10800</v>
      </c>
      <c r="K150" s="29"/>
      <c r="L150" s="29"/>
      <c r="M150" s="29"/>
      <c r="N150" s="29"/>
      <c r="O150" s="29"/>
      <c r="P150" s="30"/>
      <c r="Q150" s="30"/>
      <c r="R150" s="30"/>
      <c r="S150" s="31"/>
      <c r="T150" s="31"/>
      <c r="U150" s="31"/>
      <c r="V150" s="31"/>
      <c r="W150" s="31"/>
      <c r="X150" s="32"/>
      <c r="Y150" s="32"/>
      <c r="Z150" s="32"/>
    </row>
    <row r="151" spans="1:26">
      <c r="A151" s="28"/>
      <c r="B151" s="17">
        <f t="shared" si="8"/>
        <v>46196</v>
      </c>
      <c r="C151" s="26">
        <f>I151+J151+K151+L151+M151+N151+O151+IF(P151="",0,P151*サマリー!$B$9)+IF(Q151="",0,IF(Q151=200,サマリー!$B$10,IF(Q151=100,サマリー!$B$11,0)))+IF(R151="",0,R151*サマリー!$B$12)</f>
        <v>21250</v>
      </c>
      <c r="D151" s="26">
        <f>S151+T151+U151+V151+W151+IF(X151="",0,X151*サマリー!$B$9)+IF(Y151="",0,IF(Y151=200,サマリー!$B$10,IF(Y151=100,サマリー!$B$11,0)))+IF(Z151="",0,Z151*サマリー!$B$12)</f>
        <v>0</v>
      </c>
      <c r="E151" s="26">
        <f t="shared" si="7"/>
        <v>21250</v>
      </c>
      <c r="I151" s="29"/>
      <c r="J151" s="29">
        <v>21250</v>
      </c>
      <c r="K151" s="29"/>
      <c r="L151" s="29"/>
      <c r="M151" s="29"/>
      <c r="N151" s="29"/>
      <c r="O151" s="29"/>
      <c r="P151" s="30"/>
      <c r="Q151" s="30"/>
      <c r="R151" s="30"/>
      <c r="S151" s="31"/>
      <c r="T151" s="31"/>
      <c r="U151" s="31"/>
      <c r="V151" s="31"/>
      <c r="W151" s="31"/>
      <c r="X151" s="32"/>
      <c r="Y151" s="32"/>
      <c r="Z151" s="32"/>
    </row>
    <row r="152" spans="1:26">
      <c r="A152" s="28">
        <v>24</v>
      </c>
      <c r="B152" s="17">
        <f t="shared" si="8"/>
        <v>46197</v>
      </c>
      <c r="C152" s="26">
        <f>I152+J152+K152+L152+M152+N152+O152+IF(P152="",0,P152*サマリー!$B$9)+IF(Q152="",0,IF(Q152=200,サマリー!$B$10,IF(Q152=100,サマリー!$B$11,0)))+IF(R152="",0,R152*サマリー!$B$12)</f>
        <v>4955</v>
      </c>
      <c r="D152" s="26">
        <f>S152+T152+U152+V152+W152+IF(X152="",0,X152*サマリー!$B$9)+IF(Y152="",0,IF(Y152=200,サマリー!$B$10,IF(Y152=100,サマリー!$B$11,0)))+IF(Z152="",0,Z152*サマリー!$B$12)</f>
        <v>0</v>
      </c>
      <c r="E152" s="26">
        <f t="shared" si="7"/>
        <v>4955</v>
      </c>
      <c r="I152" s="29"/>
      <c r="J152" s="29">
        <v>4955</v>
      </c>
      <c r="K152" s="29"/>
      <c r="L152" s="29"/>
      <c r="M152" s="29"/>
      <c r="N152" s="29"/>
      <c r="O152" s="29"/>
      <c r="P152" s="30"/>
      <c r="Q152" s="30"/>
      <c r="R152" s="30"/>
      <c r="S152" s="31"/>
      <c r="T152" s="31"/>
      <c r="U152" s="31"/>
      <c r="V152" s="31"/>
      <c r="W152" s="31"/>
      <c r="X152" s="32"/>
      <c r="Y152" s="32"/>
      <c r="Z152" s="32"/>
    </row>
    <row r="153" spans="1:26">
      <c r="A153" s="28"/>
      <c r="B153" s="17">
        <f t="shared" si="8"/>
        <v>46197</v>
      </c>
      <c r="C153" s="26">
        <f>I153+J153+K153+L153+M153+N153+O153+IF(P153="",0,P153*サマリー!$B$9)+IF(Q153="",0,IF(Q153=200,サマリー!$B$10,IF(Q153=100,サマリー!$B$11,0)))+IF(R153="",0,R153*サマリー!$B$12)</f>
        <v>39959</v>
      </c>
      <c r="D153" s="26">
        <f>S153+T153+U153+V153+W153+IF(X153="",0,X153*サマリー!$B$9)+IF(Y153="",0,IF(Y153=200,サマリー!$B$10,IF(Y153=100,サマリー!$B$11,0)))+IF(Z153="",0,Z153*サマリー!$B$12)</f>
        <v>0</v>
      </c>
      <c r="E153" s="26">
        <f t="shared" si="7"/>
        <v>39959</v>
      </c>
      <c r="I153" s="29">
        <v>28970</v>
      </c>
      <c r="J153" s="29"/>
      <c r="K153" s="29">
        <v>10989</v>
      </c>
      <c r="L153" s="29"/>
      <c r="M153" s="29"/>
      <c r="N153" s="29"/>
      <c r="O153" s="29"/>
      <c r="P153" s="30"/>
      <c r="Q153" s="30"/>
      <c r="R153" s="30"/>
      <c r="S153" s="31"/>
      <c r="T153" s="31"/>
      <c r="U153" s="31"/>
      <c r="V153" s="31"/>
      <c r="W153" s="31"/>
      <c r="X153" s="32"/>
      <c r="Y153" s="32"/>
      <c r="Z153" s="32"/>
    </row>
    <row r="154" spans="1:26">
      <c r="A154" s="28">
        <v>25</v>
      </c>
      <c r="B154" s="17">
        <f t="shared" si="8"/>
        <v>46198</v>
      </c>
      <c r="C154" s="26">
        <f>I154+J154+K154+L154+M154+N154+O154+IF(P154="",0,P154*サマリー!$B$9)+IF(Q154="",0,IF(Q154=200,サマリー!$B$10,IF(Q154=100,サマリー!$B$11,0)))+IF(R154="",0,R154*サマリー!$B$12)</f>
        <v>0</v>
      </c>
      <c r="D154" s="26">
        <f>S154+T154+U154+V154+W154+IF(X154="",0,X154*サマリー!$B$9)+IF(Y154="",0,IF(Y154=200,サマリー!$B$10,IF(Y154=100,サマリー!$B$11,0)))+IF(Z154="",0,Z154*サマリー!$B$12)</f>
        <v>1755</v>
      </c>
      <c r="E154" s="26">
        <f t="shared" si="7"/>
        <v>1755</v>
      </c>
      <c r="I154" s="29"/>
      <c r="J154" s="29"/>
      <c r="K154" s="29"/>
      <c r="L154" s="29"/>
      <c r="M154" s="29"/>
      <c r="N154" s="29"/>
      <c r="O154" s="29"/>
      <c r="P154" s="30"/>
      <c r="Q154" s="30"/>
      <c r="R154" s="30"/>
      <c r="S154" s="31"/>
      <c r="T154" s="31">
        <v>1755</v>
      </c>
      <c r="U154" s="31"/>
      <c r="V154" s="31"/>
      <c r="W154" s="31"/>
      <c r="X154" s="32"/>
      <c r="Y154" s="32"/>
      <c r="Z154" s="32"/>
    </row>
    <row r="155" spans="1:26">
      <c r="A155" s="28"/>
      <c r="B155" s="17">
        <f t="shared" si="8"/>
        <v>46198</v>
      </c>
      <c r="C155" s="26">
        <f>I155+J155+K155+L155+M155+N155+O155+IF(P155="",0,P155*サマリー!$B$9)+IF(Q155="",0,IF(Q155=200,サマリー!$B$10,IF(Q155=100,サマリー!$B$11,0)))+IF(R155="",0,R155*サマリー!$B$12)</f>
        <v>0</v>
      </c>
      <c r="D155" s="26">
        <f>S155+T155+U155+V155+W155+IF(X155="",0,X155*サマリー!$B$9)+IF(Y155="",0,IF(Y155=200,サマリー!$B$10,IF(Y155=100,サマリー!$B$11,0)))+IF(Z155="",0,Z155*サマリー!$B$12)</f>
        <v>5500</v>
      </c>
      <c r="E155" s="26">
        <f t="shared" si="7"/>
        <v>5500</v>
      </c>
      <c r="I155" s="29"/>
      <c r="J155" s="29"/>
      <c r="K155" s="29"/>
      <c r="L155" s="29"/>
      <c r="M155" s="29"/>
      <c r="N155" s="29"/>
      <c r="O155" s="29"/>
      <c r="P155" s="30"/>
      <c r="Q155" s="30"/>
      <c r="R155" s="30"/>
      <c r="S155" s="31"/>
      <c r="T155" s="31">
        <v>5500</v>
      </c>
      <c r="U155" s="31"/>
      <c r="V155" s="31"/>
      <c r="W155" s="31"/>
      <c r="X155" s="32"/>
      <c r="Y155" s="32"/>
      <c r="Z155" s="32"/>
    </row>
    <row r="156" spans="1:26">
      <c r="A156" s="28"/>
      <c r="B156" s="17">
        <f t="shared" si="8"/>
        <v>46198</v>
      </c>
      <c r="C156" s="26">
        <f>I156+J156+K156+L156+M156+N156+O156+IF(P156="",0,P156*サマリー!$B$9)+IF(Q156="",0,IF(Q156=200,サマリー!$B$10,IF(Q156=100,サマリー!$B$11,0)))+IF(R156="",0,R156*サマリー!$B$12)</f>
        <v>23475</v>
      </c>
      <c r="D156" s="26">
        <f>S156+T156+U156+V156+W156+IF(X156="",0,X156*サマリー!$B$9)+IF(Y156="",0,IF(Y156=200,サマリー!$B$10,IF(Y156=100,サマリー!$B$11,0)))+IF(Z156="",0,Z156*サマリー!$B$12)</f>
        <v>0</v>
      </c>
      <c r="E156" s="26">
        <f t="shared" si="7"/>
        <v>23475</v>
      </c>
      <c r="I156" s="29"/>
      <c r="J156" s="29">
        <v>23475</v>
      </c>
      <c r="K156" s="29"/>
      <c r="L156" s="29"/>
      <c r="M156" s="29"/>
      <c r="N156" s="29"/>
      <c r="O156" s="29"/>
      <c r="P156" s="30"/>
      <c r="Q156" s="30"/>
      <c r="R156" s="30"/>
      <c r="S156" s="31"/>
      <c r="T156" s="31"/>
      <c r="U156" s="31"/>
      <c r="V156" s="31"/>
      <c r="W156" s="31"/>
      <c r="X156" s="32"/>
      <c r="Y156" s="32"/>
      <c r="Z156" s="32"/>
    </row>
    <row r="157" spans="1:26">
      <c r="A157" s="28">
        <v>26</v>
      </c>
      <c r="B157" s="17">
        <f t="shared" si="8"/>
        <v>46199</v>
      </c>
      <c r="C157" s="26">
        <f>I157+J157+K157+L157+M157+N157+O157+IF(P157="",0,P157*サマリー!$B$9)+IF(Q157="",0,IF(Q157=200,サマリー!$B$10,IF(Q157=100,サマリー!$B$11,0)))+IF(R157="",0,R157*サマリー!$B$12)</f>
        <v>68079</v>
      </c>
      <c r="D157" s="26">
        <f>S157+T157+U157+V157+W157+IF(X157="",0,X157*サマリー!$B$9)+IF(Y157="",0,IF(Y157=200,サマリー!$B$10,IF(Y157=100,サマリー!$B$11,0)))+IF(Z157="",0,Z157*サマリー!$B$12)</f>
        <v>4400</v>
      </c>
      <c r="E157" s="26">
        <f t="shared" si="7"/>
        <v>72479</v>
      </c>
      <c r="I157" s="29">
        <v>60838</v>
      </c>
      <c r="J157" s="29"/>
      <c r="K157" s="29"/>
      <c r="L157" s="29"/>
      <c r="M157" s="29"/>
      <c r="N157" s="29"/>
      <c r="O157" s="29"/>
      <c r="P157" s="30"/>
      <c r="Q157" s="30">
        <v>200</v>
      </c>
      <c r="R157" s="30"/>
      <c r="S157" s="31"/>
      <c r="T157" s="31"/>
      <c r="U157" s="31"/>
      <c r="V157" s="31">
        <v>4400</v>
      </c>
      <c r="W157" s="31"/>
      <c r="X157" s="32"/>
      <c r="Y157" s="32"/>
      <c r="Z157" s="32"/>
    </row>
    <row r="158" spans="1:26">
      <c r="A158" s="28"/>
      <c r="B158" s="17">
        <f t="shared" si="8"/>
        <v>46199</v>
      </c>
      <c r="C158" s="26">
        <f>I158+J158+K158+L158+M158+N158+O158+IF(P158="",0,P158*サマリー!$B$9)+IF(Q158="",0,IF(Q158=200,サマリー!$B$10,IF(Q158=100,サマリー!$B$11,0)))+IF(R158="",0,R158*サマリー!$B$12)</f>
        <v>7172</v>
      </c>
      <c r="D158" s="26">
        <f>S158+T158+U158+V158+W158+IF(X158="",0,X158*サマリー!$B$9)+IF(Y158="",0,IF(Y158=200,サマリー!$B$10,IF(Y158=100,サマリー!$B$11,0)))+IF(Z158="",0,Z158*サマリー!$B$12)</f>
        <v>0</v>
      </c>
      <c r="E158" s="26">
        <f t="shared" si="7"/>
        <v>7172</v>
      </c>
      <c r="I158" s="29"/>
      <c r="J158" s="29"/>
      <c r="K158" s="29">
        <v>7172</v>
      </c>
      <c r="L158" s="29"/>
      <c r="M158" s="29"/>
      <c r="N158" s="29"/>
      <c r="O158" s="29"/>
      <c r="P158" s="30"/>
      <c r="Q158" s="30"/>
      <c r="R158" s="30"/>
      <c r="S158" s="31"/>
      <c r="T158" s="31"/>
      <c r="U158" s="31"/>
      <c r="V158" s="31"/>
      <c r="W158" s="31"/>
      <c r="X158" s="32"/>
      <c r="Y158" s="32"/>
      <c r="Z158" s="32"/>
    </row>
    <row r="159" spans="1:26">
      <c r="A159" s="28"/>
      <c r="B159" s="17">
        <f t="shared" si="8"/>
        <v>46199</v>
      </c>
      <c r="C159" s="26">
        <f>I159+J159+K159+L159+M159+N159+O159+IF(P159="",0,P159*サマリー!$B$9)+IF(Q159="",0,IF(Q159=200,サマリー!$B$10,IF(Q159=100,サマリー!$B$11,0)))+IF(R159="",0,R159*サマリー!$B$12)</f>
        <v>1655</v>
      </c>
      <c r="D159" s="26">
        <f>S159+T159+U159+V159+W159+IF(X159="",0,X159*サマリー!$B$9)+IF(Y159="",0,IF(Y159=200,サマリー!$B$10,IF(Y159=100,サマリー!$B$11,0)))+IF(Z159="",0,Z159*サマリー!$B$12)</f>
        <v>0</v>
      </c>
      <c r="E159" s="26">
        <f t="shared" si="7"/>
        <v>1655</v>
      </c>
      <c r="I159" s="29"/>
      <c r="J159" s="29">
        <v>1655</v>
      </c>
      <c r="K159" s="29"/>
      <c r="L159" s="29"/>
      <c r="M159" s="29"/>
      <c r="N159" s="29"/>
      <c r="O159" s="29"/>
      <c r="P159" s="30"/>
      <c r="Q159" s="30"/>
      <c r="R159" s="30"/>
      <c r="S159" s="31"/>
      <c r="T159" s="31"/>
      <c r="U159" s="31"/>
      <c r="V159" s="31"/>
      <c r="W159" s="31"/>
      <c r="X159" s="32"/>
      <c r="Y159" s="32"/>
      <c r="Z159" s="32"/>
    </row>
    <row r="160" spans="1:26">
      <c r="A160" s="28"/>
      <c r="B160" s="17">
        <f t="shared" si="8"/>
        <v>46199</v>
      </c>
      <c r="C160" s="26">
        <f>I160+J160+K160+L160+M160+N160+O160+IF(P160="",0,P160*サマリー!$B$9)+IF(Q160="",0,IF(Q160=200,サマリー!$B$10,IF(Q160=100,サマリー!$B$11,0)))+IF(R160="",0,R160*サマリー!$B$12)</f>
        <v>0</v>
      </c>
      <c r="D160" s="26">
        <f>S160+T160+U160+V160+W160+IF(X160="",0,X160*サマリー!$B$9)+IF(Y160="",0,IF(Y160=200,サマリー!$B$10,IF(Y160=100,サマリー!$B$11,0)))+IF(Z160="",0,Z160*サマリー!$B$12)</f>
        <v>11500</v>
      </c>
      <c r="E160" s="26">
        <f t="shared" si="7"/>
        <v>11500</v>
      </c>
      <c r="I160" s="29"/>
      <c r="J160" s="29"/>
      <c r="K160" s="29"/>
      <c r="L160" s="29"/>
      <c r="M160" s="29"/>
      <c r="N160" s="29"/>
      <c r="O160" s="29"/>
      <c r="P160" s="30"/>
      <c r="Q160" s="30"/>
      <c r="R160" s="30"/>
      <c r="S160" s="31"/>
      <c r="T160" s="31">
        <v>4400</v>
      </c>
      <c r="U160" s="31">
        <v>7100</v>
      </c>
      <c r="V160" s="31"/>
      <c r="W160" s="31"/>
      <c r="X160" s="32"/>
      <c r="Y160" s="32"/>
      <c r="Z160" s="32"/>
    </row>
    <row r="161" spans="1:26">
      <c r="A161" s="28">
        <v>27</v>
      </c>
      <c r="B161" s="17">
        <f t="shared" si="8"/>
        <v>46200</v>
      </c>
      <c r="C161" s="26">
        <f>I161+J161+K161+L161+M161+N161+O161+IF(P161="",0,P161*サマリー!$B$9)+IF(Q161="",0,IF(Q161=200,サマリー!$B$10,IF(Q161=100,サマリー!$B$11,0)))+IF(R161="",0,R161*サマリー!$B$12)</f>
        <v>1655</v>
      </c>
      <c r="D161" s="26">
        <f>S161+T161+U161+V161+W161+IF(X161="",0,X161*サマリー!$B$9)+IF(Y161="",0,IF(Y161=200,サマリー!$B$10,IF(Y161=100,サマリー!$B$11,0)))+IF(Z161="",0,Z161*サマリー!$B$12)</f>
        <v>32719</v>
      </c>
      <c r="E161" s="26">
        <f t="shared" si="7"/>
        <v>34374</v>
      </c>
      <c r="I161" s="29"/>
      <c r="J161" s="29">
        <v>1655</v>
      </c>
      <c r="K161" s="29"/>
      <c r="L161" s="29"/>
      <c r="M161" s="29"/>
      <c r="N161" s="29"/>
      <c r="O161" s="29"/>
      <c r="P161" s="30"/>
      <c r="Q161" s="30"/>
      <c r="R161" s="30"/>
      <c r="S161" s="31">
        <v>32719</v>
      </c>
      <c r="T161" s="31"/>
      <c r="U161" s="31"/>
      <c r="V161" s="31"/>
      <c r="W161" s="31"/>
      <c r="X161" s="32"/>
      <c r="Y161" s="32"/>
      <c r="Z161" s="32"/>
    </row>
    <row r="162" spans="1:26">
      <c r="A162" s="28"/>
      <c r="B162" s="17">
        <f t="shared" si="8"/>
        <v>46200</v>
      </c>
      <c r="C162" s="26">
        <f>I162+J162+K162+L162+M162+N162+O162+IF(P162="",0,P162*サマリー!$B$9)+IF(Q162="",0,IF(Q162=200,サマリー!$B$10,IF(Q162=100,サマリー!$B$11,0)))+IF(R162="",0,R162*サマリー!$B$12)</f>
        <v>0</v>
      </c>
      <c r="D162" s="26">
        <f>S162+T162+U162+V162+W162+IF(X162="",0,X162*サマリー!$B$9)+IF(Y162="",0,IF(Y162=200,サマリー!$B$10,IF(Y162=100,サマリー!$B$11,0)))+IF(Z162="",0,Z162*サマリー!$B$12)</f>
        <v>10800</v>
      </c>
      <c r="E162" s="26">
        <f t="shared" si="7"/>
        <v>10800</v>
      </c>
      <c r="I162" s="29"/>
      <c r="J162" s="29"/>
      <c r="K162" s="29"/>
      <c r="L162" s="29"/>
      <c r="M162" s="29"/>
      <c r="N162" s="29"/>
      <c r="O162" s="29"/>
      <c r="P162" s="30"/>
      <c r="Q162" s="30"/>
      <c r="R162" s="30"/>
      <c r="S162" s="31"/>
      <c r="T162" s="31">
        <v>10800</v>
      </c>
      <c r="U162" s="31"/>
      <c r="V162" s="31"/>
      <c r="W162" s="31"/>
      <c r="X162" s="32"/>
      <c r="Y162" s="32"/>
      <c r="Z162" s="32"/>
    </row>
    <row r="163" spans="1:26">
      <c r="A163" s="28"/>
      <c r="B163" s="17">
        <f t="shared" si="8"/>
        <v>46200</v>
      </c>
      <c r="C163" s="26">
        <f>I163+J163+K163+L163+M163+N163+O163+IF(P163="",0,P163*サマリー!$B$9)+IF(Q163="",0,IF(Q163=200,サマリー!$B$10,IF(Q163=100,サマリー!$B$11,0)))+IF(R163="",0,R163*サマリー!$B$12)</f>
        <v>42296</v>
      </c>
      <c r="D163" s="26">
        <f>S163+T163+U163+V163+W163+IF(X163="",0,X163*サマリー!$B$9)+IF(Y163="",0,IF(Y163=200,サマリー!$B$10,IF(Y163=100,サマリー!$B$11,0)))+IF(Z163="",0,Z163*サマリー!$B$12)</f>
        <v>31577</v>
      </c>
      <c r="E163" s="26">
        <f t="shared" si="7"/>
        <v>73873</v>
      </c>
      <c r="I163" s="29">
        <v>35055</v>
      </c>
      <c r="J163" s="29"/>
      <c r="K163" s="29"/>
      <c r="L163" s="29"/>
      <c r="M163" s="29"/>
      <c r="N163" s="29"/>
      <c r="O163" s="29"/>
      <c r="P163" s="30"/>
      <c r="Q163" s="30">
        <v>200</v>
      </c>
      <c r="R163" s="30"/>
      <c r="S163" s="31">
        <v>31577</v>
      </c>
      <c r="T163" s="31"/>
      <c r="U163" s="31"/>
      <c r="V163" s="31"/>
      <c r="W163" s="31"/>
      <c r="X163" s="32"/>
      <c r="Y163" s="32"/>
      <c r="Z163" s="32"/>
    </row>
    <row r="164" spans="1:26">
      <c r="A164" s="28"/>
      <c r="B164" s="17">
        <f t="shared" si="8"/>
        <v>46200</v>
      </c>
      <c r="C164" s="26">
        <f>I164+J164+K164+L164+M164+N164+O164+IF(P164="",0,P164*サマリー!$B$9)+IF(Q164="",0,IF(Q164=200,サマリー!$B$10,IF(Q164=100,サマリー!$B$11,0)))+IF(R164="",0,R164*サマリー!$B$12)</f>
        <v>0</v>
      </c>
      <c r="D164" s="26">
        <f>S164+T164+U164+V164+W164+IF(X164="",0,X164*サマリー!$B$9)+IF(Y164="",0,IF(Y164=200,サマリー!$B$10,IF(Y164=100,サマリー!$B$11,0)))+IF(Z164="",0,Z164*サマリー!$B$12)</f>
        <v>1755</v>
      </c>
      <c r="E164" s="26">
        <f t="shared" si="7"/>
        <v>1755</v>
      </c>
      <c r="I164" s="29"/>
      <c r="J164" s="29"/>
      <c r="K164" s="29"/>
      <c r="L164" s="29"/>
      <c r="M164" s="29"/>
      <c r="N164" s="29"/>
      <c r="O164" s="29"/>
      <c r="P164" s="30"/>
      <c r="Q164" s="30"/>
      <c r="R164" s="30"/>
      <c r="S164" s="31"/>
      <c r="T164" s="31">
        <v>1755</v>
      </c>
      <c r="U164" s="31"/>
      <c r="V164" s="31"/>
      <c r="W164" s="31"/>
      <c r="X164" s="32"/>
      <c r="Y164" s="32"/>
      <c r="Z164" s="32"/>
    </row>
    <row r="165" spans="1:26">
      <c r="A165" s="28">
        <v>28</v>
      </c>
      <c r="B165" s="17">
        <f t="shared" si="8"/>
        <v>46201</v>
      </c>
      <c r="C165" s="26">
        <f>I165+J165+K165+L165+M165+N165+O165+IF(P165="",0,P165*サマリー!$B$9)+IF(Q165="",0,IF(Q165=200,サマリー!$B$10,IF(Q165=100,サマリー!$B$11,0)))+IF(R165="",0,R165*サマリー!$B$12)</f>
        <v>76235</v>
      </c>
      <c r="D165" s="26">
        <f>S165+T165+U165+V165+W165+IF(X165="",0,X165*サマリー!$B$9)+IF(Y165="",0,IF(Y165=200,サマリー!$B$10,IF(Y165=100,サマリー!$B$11,0)))+IF(Z165="",0,Z165*サマリー!$B$12)</f>
        <v>16310</v>
      </c>
      <c r="E165" s="26">
        <f t="shared" si="7"/>
        <v>92545</v>
      </c>
      <c r="I165" s="29"/>
      <c r="J165" s="29">
        <v>7980</v>
      </c>
      <c r="K165" s="29"/>
      <c r="L165" s="29"/>
      <c r="M165" s="29"/>
      <c r="N165" s="29">
        <v>8255</v>
      </c>
      <c r="O165" s="29"/>
      <c r="P165" s="30"/>
      <c r="Q165" s="30"/>
      <c r="R165" s="30">
        <v>2</v>
      </c>
      <c r="S165" s="31"/>
      <c r="T165" s="31">
        <v>16310</v>
      </c>
      <c r="U165" s="31"/>
      <c r="V165" s="31"/>
      <c r="W165" s="31"/>
      <c r="X165" s="32"/>
      <c r="Y165" s="32"/>
      <c r="Z165" s="32"/>
    </row>
    <row r="166" spans="1:26">
      <c r="A166" s="28">
        <v>29</v>
      </c>
      <c r="B166" s="17">
        <f t="shared" si="8"/>
        <v>46202</v>
      </c>
      <c r="C166" s="26">
        <f>I166+J166+K166+L166+M166+N166+O166+IF(P166="",0,P166*サマリー!$B$9)+IF(Q166="",0,IF(Q166=200,サマリー!$B$10,IF(Q166=100,サマリー!$B$11,0)))+IF(R166="",0,R166*サマリー!$B$12)</f>
        <v>0</v>
      </c>
      <c r="D166" s="26">
        <f>S166+T166+U166+V166+W166+IF(X166="",0,X166*サマリー!$B$9)+IF(Y166="",0,IF(Y166=200,サマリー!$B$10,IF(Y166=100,サマリー!$B$11,0)))+IF(Z166="",0,Z166*サマリー!$B$12)</f>
        <v>27872</v>
      </c>
      <c r="E166" s="26">
        <f t="shared" ref="E166:E197" si="9">C166+D166</f>
        <v>27872</v>
      </c>
      <c r="I166" s="29"/>
      <c r="J166" s="29"/>
      <c r="K166" s="29"/>
      <c r="L166" s="29"/>
      <c r="M166" s="29"/>
      <c r="N166" s="29"/>
      <c r="O166" s="29"/>
      <c r="P166" s="30"/>
      <c r="Q166" s="30"/>
      <c r="R166" s="30"/>
      <c r="S166" s="31">
        <v>18250</v>
      </c>
      <c r="T166" s="31"/>
      <c r="U166" s="31">
        <v>9622</v>
      </c>
      <c r="V166" s="31"/>
      <c r="W166" s="31"/>
      <c r="X166" s="32"/>
      <c r="Y166" s="32"/>
      <c r="Z166" s="32"/>
    </row>
    <row r="167" spans="1:26">
      <c r="A167" s="28">
        <v>30</v>
      </c>
      <c r="B167" s="17">
        <f t="shared" ref="B167:B198" si="10">IF(A167="",B166,IF(A167&lt;DAY(B166),DATE(YEAR(B166),MONTH(B166)+1,A167),DATE(YEAR(B166),MONTH(B166),A167)))</f>
        <v>46203</v>
      </c>
      <c r="C167" s="26">
        <f>I167+J167+K167+L167+M167+N167+O167+IF(P167="",0,P167*サマリー!$B$9)+IF(Q167="",0,IF(Q167=200,サマリー!$B$10,IF(Q167=100,サマリー!$B$11,0)))+IF(R167="",0,R167*サマリー!$B$12)</f>
        <v>47238</v>
      </c>
      <c r="D167" s="26">
        <f>S167+T167+U167+V167+W167+IF(X167="",0,X167*サマリー!$B$9)+IF(Y167="",0,IF(Y167=200,サマリー!$B$10,IF(Y167=100,サマリー!$B$11,0)))+IF(Z167="",0,Z167*サマリー!$B$12)</f>
        <v>0</v>
      </c>
      <c r="E167" s="26">
        <f t="shared" si="9"/>
        <v>47238</v>
      </c>
      <c r="I167" s="29">
        <v>47238</v>
      </c>
      <c r="J167" s="29"/>
      <c r="K167" s="29"/>
      <c r="L167" s="29"/>
      <c r="M167" s="29"/>
      <c r="N167" s="29"/>
      <c r="O167" s="29"/>
      <c r="P167" s="30"/>
      <c r="Q167" s="30"/>
      <c r="R167" s="30"/>
      <c r="S167" s="31"/>
      <c r="T167" s="31"/>
      <c r="U167" s="31"/>
      <c r="V167" s="31"/>
      <c r="W167" s="31"/>
      <c r="X167" s="32"/>
      <c r="Y167" s="32"/>
      <c r="Z167" s="32"/>
    </row>
    <row r="168" spans="1:26">
      <c r="A168" s="28">
        <v>30</v>
      </c>
      <c r="B168" s="17">
        <f t="shared" si="10"/>
        <v>46203</v>
      </c>
      <c r="C168" s="26">
        <f>I168+J168+K168+L168+M168+N168+O168+IF(P168="",0,P168*サマリー!$B$9)+IF(Q168="",0,IF(Q168=200,サマリー!$B$10,IF(Q168=100,サマリー!$B$11,0)))+IF(R168="",0,R168*サマリー!$B$12)</f>
        <v>43766</v>
      </c>
      <c r="D168" s="26">
        <f>S168+T168+U168+V168+W168+IF(X168="",0,X168*サマリー!$B$9)+IF(Y168="",0,IF(Y168=200,サマリー!$B$10,IF(Y168=100,サマリー!$B$11,0)))+IF(Z168="",0,Z168*サマリー!$B$12)</f>
        <v>0</v>
      </c>
      <c r="E168" s="26">
        <f t="shared" si="9"/>
        <v>43766</v>
      </c>
      <c r="I168" s="29">
        <v>31730</v>
      </c>
      <c r="J168" s="29"/>
      <c r="K168" s="29">
        <v>12036</v>
      </c>
      <c r="L168" s="29"/>
      <c r="M168" s="29"/>
      <c r="N168" s="29"/>
      <c r="O168" s="29"/>
      <c r="P168" s="30"/>
      <c r="Q168" s="30"/>
      <c r="R168" s="30"/>
      <c r="S168" s="31"/>
      <c r="T168" s="31"/>
      <c r="U168" s="31"/>
      <c r="V168" s="31"/>
      <c r="W168" s="31"/>
      <c r="X168" s="32"/>
      <c r="Y168" s="32"/>
      <c r="Z168" s="32"/>
    </row>
    <row r="169" spans="1:26">
      <c r="A169" s="28">
        <v>1</v>
      </c>
      <c r="B169" s="17">
        <f t="shared" si="10"/>
        <v>46204</v>
      </c>
      <c r="C169" s="26">
        <f>I169+J169+K169+L169+M169+N169+O169+IF(P169="",0,P169*サマリー!$B$9)+IF(Q169="",0,IF(Q169=200,サマリー!$B$10,IF(Q169=100,サマリー!$B$11,0)))+IF(R169="",0,R169*サマリー!$B$12)</f>
        <v>50000</v>
      </c>
      <c r="D169" s="26">
        <f>S169+T169+U169+V169+W169+IF(X169="",0,X169*サマリー!$B$9)+IF(Y169="",0,IF(Y169=200,サマリー!$B$10,IF(Y169=100,サマリー!$B$11,0)))+IF(Z169="",0,Z169*サマリー!$B$12)</f>
        <v>555</v>
      </c>
      <c r="E169" s="26">
        <f t="shared" si="9"/>
        <v>50555</v>
      </c>
      <c r="I169" s="29"/>
      <c r="J169" s="29"/>
      <c r="K169" s="29"/>
      <c r="L169" s="29"/>
      <c r="M169" s="29"/>
      <c r="N169" s="29"/>
      <c r="O169" s="29"/>
      <c r="P169" s="30">
        <v>2</v>
      </c>
      <c r="Q169" s="30"/>
      <c r="R169" s="30"/>
      <c r="S169" s="31"/>
      <c r="T169" s="31">
        <v>555</v>
      </c>
      <c r="U169" s="31"/>
      <c r="V169" s="31"/>
      <c r="W169" s="31"/>
      <c r="X169" s="32"/>
      <c r="Y169" s="32"/>
      <c r="Z169" s="32"/>
    </row>
    <row r="170" spans="1:26">
      <c r="A170" s="28">
        <v>2</v>
      </c>
      <c r="B170" s="17">
        <f t="shared" si="10"/>
        <v>46205</v>
      </c>
      <c r="C170" s="26">
        <f>I170+J170+K170+L170+M170+N170+O170+IF(P170="",0,P170*サマリー!$B$9)+IF(Q170="",0,IF(Q170=200,サマリー!$B$10,IF(Q170=100,サマリー!$B$11,0)))+IF(R170="",0,R170*サマリー!$B$12)</f>
        <v>38000</v>
      </c>
      <c r="D170" s="26">
        <f>S170+T170+U170+V170+W170+IF(X170="",0,X170*サマリー!$B$9)+IF(Y170="",0,IF(Y170=200,サマリー!$B$10,IF(Y170=100,サマリー!$B$11,0)))+IF(Z170="",0,Z170*サマリー!$B$12)</f>
        <v>23555</v>
      </c>
      <c r="E170" s="26">
        <f t="shared" si="9"/>
        <v>61555</v>
      </c>
      <c r="I170" s="29"/>
      <c r="J170" s="29"/>
      <c r="K170" s="29"/>
      <c r="L170" s="29"/>
      <c r="M170" s="29"/>
      <c r="N170" s="29">
        <v>13000</v>
      </c>
      <c r="O170" s="29"/>
      <c r="P170" s="30">
        <v>1</v>
      </c>
      <c r="Q170" s="30"/>
      <c r="R170" s="30"/>
      <c r="S170" s="31"/>
      <c r="T170" s="31">
        <v>23555</v>
      </c>
      <c r="U170" s="31"/>
      <c r="V170" s="31"/>
      <c r="W170" s="31"/>
      <c r="X170" s="32"/>
      <c r="Y170" s="32"/>
      <c r="Z170" s="32"/>
    </row>
    <row r="171" spans="1:26">
      <c r="A171" s="28">
        <v>3</v>
      </c>
      <c r="B171" s="17">
        <f t="shared" si="10"/>
        <v>46206</v>
      </c>
      <c r="C171" s="26">
        <f>I171+J171+K171+L171+M171+N171+O171+IF(P171="",0,P171*サマリー!$B$9)+IF(Q171="",0,IF(Q171=200,サマリー!$B$10,IF(Q171=100,サマリー!$B$11,0)))+IF(R171="",0,R171*サマリー!$B$12)</f>
        <v>33519</v>
      </c>
      <c r="D171" s="26">
        <f>S171+T171+U171+V171+W171+IF(X171="",0,X171*サマリー!$B$9)+IF(Y171="",0,IF(Y171=200,サマリー!$B$10,IF(Y171=100,サマリー!$B$11,0)))+IF(Z171="",0,Z171*サマリー!$B$12)</f>
        <v>1755</v>
      </c>
      <c r="E171" s="26">
        <f t="shared" si="9"/>
        <v>35274</v>
      </c>
      <c r="I171" s="29"/>
      <c r="J171" s="29">
        <v>3519</v>
      </c>
      <c r="K171" s="29"/>
      <c r="L171" s="29"/>
      <c r="M171" s="29"/>
      <c r="N171" s="29"/>
      <c r="O171" s="29"/>
      <c r="P171" s="30"/>
      <c r="Q171" s="30"/>
      <c r="R171" s="30">
        <v>1</v>
      </c>
      <c r="S171" s="31"/>
      <c r="T171" s="31"/>
      <c r="U171" s="31"/>
      <c r="V171" s="31">
        <v>1755</v>
      </c>
      <c r="W171" s="31"/>
      <c r="X171" s="32"/>
      <c r="Y171" s="32"/>
      <c r="Z171" s="32"/>
    </row>
    <row r="172" spans="1:26">
      <c r="A172" s="28">
        <v>3</v>
      </c>
      <c r="B172" s="17">
        <f t="shared" si="10"/>
        <v>46206</v>
      </c>
      <c r="C172" s="26">
        <f>I172+J172+K172+L172+M172+N172+O172+IF(P172="",0,P172*サマリー!$B$9)+IF(Q172="",0,IF(Q172=200,サマリー!$B$10,IF(Q172=100,サマリー!$B$11,0)))+IF(R172="",0,R172*サマリー!$B$12)</f>
        <v>0</v>
      </c>
      <c r="D172" s="26">
        <f>S172+T172+U172+V172+W172+IF(X172="",0,X172*サマリー!$B$9)+IF(Y172="",0,IF(Y172=200,サマリー!$B$10,IF(Y172=100,サマリー!$B$11,0)))+IF(Z172="",0,Z172*サマリー!$B$12)</f>
        <v>6400</v>
      </c>
      <c r="E172" s="26">
        <f t="shared" si="9"/>
        <v>6400</v>
      </c>
      <c r="I172" s="29"/>
      <c r="J172" s="29"/>
      <c r="K172" s="29"/>
      <c r="L172" s="29"/>
      <c r="M172" s="29"/>
      <c r="N172" s="29"/>
      <c r="O172" s="29"/>
      <c r="P172" s="30"/>
      <c r="Q172" s="30"/>
      <c r="R172" s="30"/>
      <c r="S172" s="31"/>
      <c r="T172" s="31"/>
      <c r="U172" s="31"/>
      <c r="V172" s="31">
        <v>6400</v>
      </c>
      <c r="W172" s="31"/>
      <c r="X172" s="32"/>
      <c r="Y172" s="32"/>
      <c r="Z172" s="32"/>
    </row>
    <row r="173" spans="1:26">
      <c r="A173" s="28">
        <v>3</v>
      </c>
      <c r="B173" s="17">
        <f t="shared" si="10"/>
        <v>46206</v>
      </c>
      <c r="C173" s="26">
        <f>I173+J173+K173+L173+M173+N173+O173+IF(P173="",0,P173*サマリー!$B$9)+IF(Q173="",0,IF(Q173=200,サマリー!$B$10,IF(Q173=100,サマリー!$B$11,0)))+IF(R173="",0,R173*サマリー!$B$12)</f>
        <v>0</v>
      </c>
      <c r="D173" s="26">
        <f>S173+T173+U173+V173+W173+IF(X173="",0,X173*サマリー!$B$9)+IF(Y173="",0,IF(Y173=200,サマリー!$B$10,IF(Y173=100,サマリー!$B$11,0)))+IF(Z173="",0,Z173*サマリー!$B$12)</f>
        <v>11900</v>
      </c>
      <c r="E173" s="26">
        <f t="shared" si="9"/>
        <v>11900</v>
      </c>
      <c r="I173" s="29"/>
      <c r="J173" s="29"/>
      <c r="K173" s="29"/>
      <c r="L173" s="29"/>
      <c r="M173" s="29"/>
      <c r="N173" s="29"/>
      <c r="O173" s="29"/>
      <c r="P173" s="30"/>
      <c r="Q173" s="30"/>
      <c r="R173" s="30"/>
      <c r="S173" s="31"/>
      <c r="T173" s="31"/>
      <c r="U173" s="31"/>
      <c r="V173" s="31">
        <v>11900</v>
      </c>
      <c r="W173" s="31"/>
      <c r="X173" s="32"/>
      <c r="Y173" s="32"/>
      <c r="Z173" s="32"/>
    </row>
    <row r="174" spans="1:26">
      <c r="A174" s="28">
        <v>4</v>
      </c>
      <c r="B174" s="17">
        <f t="shared" si="10"/>
        <v>46207</v>
      </c>
      <c r="C174" s="26">
        <f>I174+J174+K174+L174+M174+N174+O174+IF(P174="",0,P174*サマリー!$B$9)+IF(Q174="",0,IF(Q174=200,サマリー!$B$10,IF(Q174=100,サマリー!$B$11,0)))+IF(R174="",0,R174*サマリー!$B$12)</f>
        <v>7255</v>
      </c>
      <c r="D174" s="26">
        <f>S174+T174+U174+V174+W174+IF(X174="",0,X174*サマリー!$B$9)+IF(Y174="",0,IF(Y174=200,サマリー!$B$10,IF(Y174=100,サマリー!$B$11,0)))+IF(Z174="",0,Z174*サマリー!$B$12)</f>
        <v>0</v>
      </c>
      <c r="E174" s="26">
        <f t="shared" si="9"/>
        <v>7255</v>
      </c>
      <c r="I174" s="29"/>
      <c r="J174" s="29">
        <v>1755</v>
      </c>
      <c r="K174" s="29"/>
      <c r="L174" s="29">
        <v>5500</v>
      </c>
      <c r="M174" s="29"/>
      <c r="N174" s="29"/>
      <c r="O174" s="29"/>
      <c r="P174" s="30"/>
      <c r="Q174" s="30"/>
      <c r="R174" s="30"/>
      <c r="S174" s="31"/>
      <c r="T174" s="31"/>
      <c r="U174" s="31"/>
      <c r="V174" s="31"/>
      <c r="W174" s="31"/>
      <c r="X174" s="32"/>
      <c r="Y174" s="32"/>
      <c r="Z174" s="32"/>
    </row>
    <row r="175" spans="1:26">
      <c r="A175" s="28">
        <v>5</v>
      </c>
      <c r="B175" s="17">
        <f t="shared" si="10"/>
        <v>46208</v>
      </c>
      <c r="C175" s="26">
        <f>I175+J175+K175+L175+M175+N175+O175+IF(P175="",0,P175*サマリー!$B$9)+IF(Q175="",0,IF(Q175=200,サマリー!$B$10,IF(Q175=100,サマリー!$B$11,0)))+IF(R175="",0,R175*サマリー!$B$12)</f>
        <v>12119</v>
      </c>
      <c r="D175" s="26">
        <f>S175+T175+U175+V175+W175+IF(X175="",0,X175*サマリー!$B$9)+IF(Y175="",0,IF(Y175=200,サマリー!$B$10,IF(Y175=100,サマリー!$B$11,0)))+IF(Z175="",0,Z175*サマリー!$B$12)</f>
        <v>18800</v>
      </c>
      <c r="E175" s="26">
        <f t="shared" si="9"/>
        <v>30919</v>
      </c>
      <c r="I175" s="29">
        <v>12119</v>
      </c>
      <c r="J175" s="29"/>
      <c r="K175" s="29"/>
      <c r="L175" s="29"/>
      <c r="M175" s="29"/>
      <c r="N175" s="29"/>
      <c r="O175" s="29"/>
      <c r="P175" s="30"/>
      <c r="Q175" s="30"/>
      <c r="R175" s="30"/>
      <c r="S175" s="31"/>
      <c r="T175" s="31"/>
      <c r="U175" s="31"/>
      <c r="V175" s="31">
        <v>18800</v>
      </c>
      <c r="W175" s="31"/>
      <c r="X175" s="32"/>
      <c r="Y175" s="32"/>
      <c r="Z175" s="32"/>
    </row>
    <row r="176" spans="1:26">
      <c r="A176" s="28">
        <v>5</v>
      </c>
      <c r="B176" s="17">
        <f t="shared" si="10"/>
        <v>46208</v>
      </c>
      <c r="C176" s="26">
        <f>I176+J176+K176+L176+M176+N176+O176+IF(P176="",0,P176*サマリー!$B$9)+IF(Q176="",0,IF(Q176=200,サマリー!$B$10,IF(Q176=100,サマリー!$B$11,0)))+IF(R176="",0,R176*サマリー!$B$12)</f>
        <v>759</v>
      </c>
      <c r="D176" s="26">
        <f>S176+T176+U176+V176+W176+IF(X176="",0,X176*サマリー!$B$9)+IF(Y176="",0,IF(Y176=200,サマリー!$B$10,IF(Y176=100,サマリー!$B$11,0)))+IF(Z176="",0,Z176*サマリー!$B$12)</f>
        <v>0</v>
      </c>
      <c r="E176" s="26">
        <f t="shared" si="9"/>
        <v>759</v>
      </c>
      <c r="I176" s="29">
        <v>550</v>
      </c>
      <c r="J176" s="29">
        <v>209</v>
      </c>
      <c r="K176" s="29"/>
      <c r="L176" s="29"/>
      <c r="M176" s="29"/>
      <c r="N176" s="29"/>
      <c r="O176" s="29"/>
      <c r="P176" s="30"/>
      <c r="Q176" s="30"/>
      <c r="R176" s="30"/>
      <c r="S176" s="31"/>
      <c r="T176" s="31"/>
      <c r="U176" s="31"/>
      <c r="V176" s="31"/>
      <c r="W176" s="31"/>
      <c r="X176" s="32"/>
      <c r="Y176" s="32"/>
      <c r="Z176" s="32"/>
    </row>
    <row r="177" spans="1:26">
      <c r="A177" s="28">
        <v>5</v>
      </c>
      <c r="B177" s="17">
        <f t="shared" si="10"/>
        <v>46208</v>
      </c>
      <c r="C177" s="26">
        <f>I177+J177+K177+L177+M177+N177+O177+IF(P177="",0,P177*サマリー!$B$9)+IF(Q177="",0,IF(Q177=200,サマリー!$B$10,IF(Q177=100,サマリー!$B$11,0)))+IF(R177="",0,R177*サマリー!$B$12)</f>
        <v>13010</v>
      </c>
      <c r="D177" s="26">
        <f>S177+T177+U177+V177+W177+IF(X177="",0,X177*サマリー!$B$9)+IF(Y177="",0,IF(Y177=200,サマリー!$B$10,IF(Y177=100,サマリー!$B$11,0)))+IF(Z177="",0,Z177*サマリー!$B$12)</f>
        <v>0</v>
      </c>
      <c r="E177" s="26">
        <f t="shared" si="9"/>
        <v>13010</v>
      </c>
      <c r="I177" s="29">
        <v>13010</v>
      </c>
      <c r="J177" s="29"/>
      <c r="K177" s="29"/>
      <c r="L177" s="29"/>
      <c r="M177" s="29"/>
      <c r="N177" s="29"/>
      <c r="O177" s="29"/>
      <c r="P177" s="30"/>
      <c r="Q177" s="30"/>
      <c r="R177" s="30"/>
      <c r="S177" s="31"/>
      <c r="T177" s="31"/>
      <c r="U177" s="31"/>
      <c r="V177" s="31"/>
      <c r="W177" s="31"/>
      <c r="X177" s="32"/>
      <c r="Y177" s="32"/>
      <c r="Z177" s="32"/>
    </row>
    <row r="178" spans="1:26">
      <c r="A178" s="28">
        <v>6</v>
      </c>
      <c r="B178" s="17">
        <f t="shared" si="10"/>
        <v>46209</v>
      </c>
      <c r="C178" s="26">
        <f>I178+J178+K178+L178+M178+N178+O178+IF(P178="",0,P178*サマリー!$B$9)+IF(Q178="",0,IF(Q178=200,サマリー!$B$10,IF(Q178=100,サマリー!$B$11,0)))+IF(R178="",0,R178*サマリー!$B$12)</f>
        <v>2000</v>
      </c>
      <c r="D178" s="26">
        <f>S178+T178+U178+V178+W178+IF(X178="",0,X178*サマリー!$B$9)+IF(Y178="",0,IF(Y178=200,サマリー!$B$10,IF(Y178=100,サマリー!$B$11,0)))+IF(Z178="",0,Z178*サマリー!$B$12)</f>
        <v>62258</v>
      </c>
      <c r="E178" s="26">
        <f t="shared" si="9"/>
        <v>64258</v>
      </c>
      <c r="I178" s="29"/>
      <c r="J178" s="29"/>
      <c r="K178" s="29"/>
      <c r="L178" s="29">
        <v>2000</v>
      </c>
      <c r="M178" s="29"/>
      <c r="N178" s="29"/>
      <c r="O178" s="29"/>
      <c r="P178" s="30"/>
      <c r="Q178" s="30"/>
      <c r="R178" s="30"/>
      <c r="S178" s="31">
        <v>23200</v>
      </c>
      <c r="T178" s="31"/>
      <c r="U178" s="31">
        <v>31817</v>
      </c>
      <c r="V178" s="31"/>
      <c r="W178" s="31"/>
      <c r="X178" s="32"/>
      <c r="Y178" s="32">
        <v>200</v>
      </c>
      <c r="Z178" s="32"/>
    </row>
    <row r="179" spans="1:26">
      <c r="A179" s="28">
        <v>6</v>
      </c>
      <c r="B179" s="17">
        <f t="shared" si="10"/>
        <v>46209</v>
      </c>
      <c r="C179" s="26">
        <f>I179+J179+K179+L179+M179+N179+O179+IF(P179="",0,P179*サマリー!$B$9)+IF(Q179="",0,IF(Q179=200,サマリー!$B$10,IF(Q179=100,サマリー!$B$11,0)))+IF(R179="",0,R179*サマリー!$B$12)</f>
        <v>0</v>
      </c>
      <c r="D179" s="26">
        <f>S179+T179+U179+V179+W179+IF(X179="",0,X179*サマリー!$B$9)+IF(Y179="",0,IF(Y179=200,サマリー!$B$10,IF(Y179=100,サマリー!$B$11,0)))+IF(Z179="",0,Z179*サマリー!$B$12)</f>
        <v>3655</v>
      </c>
      <c r="E179" s="26">
        <f t="shared" si="9"/>
        <v>3655</v>
      </c>
      <c r="I179" s="29"/>
      <c r="J179" s="29"/>
      <c r="K179" s="29"/>
      <c r="L179" s="29"/>
      <c r="M179" s="29"/>
      <c r="N179" s="29"/>
      <c r="O179" s="29"/>
      <c r="P179" s="30"/>
      <c r="Q179" s="30"/>
      <c r="R179" s="30"/>
      <c r="S179" s="31"/>
      <c r="T179" s="31">
        <v>3655</v>
      </c>
      <c r="U179" s="31"/>
      <c r="V179" s="31"/>
      <c r="W179" s="31"/>
      <c r="X179" s="32"/>
      <c r="Y179" s="32"/>
      <c r="Z179" s="32"/>
    </row>
    <row r="180" spans="1:26">
      <c r="A180" s="28">
        <v>6</v>
      </c>
      <c r="B180" s="17">
        <f t="shared" si="10"/>
        <v>46209</v>
      </c>
      <c r="C180" s="26">
        <f>I180+J180+K180+L180+M180+N180+O180+IF(P180="",0,P180*サマリー!$B$9)+IF(Q180="",0,IF(Q180=200,サマリー!$B$10,IF(Q180=100,サマリー!$B$11,0)))+IF(R180="",0,R180*サマリー!$B$12)</f>
        <v>0</v>
      </c>
      <c r="D180" s="26">
        <f>S180+T180+U180+V180+W180+IF(X180="",0,X180*サマリー!$B$9)+IF(Y180="",0,IF(Y180=200,サマリー!$B$10,IF(Y180=100,サマリー!$B$11,0)))+IF(Z180="",0,Z180*サマリー!$B$12)</f>
        <v>1100</v>
      </c>
      <c r="E180" s="26">
        <f t="shared" si="9"/>
        <v>1100</v>
      </c>
      <c r="I180" s="29"/>
      <c r="J180" s="29"/>
      <c r="K180" s="29"/>
      <c r="L180" s="29"/>
      <c r="M180" s="29"/>
      <c r="N180" s="29"/>
      <c r="O180" s="29"/>
      <c r="P180" s="30"/>
      <c r="Q180" s="30"/>
      <c r="R180" s="30"/>
      <c r="S180" s="31"/>
      <c r="T180" s="31">
        <v>1100</v>
      </c>
      <c r="U180" s="31"/>
      <c r="V180" s="31"/>
      <c r="W180" s="31"/>
      <c r="X180" s="32"/>
      <c r="Y180" s="32"/>
      <c r="Z180" s="32"/>
    </row>
    <row r="181" spans="1:26">
      <c r="A181" s="28">
        <v>6</v>
      </c>
      <c r="B181" s="17">
        <f t="shared" si="10"/>
        <v>46209</v>
      </c>
      <c r="C181" s="26">
        <f>I181+J181+K181+L181+M181+N181+O181+IF(P181="",0,P181*サマリー!$B$9)+IF(Q181="",0,IF(Q181=200,サマリー!$B$10,IF(Q181=100,サマリー!$B$11,0)))+IF(R181="",0,R181*サマリー!$B$12)</f>
        <v>0</v>
      </c>
      <c r="D181" s="26">
        <f>S181+T181+U181+V181+W181+IF(X181="",0,X181*サマリー!$B$9)+IF(Y181="",0,IF(Y181=200,サマリー!$B$10,IF(Y181=100,サマリー!$B$11,0)))+IF(Z181="",0,Z181*サマリー!$B$12)</f>
        <v>3755</v>
      </c>
      <c r="E181" s="26">
        <f t="shared" si="9"/>
        <v>3755</v>
      </c>
      <c r="I181" s="29"/>
      <c r="J181" s="29"/>
      <c r="K181" s="29"/>
      <c r="L181" s="29"/>
      <c r="M181" s="29"/>
      <c r="N181" s="29"/>
      <c r="O181" s="29"/>
      <c r="P181" s="30"/>
      <c r="Q181" s="30"/>
      <c r="R181" s="30"/>
      <c r="S181" s="31"/>
      <c r="T181" s="31">
        <v>3755</v>
      </c>
      <c r="U181" s="31"/>
      <c r="V181" s="31"/>
      <c r="W181" s="31"/>
      <c r="X181" s="32"/>
      <c r="Y181" s="32"/>
      <c r="Z181" s="32"/>
    </row>
    <row r="182" spans="1:26">
      <c r="A182" s="28">
        <v>6</v>
      </c>
      <c r="B182" s="17">
        <f t="shared" si="10"/>
        <v>46209</v>
      </c>
      <c r="C182" s="26">
        <f>I182+J182+K182+L182+M182+N182+O182+IF(P182="",0,P182*サマリー!$B$9)+IF(Q182="",0,IF(Q182=200,サマリー!$B$10,IF(Q182=100,サマリー!$B$11,0)))+IF(R182="",0,R182*サマリー!$B$12)</f>
        <v>0</v>
      </c>
      <c r="D182" s="26">
        <f>S182+T182+U182+V182+W182+IF(X182="",0,X182*サマリー!$B$9)+IF(Y182="",0,IF(Y182=200,サマリー!$B$10,IF(Y182=100,サマリー!$B$11,0)))+IF(Z182="",0,Z182*サマリー!$B$12)</f>
        <v>25838</v>
      </c>
      <c r="E182" s="26">
        <f t="shared" si="9"/>
        <v>25838</v>
      </c>
      <c r="I182" s="29"/>
      <c r="J182" s="29"/>
      <c r="K182" s="29"/>
      <c r="L182" s="29"/>
      <c r="M182" s="29"/>
      <c r="N182" s="29"/>
      <c r="O182" s="29"/>
      <c r="P182" s="30"/>
      <c r="Q182" s="30"/>
      <c r="R182" s="30"/>
      <c r="S182" s="31">
        <v>25838</v>
      </c>
      <c r="T182" s="31"/>
      <c r="U182" s="31"/>
      <c r="V182" s="31"/>
      <c r="W182" s="31"/>
      <c r="X182" s="32"/>
      <c r="Y182" s="32"/>
      <c r="Z182" s="32"/>
    </row>
    <row r="183" spans="1:26">
      <c r="A183" s="28">
        <v>7</v>
      </c>
      <c r="B183" s="17">
        <f t="shared" si="10"/>
        <v>46210</v>
      </c>
      <c r="C183" s="26">
        <f>I183+J183+K183+L183+M183+N183+O183+IF(P183="",0,P183*サマリー!$B$9)+IF(Q183="",0,IF(Q183=200,サマリー!$B$10,IF(Q183=100,サマリー!$B$11,0)))+IF(R183="",0,R183*サマリー!$B$12)</f>
        <v>0</v>
      </c>
      <c r="D183" s="26">
        <f>S183+T183+U183+V183+W183+IF(X183="",0,X183*サマリー!$B$9)+IF(Y183="",0,IF(Y183=200,サマリー!$B$10,IF(Y183=100,サマリー!$B$11,0)))+IF(Z183="",0,Z183*サマリー!$B$12)</f>
        <v>11441</v>
      </c>
      <c r="E183" s="26">
        <f t="shared" si="9"/>
        <v>11441</v>
      </c>
      <c r="I183" s="29"/>
      <c r="J183" s="29"/>
      <c r="K183" s="29"/>
      <c r="L183" s="29"/>
      <c r="M183" s="29"/>
      <c r="N183" s="29"/>
      <c r="O183" s="29"/>
      <c r="P183" s="30"/>
      <c r="Q183" s="30"/>
      <c r="R183" s="30"/>
      <c r="S183" s="31"/>
      <c r="T183" s="31">
        <v>4200</v>
      </c>
      <c r="U183" s="31"/>
      <c r="V183" s="31"/>
      <c r="W183" s="31"/>
      <c r="X183" s="32"/>
      <c r="Y183" s="32">
        <v>200</v>
      </c>
      <c r="Z183" s="32"/>
    </row>
    <row r="184" spans="1:26">
      <c r="A184" s="28">
        <v>8</v>
      </c>
      <c r="B184" s="17">
        <f t="shared" si="10"/>
        <v>46211</v>
      </c>
      <c r="C184" s="26">
        <f>I184+J184+K184+L184+M184+N184+O184+IF(P184="",0,P184*サマリー!$B$9)+IF(Q184="",0,IF(Q184=200,サマリー!$B$10,IF(Q184=100,サマリー!$B$11,0)))+IF(R184="",0,R184*サマリー!$B$12)</f>
        <v>4955</v>
      </c>
      <c r="D184" s="26">
        <f>S184+T184+U184+V184+W184+IF(X184="",0,X184*サマリー!$B$9)+IF(Y184="",0,IF(Y184=200,サマリー!$B$10,IF(Y184=100,サマリー!$B$11,0)))+IF(Z184="",0,Z184*サマリー!$B$12)</f>
        <v>0</v>
      </c>
      <c r="E184" s="26">
        <f t="shared" si="9"/>
        <v>4955</v>
      </c>
      <c r="I184" s="29"/>
      <c r="J184" s="29">
        <v>4955</v>
      </c>
      <c r="K184" s="29"/>
      <c r="L184" s="29"/>
      <c r="M184" s="29"/>
      <c r="N184" s="29"/>
      <c r="O184" s="29"/>
      <c r="P184" s="30"/>
      <c r="Q184" s="30"/>
      <c r="R184" s="30"/>
      <c r="S184" s="31"/>
      <c r="T184" s="31"/>
      <c r="U184" s="31"/>
      <c r="V184" s="31"/>
      <c r="W184" s="31"/>
      <c r="X184" s="32"/>
      <c r="Y184" s="32"/>
      <c r="Z184" s="32"/>
    </row>
    <row r="185" spans="1:26" ht="13.5" customHeight="1">
      <c r="A185" s="28">
        <v>8</v>
      </c>
      <c r="B185" s="17">
        <f t="shared" si="10"/>
        <v>46211</v>
      </c>
      <c r="C185" s="26">
        <f>I185+J185+K185+L185+M185+N185+O185+IF(P185="",0,P185*サマリー!$B$9)+IF(Q185="",0,IF(Q185=200,サマリー!$B$10,IF(Q185=100,サマリー!$B$11,0)))+IF(R185="",0,R185*サマリー!$B$12)</f>
        <v>1655</v>
      </c>
      <c r="D185" s="26">
        <f>S185+T185+U185+V185+W185+IF(X185="",0,X185*サマリー!$B$9)+IF(Y185="",0,IF(Y185=200,サマリー!$B$10,IF(Y185=100,サマリー!$B$11,0)))+IF(Z185="",0,Z185*サマリー!$B$12)</f>
        <v>0</v>
      </c>
      <c r="E185" s="26">
        <f t="shared" si="9"/>
        <v>1655</v>
      </c>
      <c r="I185" s="29"/>
      <c r="J185" s="29">
        <v>1655</v>
      </c>
      <c r="K185" s="29"/>
      <c r="L185" s="29"/>
      <c r="M185" s="29"/>
      <c r="N185" s="29"/>
      <c r="O185" s="29"/>
      <c r="P185" s="30"/>
      <c r="Q185" s="30"/>
      <c r="R185" s="30"/>
      <c r="S185" s="31"/>
      <c r="T185" s="31"/>
      <c r="U185" s="31"/>
      <c r="V185" s="31"/>
      <c r="W185" s="31"/>
      <c r="X185" s="32"/>
      <c r="Y185" s="32"/>
      <c r="Z185" s="32"/>
    </row>
    <row r="186" spans="1:26">
      <c r="A186" s="28">
        <v>9</v>
      </c>
      <c r="B186" s="17">
        <f t="shared" si="10"/>
        <v>46212</v>
      </c>
      <c r="C186" s="26">
        <f>I186+J186+K186+L186+M186+N186+O186+IF(P186="",0,P186*サマリー!$B$9)+IF(Q186="",0,IF(Q186=200,サマリー!$B$10,IF(Q186=100,サマリー!$B$11,0)))+IF(R186="",0,R186*サマリー!$B$12)</f>
        <v>25000</v>
      </c>
      <c r="D186" s="26">
        <f>S186+T186+U186+V186+W186+IF(X186="",0,X186*サマリー!$B$9)+IF(Y186="",0,IF(Y186=200,サマリー!$B$10,IF(Y186=100,サマリー!$B$11,0)))+IF(Z186="",0,Z186*サマリー!$B$12)</f>
        <v>35034</v>
      </c>
      <c r="E186" s="26">
        <f t="shared" si="9"/>
        <v>60034</v>
      </c>
      <c r="I186" s="29"/>
      <c r="J186" s="29"/>
      <c r="K186" s="29"/>
      <c r="L186" s="29"/>
      <c r="M186" s="29"/>
      <c r="N186" s="29"/>
      <c r="O186" s="29"/>
      <c r="P186" s="30">
        <v>1</v>
      </c>
      <c r="Q186" s="30"/>
      <c r="R186" s="30"/>
      <c r="S186" s="31"/>
      <c r="T186" s="31">
        <v>4200</v>
      </c>
      <c r="U186" s="31">
        <v>834</v>
      </c>
      <c r="V186" s="31"/>
      <c r="W186" s="31"/>
      <c r="X186" s="32"/>
      <c r="Y186" s="32"/>
      <c r="Z186" s="32">
        <v>1</v>
      </c>
    </row>
    <row r="187" spans="1:26">
      <c r="A187" s="28">
        <v>9</v>
      </c>
      <c r="B187" s="17">
        <f t="shared" si="10"/>
        <v>46212</v>
      </c>
      <c r="C187" s="26">
        <f>I187+J187+K187+L187+M187+N187+O187+IF(P187="",0,P187*サマリー!$B$9)+IF(Q187="",0,IF(Q187=200,サマリー!$B$10,IF(Q187=100,サマリー!$B$11,0)))+IF(R187="",0,R187*サマリー!$B$12)</f>
        <v>0</v>
      </c>
      <c r="D187" s="26">
        <f>S187+T187+U187+V187+W187+IF(X187="",0,X187*サマリー!$B$9)+IF(Y187="",0,IF(Y187=200,サマリー!$B$10,IF(Y187=100,サマリー!$B$11,0)))+IF(Z187="",0,Z187*サマリー!$B$12)</f>
        <v>2200</v>
      </c>
      <c r="E187" s="26">
        <f t="shared" si="9"/>
        <v>2200</v>
      </c>
      <c r="I187" s="29"/>
      <c r="J187" s="29"/>
      <c r="K187" s="29"/>
      <c r="L187" s="29"/>
      <c r="M187" s="29"/>
      <c r="N187" s="29"/>
      <c r="O187" s="29"/>
      <c r="P187" s="30"/>
      <c r="Q187" s="30"/>
      <c r="R187" s="30"/>
      <c r="S187" s="31"/>
      <c r="T187" s="31">
        <v>2200</v>
      </c>
      <c r="U187" s="31"/>
      <c r="V187" s="31"/>
      <c r="W187" s="31"/>
      <c r="X187" s="32"/>
      <c r="Y187" s="32"/>
      <c r="Z187" s="32"/>
    </row>
    <row r="188" spans="1:26">
      <c r="A188" s="28">
        <v>9</v>
      </c>
      <c r="B188" s="17">
        <f t="shared" si="10"/>
        <v>46212</v>
      </c>
      <c r="C188" s="26">
        <f>I188+J188+K188+L188+M188+N188+O188+IF(P188="",0,P188*サマリー!$B$9)+IF(Q188="",0,IF(Q188=200,サマリー!$B$10,IF(Q188=100,サマリー!$B$11,0)))+IF(R188="",0,R188*サマリー!$B$12)</f>
        <v>0</v>
      </c>
      <c r="D188" s="26">
        <f>S188+T188+U188+V188+W188+IF(X188="",0,X188*サマリー!$B$9)+IF(Y188="",0,IF(Y188=200,サマリー!$B$10,IF(Y188=100,サマリー!$B$11,0)))+IF(Z188="",0,Z188*サマリー!$B$12)</f>
        <v>6400</v>
      </c>
      <c r="E188" s="26">
        <f t="shared" si="9"/>
        <v>6400</v>
      </c>
      <c r="I188" s="29"/>
      <c r="J188" s="29"/>
      <c r="K188" s="29"/>
      <c r="L188" s="29"/>
      <c r="M188" s="29"/>
      <c r="N188" s="29"/>
      <c r="O188" s="29"/>
      <c r="P188" s="30"/>
      <c r="Q188" s="30"/>
      <c r="R188" s="30"/>
      <c r="S188" s="31"/>
      <c r="T188" s="31">
        <v>6400</v>
      </c>
      <c r="U188" s="31"/>
      <c r="V188" s="31"/>
      <c r="W188" s="31"/>
      <c r="X188" s="32"/>
      <c r="Y188" s="32"/>
      <c r="Z188" s="32"/>
    </row>
    <row r="189" spans="1:26">
      <c r="A189" s="28">
        <v>9</v>
      </c>
      <c r="B189" s="17">
        <f t="shared" si="10"/>
        <v>46212</v>
      </c>
      <c r="C189" s="26">
        <f>I189+J189+K189+L189+M189+N189+O189+IF(P189="",0,P189*サマリー!$B$9)+IF(Q189="",0,IF(Q189=200,サマリー!$B$10,IF(Q189=100,サマリー!$B$11,0)))+IF(R189="",0,R189*サマリー!$B$12)</f>
        <v>0</v>
      </c>
      <c r="D189" s="26">
        <f>S189+T189+U189+V189+W189+IF(X189="",0,X189*サマリー!$B$9)+IF(Y189="",0,IF(Y189=200,サマリー!$B$10,IF(Y189=100,サマリー!$B$11,0)))+IF(Z189="",0,Z189*サマリー!$B$12)</f>
        <v>3034</v>
      </c>
      <c r="E189" s="26">
        <f t="shared" si="9"/>
        <v>3034</v>
      </c>
      <c r="I189" s="29"/>
      <c r="J189" s="29"/>
      <c r="K189" s="29"/>
      <c r="L189" s="29"/>
      <c r="M189" s="29"/>
      <c r="N189" s="29"/>
      <c r="O189" s="29"/>
      <c r="P189" s="30"/>
      <c r="Q189" s="30"/>
      <c r="R189" s="30"/>
      <c r="S189" s="31"/>
      <c r="T189" s="31">
        <v>2200</v>
      </c>
      <c r="U189" s="31">
        <v>834</v>
      </c>
      <c r="V189" s="31"/>
      <c r="W189" s="31"/>
      <c r="X189" s="32"/>
      <c r="Y189" s="32"/>
      <c r="Z189" s="32"/>
    </row>
    <row r="190" spans="1:26">
      <c r="A190" s="28">
        <v>9</v>
      </c>
      <c r="B190" s="17">
        <f t="shared" si="10"/>
        <v>46212</v>
      </c>
      <c r="C190" s="26">
        <f>I190+J190+K190+L190+M190+N190+O190+IF(P190="",0,P190*サマリー!$B$9)+IF(Q190="",0,IF(Q190=200,サマリー!$B$10,IF(Q190=100,サマリー!$B$11,0)))+IF(R190="",0,R190*サマリー!$B$12)</f>
        <v>0</v>
      </c>
      <c r="D190" s="26">
        <f>S190+T190+U190+V190+W190+IF(X190="",0,X190*サマリー!$B$9)+IF(Y190="",0,IF(Y190=200,サマリー!$B$10,IF(Y190=100,サマリー!$B$11,0)))+IF(Z190="",0,Z190*サマリー!$B$12)</f>
        <v>1755</v>
      </c>
      <c r="E190" s="26">
        <f t="shared" si="9"/>
        <v>1755</v>
      </c>
      <c r="I190" s="29"/>
      <c r="J190" s="29"/>
      <c r="K190" s="29"/>
      <c r="L190" s="29"/>
      <c r="M190" s="29"/>
      <c r="N190" s="29"/>
      <c r="O190" s="29"/>
      <c r="P190" s="30"/>
      <c r="Q190" s="30"/>
      <c r="R190" s="30"/>
      <c r="S190" s="31"/>
      <c r="T190" s="31">
        <v>1755</v>
      </c>
      <c r="U190" s="31"/>
      <c r="V190" s="31"/>
      <c r="W190" s="31"/>
      <c r="X190" s="32"/>
      <c r="Y190" s="32"/>
      <c r="Z190" s="32"/>
    </row>
    <row r="191" spans="1:26">
      <c r="A191" s="28">
        <v>10</v>
      </c>
      <c r="B191" s="17">
        <f t="shared" si="10"/>
        <v>46213</v>
      </c>
      <c r="C191" s="26">
        <f>I191+J191+K191+L191+M191+N191+O191+IF(P191="",0,P191*サマリー!$B$9)+IF(Q191="",0,IF(Q191=200,サマリー!$B$10,IF(Q191=100,サマリー!$B$11,0)))+IF(R191="",0,R191*サマリー!$B$12)</f>
        <v>15793</v>
      </c>
      <c r="D191" s="26">
        <f>S191+T191+U191+V191+W191+IF(X191="",0,X191*サマリー!$B$9)+IF(Y191="",0,IF(Y191=200,サマリー!$B$10,IF(Y191=100,サマリー!$B$11,0)))+IF(Z191="",0,Z191*サマリー!$B$12)</f>
        <v>0</v>
      </c>
      <c r="E191" s="26">
        <f t="shared" si="9"/>
        <v>15793</v>
      </c>
      <c r="I191" s="29"/>
      <c r="J191" s="29">
        <v>2200</v>
      </c>
      <c r="K191" s="29">
        <v>13593</v>
      </c>
      <c r="L191" s="29"/>
      <c r="M191" s="29"/>
      <c r="N191" s="29"/>
      <c r="O191" s="29"/>
      <c r="P191" s="30"/>
      <c r="Q191" s="30"/>
      <c r="R191" s="30"/>
      <c r="S191" s="31"/>
      <c r="T191" s="31"/>
      <c r="U191" s="31"/>
      <c r="V191" s="31"/>
      <c r="W191" s="31"/>
      <c r="X191" s="32"/>
      <c r="Y191" s="32"/>
      <c r="Z191" s="32"/>
    </row>
    <row r="192" spans="1:26">
      <c r="A192" s="28">
        <v>10</v>
      </c>
      <c r="B192" s="17">
        <f t="shared" si="10"/>
        <v>46213</v>
      </c>
      <c r="C192" s="26">
        <f>I192+J192+K192+L192+M192+N192+O192+IF(P192="",0,P192*サマリー!$B$9)+IF(Q192="",0,IF(Q192=200,サマリー!$B$10,IF(Q192=100,サマリー!$B$11,0)))+IF(R192="",0,R192*サマリー!$B$12)</f>
        <v>1100</v>
      </c>
      <c r="D192" s="26">
        <f>S192+T192+U192+V192+W192+IF(X192="",0,X192*サマリー!$B$9)+IF(Y192="",0,IF(Y192=200,サマリー!$B$10,IF(Y192=100,サマリー!$B$11,0)))+IF(Z192="",0,Z192*サマリー!$B$12)</f>
        <v>0</v>
      </c>
      <c r="E192" s="26">
        <f t="shared" si="9"/>
        <v>1100</v>
      </c>
      <c r="I192" s="29"/>
      <c r="J192" s="29">
        <v>1100</v>
      </c>
      <c r="K192" s="29"/>
      <c r="L192" s="29"/>
      <c r="M192" s="29"/>
      <c r="N192" s="29"/>
      <c r="O192" s="29"/>
      <c r="P192" s="30"/>
      <c r="Q192" s="30"/>
      <c r="R192" s="30"/>
      <c r="S192" s="31"/>
      <c r="T192" s="31"/>
      <c r="U192" s="31"/>
      <c r="V192" s="31"/>
      <c r="W192" s="31"/>
      <c r="X192" s="32"/>
      <c r="Y192" s="32"/>
      <c r="Z192" s="32"/>
    </row>
    <row r="193" spans="1:26">
      <c r="A193" s="28">
        <v>10</v>
      </c>
      <c r="B193" s="17">
        <f t="shared" si="10"/>
        <v>46213</v>
      </c>
      <c r="C193" s="26">
        <f>I193+J193+K193+L193+M193+N193+O193+IF(P193="",0,P193*サマリー!$B$9)+IF(Q193="",0,IF(Q193=200,サマリー!$B$10,IF(Q193=100,サマリー!$B$11,0)))+IF(R193="",0,R193*サマリー!$B$12)</f>
        <v>6400</v>
      </c>
      <c r="D193" s="26">
        <f>S193+T193+U193+V193+W193+IF(X193="",0,X193*サマリー!$B$9)+IF(Y193="",0,IF(Y193=200,サマリー!$B$10,IF(Y193=100,サマリー!$B$11,0)))+IF(Z193="",0,Z193*サマリー!$B$12)</f>
        <v>0</v>
      </c>
      <c r="E193" s="26">
        <f t="shared" si="9"/>
        <v>6400</v>
      </c>
      <c r="I193" s="29"/>
      <c r="J193" s="29">
        <v>6400</v>
      </c>
      <c r="K193" s="29"/>
      <c r="L193" s="29"/>
      <c r="M193" s="29"/>
      <c r="N193" s="29"/>
      <c r="O193" s="29"/>
      <c r="P193" s="30"/>
      <c r="Q193" s="30"/>
      <c r="R193" s="30"/>
      <c r="S193" s="31"/>
      <c r="T193" s="31"/>
      <c r="U193" s="31"/>
      <c r="V193" s="31"/>
      <c r="W193" s="31"/>
      <c r="X193" s="32"/>
      <c r="Y193" s="32"/>
      <c r="Z193" s="32"/>
    </row>
    <row r="194" spans="1:26">
      <c r="A194" s="28">
        <v>10</v>
      </c>
      <c r="B194" s="17">
        <f t="shared" si="10"/>
        <v>46213</v>
      </c>
      <c r="C194" s="26">
        <f>I194+J194+K194+L194+M194+N194+O194+IF(P194="",0,P194*サマリー!$B$9)+IF(Q194="",0,IF(Q194=200,サマリー!$B$10,IF(Q194=100,サマリー!$B$11,0)))+IF(R194="",0,R194*サマリー!$B$12)</f>
        <v>1655</v>
      </c>
      <c r="D194" s="26">
        <f>S194+T194+U194+V194+W194+IF(X194="",0,X194*サマリー!$B$9)+IF(Y194="",0,IF(Y194=200,サマリー!$B$10,IF(Y194=100,サマリー!$B$11,0)))+IF(Z194="",0,Z194*サマリー!$B$12)</f>
        <v>0</v>
      </c>
      <c r="E194" s="26">
        <f t="shared" si="9"/>
        <v>1655</v>
      </c>
      <c r="I194" s="29"/>
      <c r="J194" s="29">
        <v>1655</v>
      </c>
      <c r="K194" s="29"/>
      <c r="L194" s="29"/>
      <c r="M194" s="29"/>
      <c r="N194" s="29"/>
      <c r="O194" s="29"/>
      <c r="P194" s="30"/>
      <c r="Q194" s="30"/>
      <c r="R194" s="30"/>
      <c r="S194" s="31"/>
      <c r="T194" s="31"/>
      <c r="U194" s="31"/>
      <c r="V194" s="31"/>
      <c r="W194" s="31"/>
      <c r="X194" s="32"/>
      <c r="Y194" s="32"/>
      <c r="Z194" s="32"/>
    </row>
    <row r="195" spans="1:26">
      <c r="A195" s="28">
        <v>11</v>
      </c>
      <c r="B195" s="17">
        <f t="shared" si="10"/>
        <v>46214</v>
      </c>
      <c r="C195" s="26">
        <f>I195+J195+K195+L195+M195+N195+O195+IF(P195="",0,P195*サマリー!$B$9)+IF(Q195="",0,IF(Q195=200,サマリー!$B$10,IF(Q195=100,サマリー!$B$11,0)))+IF(R195="",0,R195*サマリー!$B$12)</f>
        <v>36552</v>
      </c>
      <c r="D195" s="26">
        <f>S195+T195+U195+V195+W195+IF(X195="",0,X195*サマリー!$B$9)+IF(Y195="",0,IF(Y195=200,サマリー!$B$10,IF(Y195=100,サマリー!$B$11,0)))+IF(Z195="",0,Z195*サマリー!$B$12)</f>
        <v>555</v>
      </c>
      <c r="E195" s="26">
        <f t="shared" si="9"/>
        <v>37107</v>
      </c>
      <c r="I195" s="29"/>
      <c r="J195" s="29"/>
      <c r="K195" s="29">
        <v>6552</v>
      </c>
      <c r="L195" s="29"/>
      <c r="M195" s="29"/>
      <c r="N195" s="29"/>
      <c r="O195" s="29"/>
      <c r="P195" s="30"/>
      <c r="Q195" s="30"/>
      <c r="R195" s="30">
        <v>1</v>
      </c>
      <c r="S195" s="31"/>
      <c r="T195" s="31">
        <v>555</v>
      </c>
      <c r="U195" s="31"/>
      <c r="V195" s="31"/>
      <c r="W195" s="31"/>
      <c r="X195" s="32"/>
      <c r="Y195" s="32"/>
      <c r="Z195" s="32"/>
    </row>
    <row r="196" spans="1:26">
      <c r="A196" s="28">
        <v>11</v>
      </c>
      <c r="B196" s="17">
        <f t="shared" si="10"/>
        <v>46214</v>
      </c>
      <c r="C196" s="26">
        <f>I196+J196+K196+L196+M196+N196+O196+IF(P196="",0,P196*サマリー!$B$9)+IF(Q196="",0,IF(Q196=200,サマリー!$B$10,IF(Q196=100,サマリー!$B$11,0)))+IF(R196="",0,R196*サマリー!$B$12)</f>
        <v>18510</v>
      </c>
      <c r="D196" s="26">
        <f>S196+T196+U196+V196+W196+IF(X196="",0,X196*サマリー!$B$9)+IF(Y196="",0,IF(Y196=200,サマリー!$B$10,IF(Y196=100,サマリー!$B$11,0)))+IF(Z196="",0,Z196*サマリー!$B$12)</f>
        <v>6400</v>
      </c>
      <c r="E196" s="26">
        <f t="shared" si="9"/>
        <v>24910</v>
      </c>
      <c r="I196" s="29"/>
      <c r="J196" s="29">
        <v>18510</v>
      </c>
      <c r="K196" s="29"/>
      <c r="L196" s="29"/>
      <c r="M196" s="29"/>
      <c r="N196" s="29"/>
      <c r="O196" s="29"/>
      <c r="P196" s="30"/>
      <c r="Q196" s="30"/>
      <c r="R196" s="30"/>
      <c r="S196" s="31"/>
      <c r="T196" s="31">
        <v>6400</v>
      </c>
      <c r="U196" s="31"/>
      <c r="V196" s="31"/>
      <c r="W196" s="31"/>
      <c r="X196" s="32"/>
      <c r="Y196" s="32"/>
      <c r="Z196" s="32"/>
    </row>
    <row r="197" spans="1:26">
      <c r="A197" s="28">
        <v>12</v>
      </c>
      <c r="B197" s="17">
        <f t="shared" si="10"/>
        <v>46215</v>
      </c>
      <c r="C197" s="26">
        <f>I197+J197+K197+L197+M197+N197+O197+IF(P197="",0,P197*サマリー!$B$9)+IF(Q197="",0,IF(Q197=200,サマリー!$B$10,IF(Q197=100,サマリー!$B$11,0)))+IF(R197="",0,R197*サマリー!$B$12)</f>
        <v>65835</v>
      </c>
      <c r="D197" s="26">
        <f>S197+T197+U197+V197+W197+IF(X197="",0,X197*サマリー!$B$9)+IF(Y197="",0,IF(Y197=200,サマリー!$B$10,IF(Y197=100,サマリー!$B$11,0)))+IF(Z197="",0,Z197*サマリー!$B$12)</f>
        <v>9155</v>
      </c>
      <c r="E197" s="26">
        <f t="shared" si="9"/>
        <v>74990</v>
      </c>
      <c r="I197" s="29"/>
      <c r="J197" s="29"/>
      <c r="K197" s="29">
        <v>6397</v>
      </c>
      <c r="L197" s="29"/>
      <c r="M197" s="29">
        <v>59438</v>
      </c>
      <c r="N197" s="29"/>
      <c r="O197" s="29"/>
      <c r="P197" s="30"/>
      <c r="Q197" s="30"/>
      <c r="R197" s="30"/>
      <c r="S197" s="31"/>
      <c r="T197" s="31">
        <v>9155</v>
      </c>
      <c r="U197" s="31"/>
      <c r="V197" s="31"/>
      <c r="W197" s="31"/>
      <c r="X197" s="32"/>
      <c r="Y197" s="32"/>
      <c r="Z197" s="32"/>
    </row>
    <row r="198" spans="1:26">
      <c r="A198" s="28">
        <v>12</v>
      </c>
      <c r="B198" s="17">
        <f t="shared" si="10"/>
        <v>46215</v>
      </c>
      <c r="C198" s="26">
        <f>I198+J198+K198+L198+M198+N198+O198+IF(P198="",0,P198*サマリー!$B$9)+IF(Q198="",0,IF(Q198=200,サマリー!$B$10,IF(Q198=100,サマリー!$B$11,0)))+IF(R198="",0,R198*サマリー!$B$12)</f>
        <v>14500</v>
      </c>
      <c r="D198" s="26">
        <f>S198+T198+U198+V198+W198+IF(X198="",0,X198*サマリー!$B$9)+IF(Y198="",0,IF(Y198=200,サマリー!$B$10,IF(Y198=100,サマリー!$B$11,0)))+IF(Z198="",0,Z198*サマリー!$B$12)</f>
        <v>0</v>
      </c>
      <c r="E198" s="26">
        <f t="shared" ref="E198:E229" si="11">C198+D198</f>
        <v>14500</v>
      </c>
      <c r="I198" s="29"/>
      <c r="J198" s="29"/>
      <c r="K198" s="29">
        <v>14500</v>
      </c>
      <c r="L198" s="29"/>
      <c r="M198" s="29"/>
      <c r="N198" s="29"/>
      <c r="O198" s="29"/>
      <c r="P198" s="30"/>
      <c r="Q198" s="30"/>
      <c r="R198" s="30"/>
      <c r="S198" s="31"/>
      <c r="T198" s="31"/>
      <c r="U198" s="31"/>
      <c r="V198" s="31"/>
      <c r="W198" s="31"/>
      <c r="X198" s="32"/>
      <c r="Y198" s="32"/>
      <c r="Z198" s="32"/>
    </row>
    <row r="199" spans="1:26">
      <c r="A199" s="28">
        <v>13</v>
      </c>
      <c r="B199" s="17">
        <f t="shared" ref="B199:B230" si="12">IF(A199="",B198,IF(A199&lt;DAY(B198),DATE(YEAR(B198),MONTH(B198)+1,A199),DATE(YEAR(B198),MONTH(B198),A199)))</f>
        <v>46216</v>
      </c>
      <c r="C199" s="26">
        <f>I199+J199+K199+L199+M199+N199+O199+IF(P199="",0,P199*サマリー!$B$9)+IF(Q199="",0,IF(Q199=200,サマリー!$B$10,IF(Q199=100,サマリー!$B$11,0)))+IF(R199="",0,R199*サマリー!$B$12)</f>
        <v>0</v>
      </c>
      <c r="D199" s="26">
        <f>S199+T199+U199+V199+W199+IF(X199="",0,X199*サマリー!$B$9)+IF(Y199="",0,IF(Y199=200,サマリー!$B$10,IF(Y199=100,サマリー!$B$11,0)))+IF(Z199="",0,Z199*サマリー!$B$12)</f>
        <v>3034</v>
      </c>
      <c r="E199" s="26">
        <f t="shared" si="11"/>
        <v>3034</v>
      </c>
      <c r="I199" s="29"/>
      <c r="J199" s="29"/>
      <c r="K199" s="29"/>
      <c r="L199" s="29"/>
      <c r="M199" s="29"/>
      <c r="N199" s="29"/>
      <c r="O199" s="29"/>
      <c r="P199" s="30"/>
      <c r="Q199" s="30"/>
      <c r="R199" s="30"/>
      <c r="S199" s="31"/>
      <c r="T199" s="31">
        <v>2200</v>
      </c>
      <c r="U199" s="31">
        <v>834</v>
      </c>
      <c r="V199" s="31"/>
      <c r="W199" s="31"/>
      <c r="X199" s="32"/>
      <c r="Y199" s="32"/>
      <c r="Z199" s="32"/>
    </row>
    <row r="200" spans="1:26">
      <c r="A200" s="28">
        <v>14</v>
      </c>
      <c r="B200" s="17">
        <f t="shared" si="12"/>
        <v>46217</v>
      </c>
      <c r="C200" s="26">
        <f>I200+J200+K200+L200+M200+N200+O200+IF(P200="",0,P200*サマリー!$B$9)+IF(Q200="",0,IF(Q200=200,サマリー!$B$10,IF(Q200=100,サマリー!$B$11,0)))+IF(R200="",0,R200*サマリー!$B$12)</f>
        <v>70579</v>
      </c>
      <c r="D200" s="26">
        <f>S200+T200+U200+V200+W200+IF(X200="",0,X200*サマリー!$B$9)+IF(Y200="",0,IF(Y200=200,サマリー!$B$10,IF(Y200=100,サマリー!$B$11,0)))+IF(Z200="",0,Z200*サマリー!$B$12)</f>
        <v>2000</v>
      </c>
      <c r="E200" s="26">
        <f t="shared" si="11"/>
        <v>72579</v>
      </c>
      <c r="I200" s="29">
        <v>29420</v>
      </c>
      <c r="J200" s="29"/>
      <c r="K200" s="29">
        <v>11159</v>
      </c>
      <c r="L200" s="29"/>
      <c r="M200" s="29"/>
      <c r="N200" s="29"/>
      <c r="O200" s="29"/>
      <c r="P200" s="30"/>
      <c r="Q200" s="30"/>
      <c r="R200" s="30">
        <v>1</v>
      </c>
      <c r="S200" s="31"/>
      <c r="T200" s="31">
        <v>2000</v>
      </c>
      <c r="U200" s="31"/>
      <c r="V200" s="31"/>
      <c r="W200" s="31"/>
      <c r="X200" s="32"/>
      <c r="Y200" s="32"/>
      <c r="Z200" s="32"/>
    </row>
    <row r="201" spans="1:26">
      <c r="A201" s="28">
        <v>15</v>
      </c>
      <c r="B201" s="17">
        <f t="shared" si="12"/>
        <v>46218</v>
      </c>
      <c r="C201" s="26">
        <f>I201+J201+K201+L201+M201+N201+O201+IF(P201="",0,P201*サマリー!$B$9)+IF(Q201="",0,IF(Q201=200,サマリー!$B$10,IF(Q201=100,サマリー!$B$11,0)))+IF(R201="",0,R201*サマリー!$B$12)</f>
        <v>4845</v>
      </c>
      <c r="D201" s="26">
        <f>S201+T201+U201+V201+W201+IF(X201="",0,X201*サマリー!$B$9)+IF(Y201="",0,IF(Y201=200,サマリー!$B$10,IF(Y201=100,サマリー!$B$11,0)))+IF(Z201="",0,Z201*サマリー!$B$12)</f>
        <v>0</v>
      </c>
      <c r="E201" s="26">
        <f t="shared" si="11"/>
        <v>4845</v>
      </c>
      <c r="I201" s="29"/>
      <c r="J201" s="29"/>
      <c r="K201" s="29">
        <v>4845</v>
      </c>
      <c r="L201" s="29"/>
      <c r="M201" s="29"/>
      <c r="N201" s="29"/>
      <c r="O201" s="29"/>
      <c r="P201" s="30"/>
      <c r="Q201" s="30"/>
      <c r="R201" s="30"/>
      <c r="S201" s="31"/>
      <c r="T201" s="31"/>
      <c r="U201" s="31"/>
      <c r="V201" s="31"/>
      <c r="W201" s="31"/>
      <c r="X201" s="32"/>
      <c r="Y201" s="32"/>
      <c r="Z201" s="32"/>
    </row>
    <row r="202" spans="1:26">
      <c r="A202" s="28">
        <v>15</v>
      </c>
      <c r="B202" s="17">
        <f t="shared" si="12"/>
        <v>46218</v>
      </c>
      <c r="C202" s="26">
        <f>I202+J202+K202+L202+M202+N202+O202+IF(P202="",0,P202*サマリー!$B$9)+IF(Q202="",0,IF(Q202=200,サマリー!$B$10,IF(Q202=100,サマリー!$B$11,0)))+IF(R202="",0,R202*サマリー!$B$12)</f>
        <v>15410</v>
      </c>
      <c r="D202" s="26">
        <f>S202+T202+U202+V202+W202+IF(X202="",0,X202*サマリー!$B$9)+IF(Y202="",0,IF(Y202=200,サマリー!$B$10,IF(Y202=100,サマリー!$B$11,0)))+IF(Z202="",0,Z202*サマリー!$B$12)</f>
        <v>0</v>
      </c>
      <c r="E202" s="26">
        <f t="shared" si="11"/>
        <v>15410</v>
      </c>
      <c r="I202" s="29"/>
      <c r="J202" s="29">
        <v>15410</v>
      </c>
      <c r="K202" s="29"/>
      <c r="L202" s="29"/>
      <c r="M202" s="29"/>
      <c r="N202" s="29"/>
      <c r="O202" s="29"/>
      <c r="P202" s="30"/>
      <c r="Q202" s="30"/>
      <c r="R202" s="30"/>
      <c r="S202" s="31"/>
      <c r="T202" s="31"/>
      <c r="U202" s="31"/>
      <c r="V202" s="31"/>
      <c r="W202" s="31"/>
      <c r="X202" s="32"/>
      <c r="Y202" s="32"/>
      <c r="Z202" s="32"/>
    </row>
    <row r="203" spans="1:26">
      <c r="A203" s="28">
        <v>15</v>
      </c>
      <c r="B203" s="17">
        <f t="shared" si="12"/>
        <v>46218</v>
      </c>
      <c r="C203" s="26">
        <f>I203+J203+K203+L203+M203+N203+O203+IF(P203="",0,P203*サマリー!$B$9)+IF(Q203="",0,IF(Q203=200,サマリー!$B$10,IF(Q203=100,サマリー!$B$11,0)))+IF(R203="",0,R203*サマリー!$B$12)</f>
        <v>74317</v>
      </c>
      <c r="D203" s="26">
        <f>S203+T203+U203+V203+W203+IF(X203="",0,X203*サマリー!$B$9)+IF(Y203="",0,IF(Y203=200,サマリー!$B$10,IF(Y203=100,サマリー!$B$11,0)))+IF(Z203="",0,Z203*サマリー!$B$12)</f>
        <v>0</v>
      </c>
      <c r="E203" s="26">
        <f t="shared" si="11"/>
        <v>74317</v>
      </c>
      <c r="I203" s="29">
        <v>28038</v>
      </c>
      <c r="J203" s="29"/>
      <c r="K203" s="29"/>
      <c r="L203" s="29"/>
      <c r="M203" s="29"/>
      <c r="N203" s="29">
        <v>39038</v>
      </c>
      <c r="O203" s="29"/>
      <c r="P203" s="30"/>
      <c r="Q203" s="30">
        <v>200</v>
      </c>
      <c r="R203" s="30"/>
      <c r="S203" s="31"/>
      <c r="T203" s="31"/>
      <c r="U203" s="31"/>
      <c r="V203" s="31"/>
      <c r="W203" s="31"/>
      <c r="X203" s="32"/>
      <c r="Y203" s="32"/>
      <c r="Z203" s="32"/>
    </row>
    <row r="204" spans="1:26">
      <c r="A204" s="28">
        <v>16</v>
      </c>
      <c r="B204" s="17">
        <f t="shared" si="12"/>
        <v>46219</v>
      </c>
      <c r="C204" s="26">
        <f>I204+J204+K204+L204+M204+N204+O204+IF(P204="",0,P204*サマリー!$B$9)+IF(Q204="",0,IF(Q204=200,サマリー!$B$10,IF(Q204=100,サマリー!$B$11,0)))+IF(R204="",0,R204*サマリー!$B$12)</f>
        <v>0</v>
      </c>
      <c r="D204" s="26">
        <f>S204+T204+U204+V204+W204+IF(X204="",0,X204*サマリー!$B$9)+IF(Y204="",0,IF(Y204=200,サマリー!$B$10,IF(Y204=100,サマリー!$B$11,0)))+IF(Z204="",0,Z204*サマリー!$B$12)</f>
        <v>3034</v>
      </c>
      <c r="E204" s="26">
        <f t="shared" si="11"/>
        <v>3034</v>
      </c>
      <c r="I204" s="29"/>
      <c r="J204" s="29"/>
      <c r="K204" s="29"/>
      <c r="L204" s="29"/>
      <c r="M204" s="29"/>
      <c r="N204" s="29"/>
      <c r="O204" s="29"/>
      <c r="P204" s="30"/>
      <c r="Q204" s="30"/>
      <c r="R204" s="30"/>
      <c r="S204" s="31"/>
      <c r="T204" s="31">
        <v>2200</v>
      </c>
      <c r="U204" s="31">
        <v>834</v>
      </c>
      <c r="V204" s="31"/>
      <c r="W204" s="31"/>
      <c r="X204" s="32"/>
      <c r="Y204" s="32"/>
      <c r="Z204" s="32"/>
    </row>
    <row r="205" spans="1:26">
      <c r="A205" s="28">
        <v>16</v>
      </c>
      <c r="B205" s="17">
        <f t="shared" si="12"/>
        <v>46219</v>
      </c>
      <c r="C205" s="26">
        <f>I205+J205+K205+L205+M205+N205+O205+IF(P205="",0,P205*サマリー!$B$9)+IF(Q205="",0,IF(Q205=200,サマリー!$B$10,IF(Q205=100,サマリー!$B$11,0)))+IF(R205="",0,R205*サマリー!$B$12)</f>
        <v>0</v>
      </c>
      <c r="D205" s="26">
        <f>S205+T205+U205+V205+W205+IF(X205="",0,X205*サマリー!$B$9)+IF(Y205="",0,IF(Y205=200,サマリー!$B$10,IF(Y205=100,サマリー!$B$11,0)))+IF(Z205="",0,Z205*サマリー!$B$12)</f>
        <v>4207</v>
      </c>
      <c r="E205" s="26">
        <f t="shared" si="11"/>
        <v>4207</v>
      </c>
      <c r="I205" s="29"/>
      <c r="J205" s="29"/>
      <c r="K205" s="29"/>
      <c r="L205" s="29"/>
      <c r="M205" s="29"/>
      <c r="N205" s="29"/>
      <c r="O205" s="29"/>
      <c r="P205" s="30"/>
      <c r="Q205" s="30"/>
      <c r="R205" s="30"/>
      <c r="S205" s="31"/>
      <c r="T205" s="31">
        <v>550</v>
      </c>
      <c r="U205" s="31">
        <v>3657</v>
      </c>
      <c r="V205" s="31"/>
      <c r="W205" s="31"/>
      <c r="X205" s="32"/>
      <c r="Y205" s="32"/>
      <c r="Z205" s="32"/>
    </row>
    <row r="206" spans="1:26">
      <c r="A206" s="28">
        <v>17</v>
      </c>
      <c r="B206" s="17">
        <f t="shared" si="12"/>
        <v>46220</v>
      </c>
      <c r="C206" s="26">
        <f>I206+J206+K206+L206+M206+N206+O206+IF(P206="",0,P206*サマリー!$B$9)+IF(Q206="",0,IF(Q206=200,サマリー!$B$10,IF(Q206=100,サマリー!$B$11,0)))+IF(R206="",0,R206*サマリー!$B$12)</f>
        <v>66414</v>
      </c>
      <c r="D206" s="26">
        <f>S206+T206+U206+V206+W206+IF(X206="",0,X206*サマリー!$B$9)+IF(Y206="",0,IF(Y206=200,サマリー!$B$10,IF(Y206=100,サマリー!$B$11,0)))+IF(Z206="",0,Z206*サマリー!$B$12)</f>
        <v>0</v>
      </c>
      <c r="E206" s="26">
        <f t="shared" si="11"/>
        <v>66414</v>
      </c>
      <c r="I206" s="29">
        <v>26400</v>
      </c>
      <c r="J206" s="29"/>
      <c r="K206" s="29">
        <v>10014</v>
      </c>
      <c r="L206" s="29"/>
      <c r="M206" s="29"/>
      <c r="N206" s="29"/>
      <c r="O206" s="29"/>
      <c r="P206" s="30"/>
      <c r="Q206" s="30"/>
      <c r="R206" s="30">
        <v>1</v>
      </c>
      <c r="S206" s="31"/>
      <c r="T206" s="31"/>
      <c r="U206" s="31"/>
      <c r="V206" s="31"/>
      <c r="W206" s="31"/>
      <c r="X206" s="32"/>
      <c r="Y206" s="32"/>
      <c r="Z206" s="32"/>
    </row>
    <row r="207" spans="1:26">
      <c r="A207" s="28">
        <v>18</v>
      </c>
      <c r="B207" s="17">
        <f t="shared" si="12"/>
        <v>46221</v>
      </c>
      <c r="C207" s="26">
        <f>I207+J207+K207+L207+M207+N207+O207+IF(P207="",0,P207*サマリー!$B$9)+IF(Q207="",0,IF(Q207=200,サマリー!$B$10,IF(Q207=100,サマリー!$B$11,0)))+IF(R207="",0,R207*サマリー!$B$12)</f>
        <v>37015</v>
      </c>
      <c r="D207" s="26">
        <f>S207+T207+U207+V207+W207+IF(X207="",0,X207*サマリー!$B$9)+IF(Y207="",0,IF(Y207=200,サマリー!$B$10,IF(Y207=100,サマリー!$B$11,0)))+IF(Z207="",0,Z207*サマリー!$B$12)</f>
        <v>46310</v>
      </c>
      <c r="E207" s="26">
        <f t="shared" si="11"/>
        <v>83325</v>
      </c>
      <c r="I207" s="29"/>
      <c r="J207" s="29">
        <v>15765</v>
      </c>
      <c r="K207" s="29"/>
      <c r="L207" s="29">
        <v>21250</v>
      </c>
      <c r="M207" s="29"/>
      <c r="N207" s="29"/>
      <c r="O207" s="29"/>
      <c r="P207" s="30"/>
      <c r="Q207" s="30"/>
      <c r="R207" s="30"/>
      <c r="S207" s="31"/>
      <c r="T207" s="31">
        <v>16310</v>
      </c>
      <c r="U207" s="31"/>
      <c r="V207" s="31"/>
      <c r="W207" s="31"/>
      <c r="X207" s="32"/>
      <c r="Y207" s="32"/>
      <c r="Z207" s="32">
        <v>1</v>
      </c>
    </row>
    <row r="208" spans="1:26">
      <c r="A208" s="28">
        <v>18</v>
      </c>
      <c r="B208" s="17">
        <f t="shared" si="12"/>
        <v>46221</v>
      </c>
      <c r="C208" s="26">
        <f>I208+J208+K208+L208+M208+N208+O208+IF(P208="",0,P208*サマリー!$B$9)+IF(Q208="",0,IF(Q208=200,サマリー!$B$10,IF(Q208=100,サマリー!$B$11,0)))+IF(R208="",0,R208*サマリー!$B$12)</f>
        <v>0</v>
      </c>
      <c r="D208" s="26">
        <f>S208+T208+U208+V208+W208+IF(X208="",0,X208*サマリー!$B$9)+IF(Y208="",0,IF(Y208=200,サマリー!$B$10,IF(Y208=100,サマリー!$B$11,0)))+IF(Z208="",0,Z208*サマリー!$B$12)</f>
        <v>3034</v>
      </c>
      <c r="E208" s="26">
        <f t="shared" si="11"/>
        <v>3034</v>
      </c>
      <c r="I208" s="29"/>
      <c r="J208" s="29"/>
      <c r="K208" s="29"/>
      <c r="L208" s="29"/>
      <c r="M208" s="29"/>
      <c r="N208" s="29"/>
      <c r="O208" s="29"/>
      <c r="P208" s="30"/>
      <c r="Q208" s="30"/>
      <c r="R208" s="30"/>
      <c r="S208" s="31"/>
      <c r="T208" s="31">
        <v>2200</v>
      </c>
      <c r="U208" s="31">
        <v>834</v>
      </c>
      <c r="V208" s="31"/>
      <c r="W208" s="31"/>
      <c r="X208" s="32"/>
      <c r="Y208" s="32"/>
      <c r="Z208" s="32"/>
    </row>
    <row r="209" spans="1:26">
      <c r="A209" s="28">
        <v>18</v>
      </c>
      <c r="B209" s="17">
        <f t="shared" si="12"/>
        <v>46221</v>
      </c>
      <c r="C209" s="26">
        <f>I209+J209+K209+L209+M209+N209+O209+IF(P209="",0,P209*サマリー!$B$9)+IF(Q209="",0,IF(Q209=200,サマリー!$B$10,IF(Q209=100,サマリー!$B$11,0)))+IF(R209="",0,R209*サマリー!$B$12)</f>
        <v>0</v>
      </c>
      <c r="D209" s="26">
        <f>S209+T209+U209+V209+W209+IF(X209="",0,X209*サマリー!$B$9)+IF(Y209="",0,IF(Y209=200,サマリー!$B$10,IF(Y209=100,サマリー!$B$11,0)))+IF(Z209="",0,Z209*サマリー!$B$12)</f>
        <v>6400</v>
      </c>
      <c r="E209" s="26">
        <f t="shared" si="11"/>
        <v>6400</v>
      </c>
      <c r="I209" s="29"/>
      <c r="J209" s="29"/>
      <c r="K209" s="29"/>
      <c r="L209" s="29"/>
      <c r="M209" s="29"/>
      <c r="N209" s="29"/>
      <c r="O209" s="29"/>
      <c r="P209" s="30"/>
      <c r="Q209" s="30"/>
      <c r="R209" s="30"/>
      <c r="S209" s="31"/>
      <c r="T209" s="31">
        <v>6400</v>
      </c>
      <c r="U209" s="31"/>
      <c r="V209" s="31"/>
      <c r="W209" s="31"/>
      <c r="X209" s="32"/>
      <c r="Y209" s="32"/>
      <c r="Z209" s="32"/>
    </row>
    <row r="210" spans="1:26">
      <c r="A210" s="28">
        <v>18</v>
      </c>
      <c r="B210" s="17">
        <f t="shared" si="12"/>
        <v>46221</v>
      </c>
      <c r="C210" s="26">
        <f>I210+J210+K210+L210+M210+N210+O210+IF(P210="",0,P210*サマリー!$B$9)+IF(Q210="",0,IF(Q210=200,サマリー!$B$10,IF(Q210=100,サマリー!$B$11,0)))+IF(R210="",0,R210*サマリー!$B$12)</f>
        <v>0</v>
      </c>
      <c r="D210" s="26">
        <f>S210+T210+U210+V210+W210+IF(X210="",0,X210*サマリー!$B$9)+IF(Y210="",0,IF(Y210=200,サマリー!$B$10,IF(Y210=100,サマリー!$B$11,0)))+IF(Z210="",0,Z210*サマリー!$B$12)</f>
        <v>3034</v>
      </c>
      <c r="E210" s="26">
        <f t="shared" si="11"/>
        <v>3034</v>
      </c>
      <c r="I210" s="29"/>
      <c r="J210" s="29"/>
      <c r="K210" s="29"/>
      <c r="L210" s="29"/>
      <c r="M210" s="29"/>
      <c r="N210" s="29"/>
      <c r="O210" s="29"/>
      <c r="P210" s="30"/>
      <c r="Q210" s="30"/>
      <c r="R210" s="30"/>
      <c r="S210" s="31"/>
      <c r="T210" s="31">
        <v>2200</v>
      </c>
      <c r="U210" s="31">
        <v>834</v>
      </c>
      <c r="V210" s="31"/>
      <c r="W210" s="31"/>
      <c r="X210" s="32"/>
      <c r="Y210" s="32"/>
      <c r="Z210" s="32"/>
    </row>
    <row r="211" spans="1:26">
      <c r="A211" s="28">
        <v>19</v>
      </c>
      <c r="B211" s="17">
        <f t="shared" si="12"/>
        <v>46222</v>
      </c>
      <c r="C211" s="26">
        <f>I211+J211+K211+L211+M211+N211+O211+IF(P211="",0,P211*サマリー!$B$9)+IF(Q211="",0,IF(Q211=200,サマリー!$B$10,IF(Q211=100,サマリー!$B$11,0)))+IF(R211="",0,R211*サマリー!$B$12)</f>
        <v>0</v>
      </c>
      <c r="D211" s="26">
        <f>S211+T211+U211+V211+W211+IF(X211="",0,X211*サマリー!$B$9)+IF(Y211="",0,IF(Y211=200,サマリー!$B$10,IF(Y211=100,サマリー!$B$11,0)))+IF(Z211="",0,Z211*サマリー!$B$12)</f>
        <v>9155</v>
      </c>
      <c r="E211" s="26">
        <f t="shared" si="11"/>
        <v>9155</v>
      </c>
      <c r="I211" s="29"/>
      <c r="J211" s="29"/>
      <c r="K211" s="29"/>
      <c r="L211" s="29"/>
      <c r="M211" s="29"/>
      <c r="N211" s="29"/>
      <c r="O211" s="29"/>
      <c r="P211" s="30"/>
      <c r="Q211" s="30"/>
      <c r="R211" s="30"/>
      <c r="S211" s="31"/>
      <c r="T211" s="31">
        <v>9155</v>
      </c>
      <c r="U211" s="31"/>
      <c r="V211" s="31"/>
      <c r="W211" s="31"/>
      <c r="X211" s="32"/>
      <c r="Y211" s="32"/>
      <c r="Z211" s="32"/>
    </row>
    <row r="212" spans="1:26">
      <c r="A212" s="28">
        <v>19</v>
      </c>
      <c r="B212" s="17">
        <f t="shared" si="12"/>
        <v>46222</v>
      </c>
      <c r="C212" s="26">
        <f>I212+J212+K212+L212+M212+N212+O212+IF(P212="",0,P212*サマリー!$B$9)+IF(Q212="",0,IF(Q212=200,サマリー!$B$10,IF(Q212=100,サマリー!$B$11,0)))+IF(R212="",0,R212*サマリー!$B$12)</f>
        <v>0</v>
      </c>
      <c r="D212" s="26">
        <f>S212+T212+U212+V212+W212+IF(X212="",0,X212*サマリー!$B$9)+IF(Y212="",0,IF(Y212=200,サマリー!$B$10,IF(Y212=100,サマリー!$B$11,0)))+IF(Z212="",0,Z212*サマリー!$B$12)</f>
        <v>8600</v>
      </c>
      <c r="E212" s="26">
        <f t="shared" si="11"/>
        <v>8600</v>
      </c>
      <c r="I212" s="29"/>
      <c r="J212" s="29"/>
      <c r="K212" s="29"/>
      <c r="L212" s="29"/>
      <c r="M212" s="29"/>
      <c r="N212" s="29"/>
      <c r="O212" s="29"/>
      <c r="P212" s="30"/>
      <c r="Q212" s="30"/>
      <c r="R212" s="30"/>
      <c r="S212" s="31"/>
      <c r="T212" s="31">
        <v>8600</v>
      </c>
      <c r="U212" s="31"/>
      <c r="V212" s="31"/>
      <c r="W212" s="31"/>
      <c r="X212" s="32"/>
      <c r="Y212" s="32"/>
      <c r="Z212" s="32"/>
    </row>
    <row r="213" spans="1:26">
      <c r="A213" s="28">
        <v>20</v>
      </c>
      <c r="B213" s="17">
        <f t="shared" si="12"/>
        <v>46223</v>
      </c>
      <c r="C213" s="26">
        <f>I213+J213+K213+L213+M213+N213+O213+IF(P213="",0,P213*サマリー!$B$9)+IF(Q213="",0,IF(Q213=200,サマリー!$B$10,IF(Q213=100,サマリー!$B$11,0)))+IF(R213="",0,R213*サマリー!$B$12)</f>
        <v>0</v>
      </c>
      <c r="D213" s="26">
        <f>S213+T213+U213+V213+W213+IF(X213="",0,X213*サマリー!$B$9)+IF(Y213="",0,IF(Y213=200,サマリー!$B$10,IF(Y213=100,サマリー!$B$11,0)))+IF(Z213="",0,Z213*サマリー!$B$12)</f>
        <v>43479</v>
      </c>
      <c r="E213" s="26">
        <f t="shared" si="11"/>
        <v>43479</v>
      </c>
      <c r="I213" s="29"/>
      <c r="J213" s="29"/>
      <c r="K213" s="29"/>
      <c r="L213" s="29"/>
      <c r="M213" s="29"/>
      <c r="N213" s="29"/>
      <c r="O213" s="29"/>
      <c r="P213" s="30"/>
      <c r="Q213" s="30"/>
      <c r="R213" s="30"/>
      <c r="S213" s="31">
        <v>36238</v>
      </c>
      <c r="T213" s="31"/>
      <c r="U213" s="31"/>
      <c r="V213" s="31"/>
      <c r="W213" s="31"/>
      <c r="X213" s="32"/>
      <c r="Y213" s="32">
        <v>200</v>
      </c>
      <c r="Z213" s="32"/>
    </row>
    <row r="214" spans="1:26">
      <c r="A214" s="28">
        <v>20</v>
      </c>
      <c r="B214" s="17">
        <f t="shared" si="12"/>
        <v>46223</v>
      </c>
      <c r="C214" s="26">
        <f>I214+J214+K214+L214+M214+N214+O214+IF(P214="",0,P214*サマリー!$B$9)+IF(Q214="",0,IF(Q214=200,サマリー!$B$10,IF(Q214=100,サマリー!$B$11,0)))+IF(R214="",0,R214*サマリー!$B$12)</f>
        <v>0</v>
      </c>
      <c r="D214" s="26">
        <f>S214+T214+U214+V214+W214+IF(X214="",0,X214*サマリー!$B$9)+IF(Y214="",0,IF(Y214=200,サマリー!$B$10,IF(Y214=100,サマリー!$B$11,0)))+IF(Z214="",0,Z214*サマリー!$B$12)</f>
        <v>21250</v>
      </c>
      <c r="E214" s="26">
        <f t="shared" si="11"/>
        <v>21250</v>
      </c>
      <c r="I214" s="29"/>
      <c r="J214" s="29"/>
      <c r="K214" s="29"/>
      <c r="L214" s="29"/>
      <c r="M214" s="29"/>
      <c r="N214" s="29"/>
      <c r="O214" s="29"/>
      <c r="P214" s="30"/>
      <c r="Q214" s="30"/>
      <c r="R214" s="30"/>
      <c r="S214" s="31"/>
      <c r="T214" s="31">
        <v>21250</v>
      </c>
      <c r="U214" s="31"/>
      <c r="V214" s="31"/>
      <c r="W214" s="31"/>
      <c r="X214" s="32"/>
      <c r="Y214" s="32"/>
      <c r="Z214" s="32"/>
    </row>
    <row r="215" spans="1:26">
      <c r="A215" s="28">
        <v>20</v>
      </c>
      <c r="B215" s="17">
        <f t="shared" si="12"/>
        <v>46223</v>
      </c>
      <c r="C215" s="26">
        <f>I215+J215+K215+L215+M215+N215+O215+IF(P215="",0,P215*サマリー!$B$9)+IF(Q215="",0,IF(Q215=200,サマリー!$B$10,IF(Q215=100,サマリー!$B$11,0)))+IF(R215="",0,R215*サマリー!$B$12)</f>
        <v>0</v>
      </c>
      <c r="D215" s="26">
        <f>S215+T215+U215+V215+W215+IF(X215="",0,X215*サマリー!$B$9)+IF(Y215="",0,IF(Y215=200,サマリー!$B$10,IF(Y215=100,サマリー!$B$11,0)))+IF(Z215="",0,Z215*サマリー!$B$12)</f>
        <v>10255</v>
      </c>
      <c r="E215" s="26">
        <f t="shared" si="11"/>
        <v>10255</v>
      </c>
      <c r="I215" s="29"/>
      <c r="J215" s="29"/>
      <c r="K215" s="29"/>
      <c r="L215" s="29"/>
      <c r="M215" s="29"/>
      <c r="N215" s="29"/>
      <c r="O215" s="29"/>
      <c r="P215" s="30"/>
      <c r="Q215" s="30"/>
      <c r="R215" s="30"/>
      <c r="S215" s="31"/>
      <c r="T215" s="31">
        <v>10255</v>
      </c>
      <c r="U215" s="31"/>
      <c r="V215" s="31"/>
      <c r="W215" s="31"/>
      <c r="X215" s="32"/>
      <c r="Y215" s="32"/>
      <c r="Z215" s="32"/>
    </row>
    <row r="216" spans="1:26">
      <c r="A216" s="28">
        <v>20</v>
      </c>
      <c r="B216" s="17">
        <f t="shared" si="12"/>
        <v>46223</v>
      </c>
      <c r="C216" s="26">
        <f>I216+J216+K216+L216+M216+N216+O216+IF(P216="",0,P216*サマリー!$B$9)+IF(Q216="",0,IF(Q216=200,サマリー!$B$10,IF(Q216=100,サマリー!$B$11,0)))+IF(R216="",0,R216*サマリー!$B$12)</f>
        <v>0</v>
      </c>
      <c r="D216" s="26">
        <f>S216+T216+U216+V216+W216+IF(X216="",0,X216*サマリー!$B$9)+IF(Y216="",0,IF(Y216=200,サマリー!$B$10,IF(Y216=100,サマリー!$B$11,0)))+IF(Z216="",0,Z216*サマリー!$B$12)</f>
        <v>8600</v>
      </c>
      <c r="E216" s="26">
        <f t="shared" si="11"/>
        <v>8600</v>
      </c>
      <c r="I216" s="29"/>
      <c r="J216" s="29"/>
      <c r="K216" s="29"/>
      <c r="L216" s="29"/>
      <c r="M216" s="29"/>
      <c r="N216" s="29"/>
      <c r="O216" s="29"/>
      <c r="P216" s="30"/>
      <c r="Q216" s="30"/>
      <c r="R216" s="30"/>
      <c r="S216" s="31"/>
      <c r="T216" s="31">
        <v>8600</v>
      </c>
      <c r="U216" s="31"/>
      <c r="V216" s="31"/>
      <c r="W216" s="31"/>
      <c r="X216" s="32"/>
      <c r="Y216" s="32"/>
      <c r="Z216" s="32"/>
    </row>
    <row r="217" spans="1:26">
      <c r="A217" s="28">
        <v>21</v>
      </c>
      <c r="B217" s="17">
        <f t="shared" si="12"/>
        <v>46224</v>
      </c>
      <c r="C217" s="26">
        <f>I217+J217+K217+L217+M217+N217+O217+IF(P217="",0,P217*サマリー!$B$9)+IF(Q217="",0,IF(Q217=200,サマリー!$B$10,IF(Q217=100,サマリー!$B$11,0)))+IF(R217="",0,R217*サマリー!$B$12)</f>
        <v>0</v>
      </c>
      <c r="D217" s="26">
        <f>S217+T217+U217+V217+W217+IF(X217="",0,X217*サマリー!$B$9)+IF(Y217="",0,IF(Y217=200,サマリー!$B$10,IF(Y217=100,サマリー!$B$11,0)))+IF(Z217="",0,Z217*サマリー!$B$12)</f>
        <v>8155</v>
      </c>
      <c r="E217" s="26">
        <f t="shared" si="11"/>
        <v>8155</v>
      </c>
      <c r="I217" s="29"/>
      <c r="J217" s="29"/>
      <c r="K217" s="29"/>
      <c r="L217" s="29"/>
      <c r="M217" s="29"/>
      <c r="N217" s="29"/>
      <c r="O217" s="29"/>
      <c r="P217" s="30"/>
      <c r="Q217" s="30"/>
      <c r="R217" s="30"/>
      <c r="S217" s="31"/>
      <c r="T217" s="31">
        <v>8155</v>
      </c>
      <c r="U217" s="31"/>
      <c r="V217" s="31"/>
      <c r="W217" s="31"/>
      <c r="X217" s="32"/>
      <c r="Y217" s="32"/>
      <c r="Z217" s="32"/>
    </row>
    <row r="218" spans="1:26">
      <c r="A218" s="28">
        <v>22</v>
      </c>
      <c r="B218" s="17">
        <f t="shared" si="12"/>
        <v>46225</v>
      </c>
      <c r="C218" s="26">
        <f>I218+J218+K218+L218+M218+N218+O218+IF(P218="",0,P218*サマリー!$B$9)+IF(Q218="",0,IF(Q218=200,サマリー!$B$10,IF(Q218=100,サマリー!$B$11,0)))+IF(R218="",0,R218*サマリー!$B$12)</f>
        <v>1100</v>
      </c>
      <c r="D218" s="26">
        <f>S218+T218+U218+V218+W218+IF(X218="",0,X218*サマリー!$B$9)+IF(Y218="",0,IF(Y218=200,サマリー!$B$10,IF(Y218=100,サマリー!$B$11,0)))+IF(Z218="",0,Z218*サマリー!$B$12)</f>
        <v>0</v>
      </c>
      <c r="E218" s="26">
        <f t="shared" si="11"/>
        <v>1100</v>
      </c>
      <c r="I218" s="29"/>
      <c r="J218" s="29">
        <v>1100</v>
      </c>
      <c r="K218" s="29"/>
      <c r="L218" s="29"/>
      <c r="M218" s="29"/>
      <c r="N218" s="29"/>
      <c r="O218" s="29"/>
      <c r="P218" s="30"/>
      <c r="Q218" s="30"/>
      <c r="R218" s="30"/>
      <c r="S218" s="31"/>
      <c r="T218" s="31"/>
      <c r="U218" s="31"/>
      <c r="V218" s="31"/>
      <c r="W218" s="31"/>
      <c r="X218" s="32"/>
      <c r="Y218" s="32"/>
      <c r="Z218" s="32"/>
    </row>
    <row r="219" spans="1:26">
      <c r="A219" s="28">
        <v>23</v>
      </c>
      <c r="B219" s="17">
        <f t="shared" si="12"/>
        <v>46226</v>
      </c>
      <c r="C219" s="26">
        <f>I219+J219+K219+L219+M219+N219+O219+IF(P219="",0,P219*サマリー!$B$9)+IF(Q219="",0,IF(Q219=200,サマリー!$B$10,IF(Q219=100,サマリー!$B$11,0)))+IF(R219="",0,R219*サマリー!$B$12)</f>
        <v>49000</v>
      </c>
      <c r="D219" s="26">
        <f>S219+T219+U219+V219+W219+IF(X219="",0,X219*サマリー!$B$9)+IF(Y219="",0,IF(Y219=200,サマリー!$B$10,IF(Y219=100,サマリー!$B$11,0)))+IF(Z219="",0,Z219*サマリー!$B$12)</f>
        <v>14320</v>
      </c>
      <c r="E219" s="26">
        <f t="shared" si="11"/>
        <v>63320</v>
      </c>
      <c r="I219" s="29"/>
      <c r="J219" s="29"/>
      <c r="K219" s="29"/>
      <c r="L219" s="29"/>
      <c r="M219" s="29">
        <v>49000</v>
      </c>
      <c r="N219" s="29"/>
      <c r="O219" s="29"/>
      <c r="P219" s="30"/>
      <c r="Q219" s="30"/>
      <c r="R219" s="30"/>
      <c r="S219" s="31"/>
      <c r="T219" s="31">
        <v>14320</v>
      </c>
      <c r="U219" s="31"/>
      <c r="V219" s="31"/>
      <c r="W219" s="31"/>
      <c r="X219" s="32"/>
      <c r="Y219" s="32"/>
      <c r="Z219" s="32"/>
    </row>
    <row r="220" spans="1:26">
      <c r="A220" s="28">
        <v>24</v>
      </c>
      <c r="B220" s="17">
        <f t="shared" si="12"/>
        <v>46227</v>
      </c>
      <c r="C220" s="26">
        <f>I220+J220+K220+L220+M220+N220+O220+IF(P220="",0,P220*サマリー!$B$9)+IF(Q220="",0,IF(Q220=200,サマリー!$B$10,IF(Q220=100,サマリー!$B$11,0)))+IF(R220="",0,R220*サマリー!$B$12)</f>
        <v>40601</v>
      </c>
      <c r="D220" s="26">
        <f>S220+T220+U220+V220+W220+IF(X220="",0,X220*サマリー!$B$9)+IF(Y220="",0,IF(Y220=200,サマリー!$B$10,IF(Y220=100,サマリー!$B$11,0)))+IF(Z220="",0,Z220*サマリー!$B$12)</f>
        <v>0</v>
      </c>
      <c r="E220" s="26">
        <f t="shared" si="11"/>
        <v>40601</v>
      </c>
      <c r="I220" s="29"/>
      <c r="J220" s="29">
        <v>33360</v>
      </c>
      <c r="K220" s="29"/>
      <c r="L220" s="29"/>
      <c r="M220" s="29"/>
      <c r="N220" s="29"/>
      <c r="O220" s="29"/>
      <c r="P220" s="30"/>
      <c r="Q220" s="30">
        <v>200</v>
      </c>
      <c r="R220" s="30"/>
      <c r="S220" s="31"/>
      <c r="T220" s="31"/>
      <c r="U220" s="31"/>
      <c r="V220" s="31"/>
      <c r="W220" s="31"/>
      <c r="X220" s="32"/>
      <c r="Y220" s="32"/>
      <c r="Z220" s="32"/>
    </row>
    <row r="221" spans="1:26">
      <c r="A221" s="28">
        <v>24</v>
      </c>
      <c r="B221" s="17">
        <f t="shared" si="12"/>
        <v>46227</v>
      </c>
      <c r="C221" s="26">
        <f>I221+J221+K221+L221+M221+N221+O221+IF(P221="",0,P221*サマリー!$B$9)+IF(Q221="",0,IF(Q221=200,サマリー!$B$10,IF(Q221=100,サマリー!$B$11,0)))+IF(R221="",0,R221*サマリー!$B$12)</f>
        <v>1655</v>
      </c>
      <c r="D221" s="26">
        <f>S221+T221+U221+V221+W221+IF(X221="",0,X221*サマリー!$B$9)+IF(Y221="",0,IF(Y221=200,サマリー!$B$10,IF(Y221=100,サマリー!$B$11,0)))+IF(Z221="",0,Z221*サマリー!$B$12)</f>
        <v>0</v>
      </c>
      <c r="E221" s="26">
        <f t="shared" si="11"/>
        <v>1655</v>
      </c>
      <c r="I221" s="29"/>
      <c r="J221" s="29">
        <v>1655</v>
      </c>
      <c r="K221" s="29"/>
      <c r="L221" s="29"/>
      <c r="M221" s="29"/>
      <c r="N221" s="29"/>
      <c r="O221" s="29"/>
      <c r="P221" s="30"/>
      <c r="Q221" s="30"/>
      <c r="R221" s="30"/>
      <c r="S221" s="31"/>
      <c r="T221" s="31"/>
      <c r="U221" s="31"/>
      <c r="V221" s="31"/>
      <c r="W221" s="31"/>
      <c r="X221" s="32"/>
      <c r="Y221" s="32"/>
      <c r="Z221" s="32"/>
    </row>
    <row r="222" spans="1:26">
      <c r="A222" s="28">
        <v>24</v>
      </c>
      <c r="B222" s="17">
        <f t="shared" si="12"/>
        <v>46227</v>
      </c>
      <c r="C222" s="26">
        <f>I222+J222+K222+L222+M222+N222+O222+IF(P222="",0,P222*サマリー!$B$9)+IF(Q222="",0,IF(Q222=200,サマリー!$B$10,IF(Q222=100,サマリー!$B$11,0)))+IF(R222="",0,R222*サマリー!$B$12)</f>
        <v>1655</v>
      </c>
      <c r="D222" s="26">
        <f>S222+T222+U222+V222+W222+IF(X222="",0,X222*サマリー!$B$9)+IF(Y222="",0,IF(Y222=200,サマリー!$B$10,IF(Y222=100,サマリー!$B$11,0)))+IF(Z222="",0,Z222*サマリー!$B$12)</f>
        <v>0</v>
      </c>
      <c r="E222" s="26">
        <f t="shared" si="11"/>
        <v>1655</v>
      </c>
      <c r="I222" s="29"/>
      <c r="J222" s="29">
        <v>1655</v>
      </c>
      <c r="K222" s="29"/>
      <c r="L222" s="29"/>
      <c r="M222" s="29"/>
      <c r="N222" s="29"/>
      <c r="O222" s="29"/>
      <c r="P222" s="30"/>
      <c r="Q222" s="30"/>
      <c r="R222" s="30"/>
      <c r="S222" s="31"/>
      <c r="T222" s="31"/>
      <c r="U222" s="31"/>
      <c r="V222" s="31"/>
      <c r="W222" s="31"/>
      <c r="X222" s="32"/>
      <c r="Y222" s="32"/>
      <c r="Z222" s="32"/>
    </row>
    <row r="223" spans="1:26">
      <c r="A223" s="28">
        <v>24</v>
      </c>
      <c r="B223" s="17">
        <f t="shared" si="12"/>
        <v>46227</v>
      </c>
      <c r="C223" s="26">
        <f>I223+J223+K223+L223+M223+N223+O223+IF(P223="",0,P223*サマリー!$B$9)+IF(Q223="",0,IF(Q223=200,サマリー!$B$10,IF(Q223=100,サマリー!$B$11,0)))+IF(R223="",0,R223*サマリー!$B$12)</f>
        <v>5720</v>
      </c>
      <c r="D223" s="26">
        <f>S223+T223+U223+V223+W223+IF(X223="",0,X223*サマリー!$B$9)+IF(Y223="",0,IF(Y223=200,サマリー!$B$10,IF(Y223=100,サマリー!$B$11,0)))+IF(Z223="",0,Z223*サマリー!$B$12)</f>
        <v>0</v>
      </c>
      <c r="E223" s="26">
        <f t="shared" si="11"/>
        <v>5720</v>
      </c>
      <c r="I223" s="29">
        <v>5720</v>
      </c>
      <c r="J223" s="29"/>
      <c r="K223" s="29"/>
      <c r="L223" s="29"/>
      <c r="M223" s="29"/>
      <c r="N223" s="29"/>
      <c r="O223" s="29"/>
      <c r="P223" s="30"/>
      <c r="Q223" s="30"/>
      <c r="R223" s="30"/>
      <c r="S223" s="31"/>
      <c r="T223" s="31"/>
      <c r="U223" s="31"/>
      <c r="V223" s="31"/>
      <c r="W223" s="31"/>
      <c r="X223" s="32"/>
      <c r="Y223" s="32"/>
      <c r="Z223" s="32"/>
    </row>
    <row r="224" spans="1:26">
      <c r="A224" s="28">
        <v>24</v>
      </c>
      <c r="B224" s="17">
        <f t="shared" si="12"/>
        <v>46227</v>
      </c>
      <c r="C224" s="26">
        <f>I224+J224+K224+L224+M224+N224+O224+IF(P224="",0,P224*サマリー!$B$9)+IF(Q224="",0,IF(Q224=200,サマリー!$B$10,IF(Q224=100,サマリー!$B$11,0)))+IF(R224="",0,R224*サマリー!$B$12)</f>
        <v>12879</v>
      </c>
      <c r="D224" s="26">
        <f>S224+T224+U224+V224+W224+IF(X224="",0,X224*サマリー!$B$9)+IF(Y224="",0,IF(Y224=200,サマリー!$B$10,IF(Y224=100,サマリー!$B$11,0)))+IF(Z224="",0,Z224*サマリー!$B$12)</f>
        <v>0</v>
      </c>
      <c r="E224" s="26">
        <f t="shared" si="11"/>
        <v>12879</v>
      </c>
      <c r="I224" s="29"/>
      <c r="J224" s="29">
        <v>2200</v>
      </c>
      <c r="K224" s="29">
        <v>10679</v>
      </c>
      <c r="L224" s="29"/>
      <c r="M224" s="29"/>
      <c r="N224" s="29"/>
      <c r="O224" s="29"/>
      <c r="P224" s="30"/>
      <c r="Q224" s="30"/>
      <c r="R224" s="30"/>
      <c r="S224" s="31"/>
      <c r="T224" s="31"/>
      <c r="U224" s="31"/>
      <c r="V224" s="31"/>
      <c r="W224" s="31"/>
      <c r="X224" s="32"/>
      <c r="Y224" s="32"/>
      <c r="Z224" s="32"/>
    </row>
    <row r="225" spans="1:26">
      <c r="A225" s="28">
        <v>25</v>
      </c>
      <c r="B225" s="17">
        <f t="shared" si="12"/>
        <v>46228</v>
      </c>
      <c r="C225" s="26">
        <f>I225+J225+K225+L225+M225+N225+O225+IF(P225="",0,P225*サマリー!$B$9)+IF(Q225="",0,IF(Q225=200,サマリー!$B$10,IF(Q225=100,サマリー!$B$11,0)))+IF(R225="",0,R225*サマリー!$B$12)</f>
        <v>0</v>
      </c>
      <c r="D225" s="26">
        <f>S225+T225+U225+V225+W225+IF(X225="",0,X225*サマリー!$B$9)+IF(Y225="",0,IF(Y225=200,サマリー!$B$10,IF(Y225=100,サマリー!$B$11,0)))+IF(Z225="",0,Z225*サマリー!$B$12)</f>
        <v>43479</v>
      </c>
      <c r="E225" s="26">
        <f t="shared" si="11"/>
        <v>43479</v>
      </c>
      <c r="I225" s="29"/>
      <c r="J225" s="29"/>
      <c r="K225" s="29"/>
      <c r="L225" s="29"/>
      <c r="M225" s="29"/>
      <c r="N225" s="29"/>
      <c r="O225" s="29"/>
      <c r="P225" s="30"/>
      <c r="Q225" s="30"/>
      <c r="R225" s="30"/>
      <c r="S225" s="31">
        <v>36238</v>
      </c>
      <c r="T225" s="31"/>
      <c r="U225" s="31"/>
      <c r="V225" s="31"/>
      <c r="W225" s="31"/>
      <c r="X225" s="32"/>
      <c r="Y225" s="32">
        <v>200</v>
      </c>
      <c r="Z225" s="32"/>
    </row>
    <row r="226" spans="1:26">
      <c r="A226" s="28">
        <v>25</v>
      </c>
      <c r="B226" s="17">
        <f t="shared" si="12"/>
        <v>46228</v>
      </c>
      <c r="C226" s="26">
        <f>I226+J226+K226+L226+M226+N226+O226+IF(P226="",0,P226*サマリー!$B$9)+IF(Q226="",0,IF(Q226=200,サマリー!$B$10,IF(Q226=100,サマリー!$B$11,0)))+IF(R226="",0,R226*サマリー!$B$12)</f>
        <v>16310</v>
      </c>
      <c r="D226" s="26">
        <f>S226+T226+U226+V226+W226+IF(X226="",0,X226*サマリー!$B$9)+IF(Y226="",0,IF(Y226=200,サマリー!$B$10,IF(Y226=100,サマリー!$B$11,0)))+IF(Z226="",0,Z226*サマリー!$B$12)</f>
        <v>6400</v>
      </c>
      <c r="E226" s="26">
        <f t="shared" si="11"/>
        <v>22710</v>
      </c>
      <c r="I226" s="29"/>
      <c r="J226" s="29">
        <v>16310</v>
      </c>
      <c r="K226" s="29"/>
      <c r="L226" s="29"/>
      <c r="M226" s="29"/>
      <c r="N226" s="29"/>
      <c r="O226" s="29"/>
      <c r="P226" s="30"/>
      <c r="Q226" s="30"/>
      <c r="R226" s="30"/>
      <c r="S226" s="31"/>
      <c r="T226" s="31">
        <v>6400</v>
      </c>
      <c r="U226" s="31"/>
      <c r="V226" s="31"/>
      <c r="W226" s="31"/>
      <c r="X226" s="32"/>
      <c r="Y226" s="32"/>
      <c r="Z226" s="32"/>
    </row>
    <row r="227" spans="1:26">
      <c r="A227" s="28">
        <v>25</v>
      </c>
      <c r="B227" s="17">
        <f t="shared" si="12"/>
        <v>46228</v>
      </c>
      <c r="C227" s="26">
        <f>I227+J227+K227+L227+M227+N227+O227+IF(P227="",0,P227*サマリー!$B$9)+IF(Q227="",0,IF(Q227=200,サマリー!$B$10,IF(Q227=100,サマリー!$B$11,0)))+IF(R227="",0,R227*サマリー!$B$12)</f>
        <v>5510</v>
      </c>
      <c r="D227" s="26">
        <f>S227+T227+U227+V227+W227+IF(X227="",0,X227*サマリー!$B$9)+IF(Y227="",0,IF(Y227=200,サマリー!$B$10,IF(Y227=100,サマリー!$B$11,0)))+IF(Z227="",0,Z227*サマリー!$B$12)</f>
        <v>0</v>
      </c>
      <c r="E227" s="26">
        <f t="shared" si="11"/>
        <v>5510</v>
      </c>
      <c r="I227" s="29"/>
      <c r="J227" s="29">
        <v>5510</v>
      </c>
      <c r="K227" s="29"/>
      <c r="L227" s="29"/>
      <c r="M227" s="29"/>
      <c r="N227" s="29"/>
      <c r="O227" s="29"/>
      <c r="P227" s="30"/>
      <c r="Q227" s="30"/>
      <c r="R227" s="30"/>
      <c r="S227" s="31"/>
      <c r="T227" s="31"/>
      <c r="U227" s="31"/>
      <c r="V227" s="31"/>
      <c r="W227" s="31"/>
      <c r="X227" s="32"/>
      <c r="Y227" s="32"/>
      <c r="Z227" s="32"/>
    </row>
    <row r="228" spans="1:26">
      <c r="A228" s="28">
        <v>25</v>
      </c>
      <c r="B228" s="17">
        <f t="shared" si="12"/>
        <v>46228</v>
      </c>
      <c r="C228" s="26">
        <f>I228+J228+K228+L228+M228+N228+O228+IF(P228="",0,P228*サマリー!$B$9)+IF(Q228="",0,IF(Q228=200,サマリー!$B$10,IF(Q228=100,サマリー!$B$11,0)))+IF(R228="",0,R228*サマリー!$B$12)</f>
        <v>48931</v>
      </c>
      <c r="D228" s="26">
        <f>S228+T228+U228+V228+W228+IF(X228="",0,X228*サマリー!$B$9)+IF(Y228="",0,IF(Y228=200,サマリー!$B$10,IF(Y228=100,サマリー!$B$11,0)))+IF(Z228="",0,Z228*サマリー!$B$12)</f>
        <v>0</v>
      </c>
      <c r="E228" s="26">
        <f t="shared" si="11"/>
        <v>48931</v>
      </c>
      <c r="I228" s="29"/>
      <c r="J228" s="29">
        <v>21100</v>
      </c>
      <c r="K228" s="29">
        <v>27831</v>
      </c>
      <c r="L228" s="29"/>
      <c r="M228" s="29"/>
      <c r="N228" s="29"/>
      <c r="O228" s="29"/>
      <c r="P228" s="30"/>
      <c r="Q228" s="30"/>
      <c r="R228" s="30"/>
      <c r="S228" s="31"/>
      <c r="T228" s="31"/>
      <c r="U228" s="31"/>
      <c r="V228" s="31"/>
      <c r="W228" s="31"/>
      <c r="X228" s="32"/>
      <c r="Y228" s="32"/>
      <c r="Z228" s="32"/>
    </row>
    <row r="229" spans="1:26">
      <c r="A229" s="28">
        <v>26</v>
      </c>
      <c r="B229" s="17">
        <f t="shared" si="12"/>
        <v>46229</v>
      </c>
      <c r="C229" s="26">
        <f>I229+J229+K229+L229+M229+N229+O229+IF(P229="",0,P229*サマリー!$B$9)+IF(Q229="",0,IF(Q229=200,サマリー!$B$10,IF(Q229=100,サマリー!$B$11,0)))+IF(R229="",0,R229*サマリー!$B$12)</f>
        <v>24438</v>
      </c>
      <c r="D229" s="26">
        <f>S229+T229+U229+V229+W229+IF(X229="",0,X229*サマリー!$B$9)+IF(Y229="",0,IF(Y229=200,サマリー!$B$10,IF(Y229=100,サマリー!$B$11,0)))+IF(Z229="",0,Z229*サマリー!$B$12)</f>
        <v>5500</v>
      </c>
      <c r="E229" s="26">
        <f t="shared" si="11"/>
        <v>29938</v>
      </c>
      <c r="I229" s="29"/>
      <c r="J229" s="29">
        <v>24438</v>
      </c>
      <c r="K229" s="29"/>
      <c r="L229" s="29"/>
      <c r="M229" s="29"/>
      <c r="N229" s="29"/>
      <c r="O229" s="29"/>
      <c r="P229" s="30"/>
      <c r="Q229" s="30"/>
      <c r="R229" s="30"/>
      <c r="S229" s="31"/>
      <c r="T229" s="31">
        <v>5500</v>
      </c>
      <c r="U229" s="31"/>
      <c r="V229" s="31"/>
      <c r="W229" s="31"/>
      <c r="X229" s="32"/>
      <c r="Y229" s="32"/>
      <c r="Z229" s="32"/>
    </row>
    <row r="230" spans="1:26">
      <c r="A230" s="28">
        <v>26</v>
      </c>
      <c r="B230" s="17">
        <f t="shared" si="12"/>
        <v>46229</v>
      </c>
      <c r="C230" s="26">
        <f>I230+J230+K230+L230+M230+N230+O230+IF(P230="",0,P230*サマリー!$B$9)+IF(Q230="",0,IF(Q230=200,サマリー!$B$10,IF(Q230=100,サマリー!$B$11,0)))+IF(R230="",0,R230*サマリー!$B$12)</f>
        <v>36231</v>
      </c>
      <c r="D230" s="26">
        <f>S230+T230+U230+V230+W230+IF(X230="",0,X230*サマリー!$B$9)+IF(Y230="",0,IF(Y230=200,サマリー!$B$10,IF(Y230=100,サマリー!$B$11,0)))+IF(Z230="",0,Z230*サマリー!$B$12)</f>
        <v>44897</v>
      </c>
      <c r="E230" s="26">
        <f t="shared" ref="E230:E293" si="13">C230+D230</f>
        <v>81128</v>
      </c>
      <c r="I230" s="29"/>
      <c r="J230" s="29">
        <v>12380</v>
      </c>
      <c r="K230" s="29">
        <v>23851</v>
      </c>
      <c r="L230" s="29"/>
      <c r="M230" s="29"/>
      <c r="N230" s="29"/>
      <c r="O230" s="29"/>
      <c r="P230" s="30"/>
      <c r="Q230" s="30"/>
      <c r="R230" s="30"/>
      <c r="S230" s="31">
        <v>32550</v>
      </c>
      <c r="T230" s="31"/>
      <c r="U230" s="31">
        <v>12347</v>
      </c>
      <c r="V230" s="31"/>
      <c r="W230" s="31"/>
      <c r="X230" s="32"/>
      <c r="Y230" s="32"/>
      <c r="Z230" s="32"/>
    </row>
    <row r="231" spans="1:26">
      <c r="A231" s="28">
        <v>26</v>
      </c>
      <c r="B231" s="17">
        <f t="shared" ref="B231:B294" si="14">IF(A231="",B230,IF(A231&lt;DAY(B230),DATE(YEAR(B230),MONTH(B230)+1,A231),DATE(YEAR(B230),MONTH(B230),A231)))</f>
        <v>46229</v>
      </c>
      <c r="C231" s="26">
        <f>I231+J231+K231+L231+M231+N231+O231+IF(P231="",0,P231*サマリー!$B$9)+IF(Q231="",0,IF(Q231=200,サマリー!$B$10,IF(Q231=100,サマリー!$B$11,0)))+IF(R231="",0,R231*サマリー!$B$12)</f>
        <v>13000</v>
      </c>
      <c r="D231" s="26">
        <f>S231+T231+U231+V231+W231+IF(X231="",0,X231*サマリー!$B$9)+IF(Y231="",0,IF(Y231=200,サマリー!$B$10,IF(Y231=100,サマリー!$B$11,0)))+IF(Z231="",0,Z231*サマリー!$B$12)</f>
        <v>0</v>
      </c>
      <c r="E231" s="26">
        <f t="shared" si="13"/>
        <v>13000</v>
      </c>
      <c r="I231" s="29"/>
      <c r="J231" s="29"/>
      <c r="K231" s="29"/>
      <c r="L231" s="29">
        <v>13000</v>
      </c>
      <c r="M231" s="29"/>
      <c r="N231" s="29"/>
      <c r="O231" s="29"/>
      <c r="P231" s="30"/>
      <c r="Q231" s="30"/>
      <c r="R231" s="30"/>
      <c r="S231" s="31"/>
      <c r="T231" s="31"/>
      <c r="U231" s="31"/>
      <c r="V231" s="31"/>
      <c r="W231" s="31"/>
      <c r="X231" s="32"/>
      <c r="Y231" s="32"/>
      <c r="Z231" s="32"/>
    </row>
    <row r="232" spans="1:26">
      <c r="A232" s="28">
        <v>26</v>
      </c>
      <c r="B232" s="17">
        <f t="shared" si="14"/>
        <v>46229</v>
      </c>
      <c r="C232" s="26">
        <f>I232+J232+K232+L232+M232+N232+O232+IF(P232="",0,P232*サマリー!$B$9)+IF(Q232="",0,IF(Q232=200,サマリー!$B$10,IF(Q232=100,サマリー!$B$11,0)))+IF(R232="",0,R232*サマリー!$B$12)</f>
        <v>35000</v>
      </c>
      <c r="D232" s="26">
        <f>S232+T232+U232+V232+W232+IF(X232="",0,X232*サマリー!$B$9)+IF(Y232="",0,IF(Y232=200,サマリー!$B$10,IF(Y232=100,サマリー!$B$11,0)))+IF(Z232="",0,Z232*サマリー!$B$12)</f>
        <v>0</v>
      </c>
      <c r="E232" s="26">
        <f t="shared" si="13"/>
        <v>35000</v>
      </c>
      <c r="I232" s="29"/>
      <c r="J232" s="29"/>
      <c r="K232" s="29"/>
      <c r="L232" s="29"/>
      <c r="M232" s="29">
        <v>35000</v>
      </c>
      <c r="N232" s="29"/>
      <c r="O232" s="29"/>
      <c r="P232" s="30"/>
      <c r="Q232" s="30"/>
      <c r="R232" s="30"/>
      <c r="S232" s="31"/>
      <c r="T232" s="31"/>
      <c r="U232" s="31"/>
      <c r="V232" s="31"/>
      <c r="W232" s="31"/>
      <c r="X232" s="32"/>
      <c r="Y232" s="32"/>
      <c r="Z232" s="32"/>
    </row>
    <row r="233" spans="1:26">
      <c r="A233" s="28">
        <v>27</v>
      </c>
      <c r="B233" s="17">
        <f t="shared" si="14"/>
        <v>46230</v>
      </c>
      <c r="C233" s="26">
        <f>I233+J233+K233+L233+M233+N233+O233+IF(P233="",0,P233*サマリー!$B$9)+IF(Q233="",0,IF(Q233=200,サマリー!$B$10,IF(Q233=100,サマリー!$B$11,0)))+IF(R233="",0,R233*サマリー!$B$12)</f>
        <v>0</v>
      </c>
      <c r="D233" s="26">
        <f>S233+T233+U233+V233+W233+IF(X233="",0,X233*サマリー!$B$9)+IF(Y233="",0,IF(Y233=200,サマリー!$B$10,IF(Y233=100,サマリー!$B$11,0)))+IF(Z233="",0,Z233*サマリー!$B$12)</f>
        <v>555</v>
      </c>
      <c r="E233" s="26">
        <f t="shared" si="13"/>
        <v>555</v>
      </c>
      <c r="I233" s="29"/>
      <c r="J233" s="29"/>
      <c r="K233" s="29"/>
      <c r="L233" s="29"/>
      <c r="M233" s="29"/>
      <c r="N233" s="29"/>
      <c r="O233" s="29"/>
      <c r="P233" s="30"/>
      <c r="Q233" s="30"/>
      <c r="R233" s="30"/>
      <c r="S233" s="31"/>
      <c r="T233" s="31">
        <v>555</v>
      </c>
      <c r="U233" s="31"/>
      <c r="V233" s="31"/>
      <c r="W233" s="31"/>
      <c r="X233" s="32"/>
      <c r="Y233" s="32"/>
      <c r="Z233" s="32"/>
    </row>
    <row r="234" spans="1:26">
      <c r="A234" s="28">
        <v>27</v>
      </c>
      <c r="B234" s="17">
        <f t="shared" si="14"/>
        <v>46230</v>
      </c>
      <c r="C234" s="26">
        <f>I234+J234+K234+L234+M234+N234+O234+IF(P234="",0,P234*サマリー!$B$9)+IF(Q234="",0,IF(Q234=200,サマリー!$B$10,IF(Q234=100,サマリー!$B$11,0)))+IF(R234="",0,R234*サマリー!$B$12)</f>
        <v>0</v>
      </c>
      <c r="D234" s="26">
        <f>S234+T234+U234+V234+W234+IF(X234="",0,X234*サマリー!$B$9)+IF(Y234="",0,IF(Y234=200,サマリー!$B$10,IF(Y234=100,サマリー!$B$11,0)))+IF(Z234="",0,Z234*サマリー!$B$12)</f>
        <v>24519</v>
      </c>
      <c r="E234" s="26">
        <f t="shared" si="13"/>
        <v>24519</v>
      </c>
      <c r="I234" s="29"/>
      <c r="J234" s="29"/>
      <c r="K234" s="29"/>
      <c r="L234" s="29"/>
      <c r="M234" s="29"/>
      <c r="N234" s="29"/>
      <c r="O234" s="29"/>
      <c r="P234" s="30"/>
      <c r="Q234" s="30"/>
      <c r="R234" s="30"/>
      <c r="S234" s="31">
        <v>24519</v>
      </c>
      <c r="T234" s="31"/>
      <c r="U234" s="31"/>
      <c r="V234" s="31"/>
      <c r="W234" s="31"/>
      <c r="X234" s="32"/>
      <c r="Y234" s="32"/>
      <c r="Z234" s="32"/>
    </row>
    <row r="235" spans="1:26">
      <c r="A235" s="28">
        <v>28</v>
      </c>
      <c r="B235" s="17">
        <f t="shared" si="14"/>
        <v>46231</v>
      </c>
      <c r="C235" s="26">
        <f>I235+J235+K235+L235+M235+N235+O235+IF(P235="",0,P235*サマリー!$B$9)+IF(Q235="",0,IF(Q235=200,サマリー!$B$10,IF(Q235=100,サマリー!$B$11,0)))+IF(R235="",0,R235*サマリー!$B$12)</f>
        <v>555</v>
      </c>
      <c r="D235" s="26">
        <f>S235+T235+U235+V235+W235+IF(X235="",0,X235*サマリー!$B$9)+IF(Y235="",0,IF(Y235=200,サマリー!$B$10,IF(Y235=100,サマリー!$B$11,0)))+IF(Z235="",0,Z235*サマリー!$B$12)</f>
        <v>0</v>
      </c>
      <c r="E235" s="26">
        <f t="shared" si="13"/>
        <v>555</v>
      </c>
      <c r="I235" s="29"/>
      <c r="J235" s="29">
        <v>555</v>
      </c>
      <c r="K235" s="29"/>
      <c r="L235" s="29"/>
      <c r="M235" s="29"/>
      <c r="N235" s="29"/>
      <c r="O235" s="29"/>
      <c r="P235" s="30"/>
      <c r="Q235" s="30"/>
      <c r="R235" s="30"/>
      <c r="S235" s="31"/>
      <c r="T235" s="31"/>
      <c r="U235" s="31"/>
      <c r="V235" s="31"/>
      <c r="W235" s="31"/>
      <c r="X235" s="32"/>
      <c r="Y235" s="32"/>
      <c r="Z235" s="32"/>
    </row>
    <row r="236" spans="1:26">
      <c r="A236" s="28">
        <v>28</v>
      </c>
      <c r="B236" s="17">
        <f t="shared" si="14"/>
        <v>46231</v>
      </c>
      <c r="C236" s="26">
        <f>I236+J236+K236+L236+M236+N236+O236+IF(P236="",0,P236*サマリー!$B$9)+IF(Q236="",0,IF(Q236=200,サマリー!$B$10,IF(Q236=100,サマリー!$B$11,0)))+IF(R236="",0,R236*サマリー!$B$12)</f>
        <v>55198</v>
      </c>
      <c r="D236" s="26">
        <f>S236+T236+U236+V236+W236+IF(X236="",0,X236*サマリー!$B$9)+IF(Y236="",0,IF(Y236=200,サマリー!$B$10,IF(Y236=100,サマリー!$B$11,0)))+IF(Z236="",0,Z236*サマリー!$B$12)</f>
        <v>0</v>
      </c>
      <c r="E236" s="26">
        <f t="shared" si="13"/>
        <v>55198</v>
      </c>
      <c r="I236" s="29">
        <v>47957</v>
      </c>
      <c r="J236" s="29"/>
      <c r="K236" s="29"/>
      <c r="L236" s="29"/>
      <c r="M236" s="29"/>
      <c r="N236" s="29"/>
      <c r="O236" s="29"/>
      <c r="P236" s="30"/>
      <c r="Q236" s="30">
        <v>200</v>
      </c>
      <c r="R236" s="30"/>
      <c r="S236" s="31"/>
      <c r="T236" s="31"/>
      <c r="U236" s="31"/>
      <c r="V236" s="31"/>
      <c r="W236" s="31"/>
      <c r="X236" s="32"/>
      <c r="Y236" s="32"/>
      <c r="Z236" s="32"/>
    </row>
    <row r="237" spans="1:26">
      <c r="A237" s="28">
        <v>29</v>
      </c>
      <c r="B237" s="17">
        <f t="shared" si="14"/>
        <v>46232</v>
      </c>
      <c r="C237" s="26">
        <f>I237+J237+K237+L237+M237+N237+O237+IF(P237="",0,P237*サマリー!$B$9)+IF(Q237="",0,IF(Q237=200,サマリー!$B$10,IF(Q237=100,サマリー!$B$11,0)))+IF(R237="",0,R237*サマリー!$B$12)</f>
        <v>25000</v>
      </c>
      <c r="D237" s="26">
        <f>S237+T237+U237+V237+W237+IF(X237="",0,X237*サマリー!$B$9)+IF(Y237="",0,IF(Y237=200,サマリー!$B$10,IF(Y237=100,サマリー!$B$11,0)))+IF(Z237="",0,Z237*サマリー!$B$12)</f>
        <v>25000</v>
      </c>
      <c r="E237" s="26">
        <f t="shared" si="13"/>
        <v>50000</v>
      </c>
      <c r="I237" s="29"/>
      <c r="J237" s="29"/>
      <c r="K237" s="29"/>
      <c r="L237" s="29"/>
      <c r="M237" s="29"/>
      <c r="N237" s="29"/>
      <c r="O237" s="29"/>
      <c r="P237" s="30">
        <v>1</v>
      </c>
      <c r="Q237" s="30"/>
      <c r="R237" s="30"/>
      <c r="S237" s="31"/>
      <c r="T237" s="31"/>
      <c r="U237" s="31"/>
      <c r="V237" s="31"/>
      <c r="W237" s="31"/>
      <c r="X237" s="32">
        <v>1</v>
      </c>
      <c r="Y237" s="32"/>
      <c r="Z237" s="32"/>
    </row>
    <row r="238" spans="1:26">
      <c r="A238" s="28">
        <v>29</v>
      </c>
      <c r="B238" s="17">
        <f t="shared" si="14"/>
        <v>46232</v>
      </c>
      <c r="C238" s="26">
        <f>I238+J238+K238+L238+M238+N238+O238+IF(P238="",0,P238*サマリー!$B$9)+IF(Q238="",0,IF(Q238=200,サマリー!$B$10,IF(Q238=100,サマリー!$B$11,0)))+IF(R238="",0,R238*サマリー!$B$12)</f>
        <v>1655</v>
      </c>
      <c r="D238" s="26">
        <f>S238+T238+U238+V238+W238+IF(X238="",0,X238*サマリー!$B$9)+IF(Y238="",0,IF(Y238=200,サマリー!$B$10,IF(Y238=100,サマリー!$B$11,0)))+IF(Z238="",0,Z238*サマリー!$B$12)</f>
        <v>38946</v>
      </c>
      <c r="E238" s="26">
        <f t="shared" si="13"/>
        <v>40601</v>
      </c>
      <c r="I238" s="29"/>
      <c r="J238" s="29">
        <v>1655</v>
      </c>
      <c r="K238" s="29"/>
      <c r="L238" s="29"/>
      <c r="M238" s="29"/>
      <c r="N238" s="29"/>
      <c r="O238" s="29"/>
      <c r="P238" s="30"/>
      <c r="Q238" s="30"/>
      <c r="R238" s="30"/>
      <c r="S238" s="31"/>
      <c r="T238" s="31">
        <v>38946</v>
      </c>
      <c r="U238" s="31"/>
      <c r="V238" s="31"/>
      <c r="W238" s="31"/>
      <c r="X238" s="32"/>
      <c r="Y238" s="32"/>
      <c r="Z238" s="32"/>
    </row>
    <row r="239" spans="1:26">
      <c r="A239" s="28">
        <v>30</v>
      </c>
      <c r="B239" s="17">
        <f t="shared" si="14"/>
        <v>46233</v>
      </c>
      <c r="C239" s="26">
        <f>I239+J239+K239+L239+M239+N239+O239+IF(P239="",0,P239*サマリー!$B$9)+IF(Q239="",0,IF(Q239=200,サマリー!$B$10,IF(Q239=100,サマリー!$B$11,0)))+IF(R239="",0,R239*サマリー!$B$12)</f>
        <v>25000</v>
      </c>
      <c r="D239" s="26">
        <f>S239+T239+U239+V239+W239+IF(X239="",0,X239*サマリー!$B$9)+IF(Y239="",0,IF(Y239=200,サマリー!$B$10,IF(Y239=100,サマリー!$B$11,0)))+IF(Z239="",0,Z239*サマリー!$B$12)</f>
        <v>0</v>
      </c>
      <c r="E239" s="26">
        <f t="shared" si="13"/>
        <v>25000</v>
      </c>
      <c r="I239" s="29"/>
      <c r="J239" s="29"/>
      <c r="K239" s="29"/>
      <c r="L239" s="29"/>
      <c r="M239" s="29"/>
      <c r="N239" s="29"/>
      <c r="O239" s="29"/>
      <c r="P239" s="30">
        <v>1</v>
      </c>
      <c r="Q239" s="30"/>
      <c r="R239" s="30"/>
      <c r="S239" s="31"/>
      <c r="T239" s="31"/>
      <c r="U239" s="31"/>
      <c r="V239" s="31"/>
      <c r="W239" s="31"/>
      <c r="X239" s="32"/>
      <c r="Y239" s="32"/>
      <c r="Z239" s="32"/>
    </row>
    <row r="240" spans="1:26">
      <c r="A240" s="28">
        <v>30</v>
      </c>
      <c r="B240" s="17">
        <f t="shared" si="14"/>
        <v>46233</v>
      </c>
      <c r="C240" s="26">
        <f>I240+J240+K240+L240+M240+N240+O240+IF(P240="",0,P240*サマリー!$B$9)+IF(Q240="",0,IF(Q240=200,サマリー!$B$10,IF(Q240=100,サマリー!$B$11,0)))+IF(R240="",0,R240*サマリー!$B$12)</f>
        <v>42317</v>
      </c>
      <c r="D240" s="26">
        <f>S240+T240+U240+V240+W240+IF(X240="",0,X240*サマリー!$B$9)+IF(Y240="",0,IF(Y240=200,サマリー!$B$10,IF(Y240=100,サマリー!$B$11,0)))+IF(Z240="",0,Z240*サマリー!$B$12)</f>
        <v>0</v>
      </c>
      <c r="E240" s="26">
        <f t="shared" si="13"/>
        <v>42317</v>
      </c>
      <c r="I240" s="29"/>
      <c r="J240" s="29"/>
      <c r="K240" s="29"/>
      <c r="L240" s="29"/>
      <c r="M240" s="29">
        <v>35076</v>
      </c>
      <c r="N240" s="29"/>
      <c r="O240" s="29"/>
      <c r="P240" s="30"/>
      <c r="Q240" s="30">
        <v>200</v>
      </c>
      <c r="R240" s="30"/>
      <c r="S240" s="31"/>
      <c r="T240" s="31"/>
      <c r="U240" s="31"/>
      <c r="V240" s="31"/>
      <c r="W240" s="31"/>
      <c r="X240" s="32"/>
      <c r="Y240" s="32"/>
      <c r="Z240" s="32"/>
    </row>
    <row r="241" spans="1:26">
      <c r="A241" s="28">
        <v>31</v>
      </c>
      <c r="B241" s="17">
        <f t="shared" si="14"/>
        <v>46234</v>
      </c>
      <c r="C241" s="26">
        <f>I241+J241+K241+L241+M241+N241+O241+IF(P241="",0,P241*サマリー!$B$9)+IF(Q241="",0,IF(Q241=200,サマリー!$B$10,IF(Q241=100,サマリー!$B$11,0)))+IF(R241="",0,R241*サマリー!$B$12)</f>
        <v>31150</v>
      </c>
      <c r="D241" s="26">
        <f>S241+T241+U241+V241+W241+IF(X241="",0,X241*サマリー!$B$9)+IF(Y241="",0,IF(Y241=200,サマリー!$B$10,IF(Y241=100,サマリー!$B$11,0)))+IF(Z241="",0,Z241*サマリー!$B$12)</f>
        <v>11900</v>
      </c>
      <c r="E241" s="26">
        <f t="shared" si="13"/>
        <v>43050</v>
      </c>
      <c r="I241" s="29"/>
      <c r="J241" s="29"/>
      <c r="K241" s="29"/>
      <c r="L241" s="29"/>
      <c r="M241" s="29"/>
      <c r="N241" s="29">
        <v>31150</v>
      </c>
      <c r="O241" s="29"/>
      <c r="P241" s="30"/>
      <c r="Q241" s="30"/>
      <c r="R241" s="30"/>
      <c r="S241" s="31"/>
      <c r="T241" s="31"/>
      <c r="U241" s="31"/>
      <c r="V241" s="31">
        <v>11900</v>
      </c>
      <c r="W241" s="31"/>
      <c r="X241" s="32"/>
      <c r="Y241" s="32"/>
      <c r="Z241" s="32"/>
    </row>
    <row r="242" spans="1:26">
      <c r="A242" s="28">
        <v>31</v>
      </c>
      <c r="B242" s="17">
        <f t="shared" si="14"/>
        <v>46234</v>
      </c>
      <c r="C242" s="26">
        <f>I242+J242+K242+L242+M242+N242+O242+IF(P242="",0,P242*サマリー!$B$9)+IF(Q242="",0,IF(Q242=200,サマリー!$B$10,IF(Q242=100,サマリー!$B$11,0)))+IF(R242="",0,R242*サマリー!$B$12)</f>
        <v>33355</v>
      </c>
      <c r="D242" s="26">
        <f>S242+T242+U242+V242+W242+IF(X242="",0,X242*サマリー!$B$9)+IF(Y242="",0,IF(Y242=200,サマリー!$B$10,IF(Y242=100,サマリー!$B$11,0)))+IF(Z242="",0,Z242*サマリー!$B$12)</f>
        <v>7500</v>
      </c>
      <c r="E242" s="26">
        <f t="shared" si="13"/>
        <v>40855</v>
      </c>
      <c r="I242" s="29"/>
      <c r="J242" s="29"/>
      <c r="K242" s="29"/>
      <c r="L242" s="29">
        <v>33355</v>
      </c>
      <c r="M242" s="29"/>
      <c r="N242" s="29"/>
      <c r="O242" s="29"/>
      <c r="P242" s="30"/>
      <c r="Q242" s="30"/>
      <c r="R242" s="30"/>
      <c r="S242" s="31"/>
      <c r="T242" s="31"/>
      <c r="U242" s="31"/>
      <c r="V242" s="31">
        <v>7500</v>
      </c>
      <c r="W242" s="31"/>
      <c r="X242" s="32"/>
      <c r="Y242" s="32"/>
      <c r="Z242" s="32"/>
    </row>
    <row r="243" spans="1:26">
      <c r="A243" s="28">
        <v>1</v>
      </c>
      <c r="B243" s="17">
        <f t="shared" si="14"/>
        <v>46235</v>
      </c>
      <c r="C243" s="26">
        <f>I243+J243+K243+L243+M243+N243+O243+IF(P243="",0,P243*サマリー!$B$9)+IF(Q243="",0,IF(Q243=200,サマリー!$B$10,IF(Q243=100,サマリー!$B$11,0)))+IF(R243="",0,R243*サマリー!$B$12)</f>
        <v>18920</v>
      </c>
      <c r="D243" s="26">
        <f>S243+T243+U243+V243+W243+IF(X243="",0,X243*サマリー!$B$9)+IF(Y243="",0,IF(Y243=200,サマリー!$B$10,IF(Y243=100,サマリー!$B$11,0)))+IF(Z243="",0,Z243*サマリー!$B$12)</f>
        <v>0</v>
      </c>
      <c r="E243" s="26">
        <f t="shared" si="13"/>
        <v>18920</v>
      </c>
      <c r="I243" s="29">
        <v>18920</v>
      </c>
      <c r="J243" s="29"/>
      <c r="K243" s="29"/>
      <c r="L243" s="29"/>
      <c r="M243" s="29"/>
      <c r="N243" s="29"/>
      <c r="O243" s="29"/>
      <c r="P243" s="30"/>
      <c r="Q243" s="30"/>
      <c r="R243" s="30"/>
      <c r="S243" s="31"/>
      <c r="T243" s="31"/>
      <c r="U243" s="31"/>
      <c r="V243" s="31"/>
      <c r="W243" s="31"/>
      <c r="X243" s="32"/>
      <c r="Y243" s="32"/>
      <c r="Z243" s="32"/>
    </row>
    <row r="244" spans="1:26">
      <c r="A244" s="28">
        <v>1</v>
      </c>
      <c r="B244" s="17">
        <f t="shared" si="14"/>
        <v>46235</v>
      </c>
      <c r="C244" s="26">
        <f>I244+J244+K244+L244+M244+N244+O244+IF(P244="",0,P244*サマリー!$B$9)+IF(Q244="",0,IF(Q244=200,サマリー!$B$10,IF(Q244=100,サマリー!$B$11,0)))+IF(R244="",0,R244*サマリー!$B$12)</f>
        <v>89679</v>
      </c>
      <c r="D244" s="26">
        <f>S244+T244+U244+V244+W244+IF(X244="",0,X244*サマリー!$B$9)+IF(Y244="",0,IF(Y244=200,サマリー!$B$10,IF(Y244=100,サマリー!$B$11,0)))+IF(Z244="",0,Z244*サマリー!$B$12)</f>
        <v>0</v>
      </c>
      <c r="E244" s="26">
        <f t="shared" si="13"/>
        <v>89679</v>
      </c>
      <c r="I244" s="29">
        <v>82438</v>
      </c>
      <c r="J244" s="29"/>
      <c r="K244" s="29"/>
      <c r="L244" s="29"/>
      <c r="M244" s="29"/>
      <c r="N244" s="29"/>
      <c r="O244" s="29"/>
      <c r="P244" s="30"/>
      <c r="Q244" s="30">
        <v>200</v>
      </c>
      <c r="R244" s="30"/>
      <c r="S244" s="31"/>
      <c r="T244" s="31"/>
      <c r="U244" s="31"/>
      <c r="V244" s="31"/>
      <c r="W244" s="31"/>
      <c r="X244" s="32"/>
      <c r="Y244" s="32"/>
      <c r="Z244" s="32"/>
    </row>
    <row r="245" spans="1:26">
      <c r="A245" s="28">
        <v>1</v>
      </c>
      <c r="B245" s="17">
        <f t="shared" si="14"/>
        <v>46235</v>
      </c>
      <c r="C245" s="26">
        <f>I245+J245+K245+L245+M245+N245+O245+IF(P245="",0,P245*サマリー!$B$9)+IF(Q245="",0,IF(Q245=200,サマリー!$B$10,IF(Q245=100,サマリー!$B$11,0)))+IF(R245="",0,R245*サマリー!$B$12)</f>
        <v>9900</v>
      </c>
      <c r="D245" s="26">
        <f>S245+T245+U245+V245+W245+IF(X245="",0,X245*サマリー!$B$9)+IF(Y245="",0,IF(Y245=200,サマリー!$B$10,IF(Y245=100,サマリー!$B$11,0)))+IF(Z245="",0,Z245*サマリー!$B$12)</f>
        <v>0</v>
      </c>
      <c r="E245" s="26">
        <f t="shared" si="13"/>
        <v>9900</v>
      </c>
      <c r="I245" s="29"/>
      <c r="J245" s="29"/>
      <c r="K245" s="29"/>
      <c r="L245" s="29"/>
      <c r="M245" s="29"/>
      <c r="N245" s="29">
        <v>9900</v>
      </c>
      <c r="O245" s="29"/>
      <c r="P245" s="30"/>
      <c r="Q245" s="30"/>
      <c r="R245" s="30"/>
      <c r="S245" s="31"/>
      <c r="T245" s="31"/>
      <c r="U245" s="31"/>
      <c r="V245" s="31"/>
      <c r="W245" s="31"/>
      <c r="X245" s="32"/>
      <c r="Y245" s="32"/>
      <c r="Z245" s="32"/>
    </row>
    <row r="246" spans="1:26">
      <c r="A246" s="28">
        <v>2</v>
      </c>
      <c r="B246" s="17">
        <f t="shared" si="14"/>
        <v>46236</v>
      </c>
      <c r="C246" s="26">
        <f>I246+J246+K246+L246+M246+N246+O246+IF(P246="",0,P246*サマリー!$B$9)+IF(Q246="",0,IF(Q246=200,サマリー!$B$10,IF(Q246=100,サマリー!$B$11,0)))+IF(R246="",0,R246*サマリー!$B$12)</f>
        <v>49479</v>
      </c>
      <c r="D246" s="26">
        <f>S246+T246+U246+V246+W246+IF(X246="",0,X246*サマリー!$B$9)+IF(Y246="",0,IF(Y246=200,サマリー!$B$10,IF(Y246=100,サマリー!$B$11,0)))+IF(Z246="",0,Z246*サマリー!$B$12)</f>
        <v>19560</v>
      </c>
      <c r="E246" s="26">
        <f t="shared" si="13"/>
        <v>69039</v>
      </c>
      <c r="I246" s="29">
        <v>42238</v>
      </c>
      <c r="J246" s="29"/>
      <c r="K246" s="29"/>
      <c r="L246" s="29"/>
      <c r="M246" s="29"/>
      <c r="N246" s="29"/>
      <c r="O246" s="29"/>
      <c r="P246" s="30"/>
      <c r="Q246" s="30">
        <v>200</v>
      </c>
      <c r="R246" s="30"/>
      <c r="S246" s="31">
        <v>12319</v>
      </c>
      <c r="T246" s="31"/>
      <c r="U246" s="31"/>
      <c r="V246" s="31"/>
      <c r="W246" s="31"/>
      <c r="X246" s="32"/>
      <c r="Y246" s="32">
        <v>200</v>
      </c>
      <c r="Z246" s="32"/>
    </row>
    <row r="247" spans="1:26">
      <c r="A247" s="28">
        <v>2</v>
      </c>
      <c r="B247" s="17">
        <f t="shared" si="14"/>
        <v>46236</v>
      </c>
      <c r="C247" s="26">
        <f>I247+J247+K247+L247+M247+N247+O247+IF(P247="",0,P247*サマリー!$B$9)+IF(Q247="",0,IF(Q247=200,サマリー!$B$10,IF(Q247=100,サマリー!$B$11,0)))+IF(R247="",0,R247*サマリー!$B$12)</f>
        <v>0</v>
      </c>
      <c r="D247" s="26">
        <f>S247+T247+U247+V247+W247+IF(X247="",0,X247*サマリー!$B$9)+IF(Y247="",0,IF(Y247=200,サマリー!$B$10,IF(Y247=100,サマリー!$B$11,0)))+IF(Z247="",0,Z247*サマリー!$B$12)</f>
        <v>44979</v>
      </c>
      <c r="E247" s="26">
        <f t="shared" si="13"/>
        <v>44979</v>
      </c>
      <c r="I247" s="29"/>
      <c r="J247" s="29"/>
      <c r="K247" s="29"/>
      <c r="L247" s="29"/>
      <c r="M247" s="29"/>
      <c r="N247" s="29"/>
      <c r="O247" s="29"/>
      <c r="P247" s="30"/>
      <c r="Q247" s="30"/>
      <c r="R247" s="30"/>
      <c r="S247" s="31">
        <v>28038</v>
      </c>
      <c r="T247" s="31">
        <v>9700</v>
      </c>
      <c r="U247" s="31"/>
      <c r="V247" s="31"/>
      <c r="W247" s="31"/>
      <c r="X247" s="32"/>
      <c r="Y247" s="32">
        <v>200</v>
      </c>
      <c r="Z247" s="32"/>
    </row>
    <row r="248" spans="1:26">
      <c r="A248" s="28">
        <v>2</v>
      </c>
      <c r="B248" s="17">
        <f t="shared" si="14"/>
        <v>46236</v>
      </c>
      <c r="C248" s="26">
        <f>I248+J248+K248+L248+M248+N248+O248+IF(P248="",0,P248*サマリー!$B$9)+IF(Q248="",0,IF(Q248=200,サマリー!$B$10,IF(Q248=100,サマリー!$B$11,0)))+IF(R248="",0,R248*サマリー!$B$12)</f>
        <v>0</v>
      </c>
      <c r="D248" s="26">
        <f>S248+T248+U248+V248+W248+IF(X248="",0,X248*サマリー!$B$9)+IF(Y248="",0,IF(Y248=200,サマリー!$B$10,IF(Y248=100,サマリー!$B$11,0)))+IF(Z248="",0,Z248*サマリー!$B$12)</f>
        <v>3407</v>
      </c>
      <c r="E248" s="26">
        <f t="shared" si="13"/>
        <v>3407</v>
      </c>
      <c r="I248" s="29"/>
      <c r="J248" s="29"/>
      <c r="K248" s="29"/>
      <c r="L248" s="29"/>
      <c r="M248" s="29"/>
      <c r="N248" s="29"/>
      <c r="O248" s="29"/>
      <c r="P248" s="30"/>
      <c r="Q248" s="30"/>
      <c r="R248" s="30"/>
      <c r="S248" s="31"/>
      <c r="T248" s="31">
        <v>2470</v>
      </c>
      <c r="U248" s="31">
        <v>937</v>
      </c>
      <c r="V248" s="31"/>
      <c r="W248" s="31"/>
      <c r="X248" s="32"/>
      <c r="Y248" s="32"/>
      <c r="Z248" s="32"/>
    </row>
    <row r="249" spans="1:26">
      <c r="A249" s="28">
        <v>3</v>
      </c>
      <c r="B249" s="17">
        <f t="shared" si="14"/>
        <v>46237</v>
      </c>
      <c r="C249" s="26">
        <f>I249+J249+K249+L249+M249+N249+O249+IF(P249="",0,P249*サマリー!$B$9)+IF(Q249="",0,IF(Q249=200,サマリー!$B$10,IF(Q249=100,サマリー!$B$11,0)))+IF(R249="",0,R249*サマリー!$B$12)</f>
        <v>0</v>
      </c>
      <c r="D249" s="26">
        <f>S249+T249+U249+V249+W249+IF(X249="",0,X249*サマリー!$B$9)+IF(Y249="",0,IF(Y249=200,サマリー!$B$10,IF(Y249=100,サマリー!$B$11,0)))+IF(Z249="",0,Z249*サマリー!$B$12)</f>
        <v>61241</v>
      </c>
      <c r="E249" s="26">
        <f t="shared" si="13"/>
        <v>61241</v>
      </c>
      <c r="I249" s="29"/>
      <c r="J249" s="29"/>
      <c r="K249" s="29"/>
      <c r="L249" s="29"/>
      <c r="M249" s="29"/>
      <c r="N249" s="29"/>
      <c r="O249" s="29"/>
      <c r="P249" s="30"/>
      <c r="Q249" s="30"/>
      <c r="R249" s="30"/>
      <c r="S249" s="31">
        <v>22650</v>
      </c>
      <c r="T249" s="31"/>
      <c r="U249" s="31">
        <v>8591</v>
      </c>
      <c r="V249" s="31"/>
      <c r="W249" s="31"/>
      <c r="X249" s="32"/>
      <c r="Y249" s="32"/>
      <c r="Z249" s="32">
        <v>1</v>
      </c>
    </row>
    <row r="250" spans="1:26">
      <c r="A250" s="28">
        <v>3</v>
      </c>
      <c r="B250" s="17">
        <f t="shared" si="14"/>
        <v>46237</v>
      </c>
      <c r="C250" s="26">
        <f>I250+J250+K250+L250+M250+N250+O250+IF(P250="",0,P250*サマリー!$B$9)+IF(Q250="",0,IF(Q250=200,サマリー!$B$10,IF(Q250=100,サマリー!$B$11,0)))+IF(R250="",0,R250*サマリー!$B$12)</f>
        <v>0</v>
      </c>
      <c r="D250" s="26">
        <f>S250+T250+U250+V250+W250+IF(X250="",0,X250*サマリー!$B$9)+IF(Y250="",0,IF(Y250=200,サマリー!$B$10,IF(Y250=100,サマリー!$B$11,0)))+IF(Z250="",0,Z250*サマリー!$B$12)</f>
        <v>555</v>
      </c>
      <c r="E250" s="26">
        <f t="shared" si="13"/>
        <v>555</v>
      </c>
      <c r="I250" s="29"/>
      <c r="J250" s="29"/>
      <c r="K250" s="29"/>
      <c r="L250" s="29"/>
      <c r="M250" s="29"/>
      <c r="N250" s="29"/>
      <c r="O250" s="29"/>
      <c r="P250" s="30"/>
      <c r="Q250" s="30"/>
      <c r="R250" s="30"/>
      <c r="S250" s="31">
        <v>555</v>
      </c>
      <c r="T250" s="31"/>
      <c r="U250" s="31"/>
      <c r="V250" s="31"/>
      <c r="W250" s="31"/>
      <c r="X250" s="32"/>
      <c r="Y250" s="32"/>
      <c r="Z250" s="32"/>
    </row>
    <row r="251" spans="1:26">
      <c r="A251" s="28">
        <v>3</v>
      </c>
      <c r="B251" s="17">
        <f t="shared" si="14"/>
        <v>46237</v>
      </c>
      <c r="C251" s="26">
        <f>I251+J251+K251+L251+M251+N251+O251+IF(P251="",0,P251*サマリー!$B$9)+IF(Q251="",0,IF(Q251=200,サマリー!$B$10,IF(Q251=100,サマリー!$B$11,0)))+IF(R251="",0,R251*サマリー!$B$12)</f>
        <v>0</v>
      </c>
      <c r="D251" s="26">
        <f>S251+T251+U251+V251+W251+IF(X251="",0,X251*サマリー!$B$9)+IF(Y251="",0,IF(Y251=200,サマリー!$B$10,IF(Y251=100,サマリー!$B$11,0)))+IF(Z251="",0,Z251*サマリー!$B$12)</f>
        <v>38798</v>
      </c>
      <c r="E251" s="26">
        <f t="shared" si="13"/>
        <v>38798</v>
      </c>
      <c r="I251" s="29"/>
      <c r="J251" s="29"/>
      <c r="K251" s="29"/>
      <c r="L251" s="29"/>
      <c r="M251" s="29"/>
      <c r="N251" s="29"/>
      <c r="O251" s="29"/>
      <c r="P251" s="30"/>
      <c r="Q251" s="30"/>
      <c r="R251" s="30"/>
      <c r="S251" s="31">
        <v>31557</v>
      </c>
      <c r="T251" s="31"/>
      <c r="U251" s="31"/>
      <c r="V251" s="31"/>
      <c r="W251" s="31"/>
      <c r="X251" s="32"/>
      <c r="Y251" s="32">
        <v>200</v>
      </c>
      <c r="Z251" s="32"/>
    </row>
    <row r="252" spans="1:26">
      <c r="A252" s="28">
        <v>4</v>
      </c>
      <c r="B252" s="17">
        <f t="shared" si="14"/>
        <v>46238</v>
      </c>
      <c r="C252" s="26">
        <f>I252+J252+K252+L252+M252+N252+O252+IF(P252="",0,P252*サマリー!$B$9)+IF(Q252="",0,IF(Q252=200,サマリー!$B$10,IF(Q252=100,サマリー!$B$11,0)))+IF(R252="",0,R252*サマリー!$B$12)</f>
        <v>0</v>
      </c>
      <c r="D252" s="26">
        <f>S252+T252+U252+V252+W252+IF(X252="",0,X252*サマリー!$B$9)+IF(Y252="",0,IF(Y252=200,サマリー!$B$10,IF(Y252=100,サマリー!$B$11,0)))+IF(Z252="",0,Z252*サマリー!$B$12)</f>
        <v>18800</v>
      </c>
      <c r="E252" s="26">
        <f t="shared" si="13"/>
        <v>18800</v>
      </c>
      <c r="I252" s="29"/>
      <c r="J252" s="29"/>
      <c r="K252" s="29"/>
      <c r="L252" s="29"/>
      <c r="M252" s="29"/>
      <c r="N252" s="29"/>
      <c r="O252" s="29"/>
      <c r="P252" s="30"/>
      <c r="Q252" s="30"/>
      <c r="R252" s="30"/>
      <c r="S252" s="31">
        <v>18800</v>
      </c>
      <c r="T252" s="31"/>
      <c r="U252" s="31"/>
      <c r="V252" s="31"/>
      <c r="W252" s="31"/>
      <c r="X252" s="32"/>
      <c r="Y252" s="32"/>
      <c r="Z252" s="32"/>
    </row>
    <row r="253" spans="1:26">
      <c r="A253" s="28">
        <v>4</v>
      </c>
      <c r="B253" s="17">
        <f t="shared" si="14"/>
        <v>46238</v>
      </c>
      <c r="C253" s="26">
        <f>I253+J253+K253+L253+M253+N253+O253+IF(P253="",0,P253*サマリー!$B$9)+IF(Q253="",0,IF(Q253=200,サマリー!$B$10,IF(Q253=100,サマリー!$B$11,0)))+IF(R253="",0,R253*サマリー!$B$12)</f>
        <v>0</v>
      </c>
      <c r="D253" s="26">
        <f>S253+T253+U253+V253+W253+IF(X253="",0,X253*サマリー!$B$9)+IF(Y253="",0,IF(Y253=200,サマリー!$B$10,IF(Y253=100,サマリー!$B$11,0)))+IF(Z253="",0,Z253*サマリー!$B$12)</f>
        <v>31760</v>
      </c>
      <c r="E253" s="26">
        <f t="shared" si="13"/>
        <v>31760</v>
      </c>
      <c r="I253" s="29"/>
      <c r="J253" s="29"/>
      <c r="K253" s="29"/>
      <c r="L253" s="29"/>
      <c r="M253" s="29"/>
      <c r="N253" s="29"/>
      <c r="O253" s="29"/>
      <c r="P253" s="30"/>
      <c r="Q253" s="30"/>
      <c r="R253" s="30"/>
      <c r="S253" s="31">
        <v>24519</v>
      </c>
      <c r="T253" s="31"/>
      <c r="U253" s="31"/>
      <c r="V253" s="31"/>
      <c r="W253" s="31"/>
      <c r="X253" s="32"/>
      <c r="Y253" s="32">
        <v>200</v>
      </c>
      <c r="Z253" s="32"/>
    </row>
    <row r="254" spans="1:26">
      <c r="A254" s="28">
        <v>4</v>
      </c>
      <c r="B254" s="17">
        <f t="shared" si="14"/>
        <v>46238</v>
      </c>
      <c r="C254" s="26">
        <f>I254+J254+K254+L254+M254+N254+O254+IF(P254="",0,P254*サマリー!$B$9)+IF(Q254="",0,IF(Q254=200,サマリー!$B$10,IF(Q254=100,サマリー!$B$11,0)))+IF(R254="",0,R254*サマリー!$B$12)</f>
        <v>0</v>
      </c>
      <c r="D254" s="26">
        <f>S254+T254+U254+V254+W254+IF(X254="",0,X254*サマリー!$B$9)+IF(Y254="",0,IF(Y254=200,サマリー!$B$10,IF(Y254=100,サマリー!$B$11,0)))+IF(Z254="",0,Z254*サマリー!$B$12)</f>
        <v>31760</v>
      </c>
      <c r="E254" s="26">
        <f t="shared" si="13"/>
        <v>31760</v>
      </c>
      <c r="I254" s="29"/>
      <c r="J254" s="29"/>
      <c r="K254" s="29"/>
      <c r="L254" s="29"/>
      <c r="M254" s="29"/>
      <c r="N254" s="29"/>
      <c r="O254" s="29"/>
      <c r="P254" s="30"/>
      <c r="Q254" s="30"/>
      <c r="R254" s="30"/>
      <c r="S254" s="31">
        <v>24519</v>
      </c>
      <c r="T254" s="31"/>
      <c r="U254" s="31"/>
      <c r="V254" s="31"/>
      <c r="W254" s="31"/>
      <c r="X254" s="32"/>
      <c r="Y254" s="32">
        <v>200</v>
      </c>
      <c r="Z254" s="32"/>
    </row>
    <row r="255" spans="1:26">
      <c r="A255" s="28">
        <v>5</v>
      </c>
      <c r="B255" s="17">
        <f t="shared" si="14"/>
        <v>46239</v>
      </c>
      <c r="C255" s="26">
        <f>I255+J255+K255+L255+M255+N255+O255+IF(P255="",0,P255*サマリー!$B$9)+IF(Q255="",0,IF(Q255=200,サマリー!$B$10,IF(Q255=100,サマリー!$B$11,0)))+IF(R255="",0,R255*サマリー!$B$12)</f>
        <v>92097</v>
      </c>
      <c r="D255" s="26">
        <f>S255+T255+U255+V255+W255+IF(X255="",0,X255*サマリー!$B$9)+IF(Y255="",0,IF(Y255=200,サマリー!$B$10,IF(Y255=100,サマリー!$B$11,0)))+IF(Z255="",0,Z255*サマリー!$B$12)</f>
        <v>18800</v>
      </c>
      <c r="E255" s="26">
        <f t="shared" si="13"/>
        <v>110897</v>
      </c>
      <c r="I255" s="29"/>
      <c r="J255" s="29">
        <v>45020</v>
      </c>
      <c r="K255" s="29">
        <v>17077</v>
      </c>
      <c r="L255" s="29"/>
      <c r="M255" s="29"/>
      <c r="N255" s="29"/>
      <c r="O255" s="29"/>
      <c r="P255" s="30"/>
      <c r="Q255" s="30"/>
      <c r="R255" s="30">
        <v>1</v>
      </c>
      <c r="S255" s="31"/>
      <c r="T255" s="31"/>
      <c r="U255" s="31"/>
      <c r="V255" s="31">
        <v>18800</v>
      </c>
      <c r="W255" s="31"/>
      <c r="X255" s="32"/>
      <c r="Y255" s="32"/>
      <c r="Z255" s="32"/>
    </row>
    <row r="256" spans="1:26">
      <c r="A256" s="28">
        <v>6</v>
      </c>
      <c r="B256" s="17">
        <f t="shared" si="14"/>
        <v>46240</v>
      </c>
      <c r="C256" s="26">
        <f>I256+J256+K256+L256+M256+N256+O256+IF(P256="",0,P256*サマリー!$B$9)+IF(Q256="",0,IF(Q256=200,サマリー!$B$10,IF(Q256=100,サマリー!$B$11,0)))+IF(R256="",0,R256*サマリー!$B$12)</f>
        <v>25000</v>
      </c>
      <c r="D256" s="26">
        <f>S256+T256+U256+V256+W256+IF(X256="",0,X256*サマリー!$B$9)+IF(Y256="",0,IF(Y256=200,サマリー!$B$10,IF(Y256=100,サマリー!$B$11,0)))+IF(Z256="",0,Z256*サマリー!$B$12)</f>
        <v>25000</v>
      </c>
      <c r="E256" s="26">
        <f t="shared" si="13"/>
        <v>50000</v>
      </c>
      <c r="I256" s="29"/>
      <c r="J256" s="29"/>
      <c r="K256" s="29"/>
      <c r="L256" s="29"/>
      <c r="M256" s="29"/>
      <c r="N256" s="29"/>
      <c r="O256" s="29"/>
      <c r="P256" s="30">
        <v>1</v>
      </c>
      <c r="Q256" s="30"/>
      <c r="R256" s="30"/>
      <c r="S256" s="31"/>
      <c r="T256" s="31"/>
      <c r="U256" s="31"/>
      <c r="V256" s="31"/>
      <c r="W256" s="31"/>
      <c r="X256" s="32">
        <v>1</v>
      </c>
      <c r="Y256" s="32"/>
      <c r="Z256" s="32"/>
    </row>
    <row r="257" spans="1:26">
      <c r="A257" s="28">
        <v>6</v>
      </c>
      <c r="B257" s="17">
        <f t="shared" si="14"/>
        <v>46240</v>
      </c>
      <c r="C257" s="26">
        <f>I257+J257+K257+L257+M257+N257+O257+IF(P257="",0,P257*サマリー!$B$9)+IF(Q257="",0,IF(Q257=200,サマリー!$B$10,IF(Q257=100,サマリー!$B$11,0)))+IF(R257="",0,R257*サマリー!$B$12)</f>
        <v>0</v>
      </c>
      <c r="D257" s="26">
        <f>S257+T257+U257+V257+W257+IF(X257="",0,X257*サマリー!$B$9)+IF(Y257="",0,IF(Y257=200,サマリー!$B$10,IF(Y257=100,サマリー!$B$11,0)))+IF(Z257="",0,Z257*サマリー!$B$12)</f>
        <v>24519</v>
      </c>
      <c r="E257" s="26">
        <f t="shared" si="13"/>
        <v>24519</v>
      </c>
      <c r="I257" s="29"/>
      <c r="J257" s="29"/>
      <c r="K257" s="29"/>
      <c r="L257" s="29"/>
      <c r="M257" s="29"/>
      <c r="N257" s="29"/>
      <c r="O257" s="29"/>
      <c r="P257" s="30"/>
      <c r="Q257" s="30"/>
      <c r="R257" s="30"/>
      <c r="S257" s="31">
        <v>24519</v>
      </c>
      <c r="T257" s="31"/>
      <c r="U257" s="31"/>
      <c r="V257" s="31"/>
      <c r="W257" s="31"/>
      <c r="X257" s="32"/>
      <c r="Y257" s="32"/>
      <c r="Z257" s="32"/>
    </row>
    <row r="258" spans="1:26">
      <c r="A258" s="28">
        <v>6</v>
      </c>
      <c r="B258" s="17">
        <f t="shared" si="14"/>
        <v>46240</v>
      </c>
      <c r="C258" s="26">
        <f>I258+J258+K258+L258+M258+N258+O258+IF(P258="",0,P258*サマリー!$B$9)+IF(Q258="",0,IF(Q258=200,サマリー!$B$10,IF(Q258=100,サマリー!$B$11,0)))+IF(R258="",0,R258*サマリー!$B$12)</f>
        <v>3519</v>
      </c>
      <c r="D258" s="26">
        <f>S258+T258+U258+V258+W258+IF(X258="",0,X258*サマリー!$B$9)+IF(Y258="",0,IF(Y258=200,サマリー!$B$10,IF(Y258=100,サマリー!$B$11,0)))+IF(Z258="",0,Z258*サマリー!$B$12)</f>
        <v>29560</v>
      </c>
      <c r="E258" s="26">
        <f t="shared" si="13"/>
        <v>33079</v>
      </c>
      <c r="I258" s="29"/>
      <c r="J258" s="29">
        <v>3519</v>
      </c>
      <c r="K258" s="29"/>
      <c r="L258" s="29"/>
      <c r="M258" s="29"/>
      <c r="N258" s="29"/>
      <c r="O258" s="29"/>
      <c r="P258" s="30"/>
      <c r="Q258" s="30"/>
      <c r="R258" s="30"/>
      <c r="S258" s="31">
        <v>22319</v>
      </c>
      <c r="T258" s="31"/>
      <c r="U258" s="31"/>
      <c r="V258" s="31"/>
      <c r="W258" s="31"/>
      <c r="X258" s="32"/>
      <c r="Y258" s="32">
        <v>200</v>
      </c>
      <c r="Z258" s="32"/>
    </row>
    <row r="259" spans="1:26">
      <c r="A259" s="28">
        <v>7</v>
      </c>
      <c r="B259" s="17">
        <f t="shared" si="14"/>
        <v>46241</v>
      </c>
      <c r="C259" s="26">
        <f>I259+J259+K259+L259+M259+N259+O259+IF(P259="",0,P259*サマリー!$B$9)+IF(Q259="",0,IF(Q259=200,サマリー!$B$10,IF(Q259=100,サマリー!$B$11,0)))+IF(R259="",0,R259*サマリー!$B$12)</f>
        <v>5855</v>
      </c>
      <c r="D259" s="26">
        <f>S259+T259+U259+V259+W259+IF(X259="",0,X259*サマリー!$B$9)+IF(Y259="",0,IF(Y259=200,サマリー!$B$10,IF(Y259=100,サマリー!$B$11,0)))+IF(Z259="",0,Z259*サマリー!$B$12)</f>
        <v>0</v>
      </c>
      <c r="E259" s="26">
        <f t="shared" si="13"/>
        <v>5855</v>
      </c>
      <c r="I259" s="29"/>
      <c r="J259" s="29">
        <v>5855</v>
      </c>
      <c r="K259" s="29"/>
      <c r="L259" s="29"/>
      <c r="M259" s="29"/>
      <c r="N259" s="29"/>
      <c r="O259" s="29"/>
      <c r="P259" s="30"/>
      <c r="Q259" s="30"/>
      <c r="R259" s="30"/>
      <c r="S259" s="31"/>
      <c r="T259" s="31"/>
      <c r="U259" s="31"/>
      <c r="V259" s="31"/>
      <c r="W259" s="31"/>
      <c r="X259" s="32"/>
      <c r="Y259" s="32"/>
      <c r="Z259" s="32"/>
    </row>
    <row r="260" spans="1:26">
      <c r="A260" s="28">
        <v>7</v>
      </c>
      <c r="B260" s="17">
        <f t="shared" si="14"/>
        <v>46241</v>
      </c>
      <c r="C260" s="26">
        <f>I260+J260+K260+L260+M260+N260+O260+IF(P260="",0,P260*サマリー!$B$9)+IF(Q260="",0,IF(Q260=200,サマリー!$B$10,IF(Q260=100,サマリー!$B$11,0)))+IF(R260="",0,R260*サマリー!$B$12)</f>
        <v>12650</v>
      </c>
      <c r="D260" s="26">
        <f>S260+T260+U260+V260+W260+IF(X260="",0,X260*サマリー!$B$9)+IF(Y260="",0,IF(Y260=200,サマリー!$B$10,IF(Y260=100,サマリー!$B$11,0)))+IF(Z260="",0,Z260*サマリー!$B$12)</f>
        <v>3655</v>
      </c>
      <c r="E260" s="26">
        <f t="shared" si="13"/>
        <v>16305</v>
      </c>
      <c r="I260" s="29"/>
      <c r="J260" s="29"/>
      <c r="K260" s="29"/>
      <c r="L260" s="29"/>
      <c r="M260" s="29">
        <v>12650</v>
      </c>
      <c r="N260" s="29"/>
      <c r="O260" s="29"/>
      <c r="P260" s="30"/>
      <c r="Q260" s="30"/>
      <c r="R260" s="30"/>
      <c r="S260" s="31"/>
      <c r="T260" s="31"/>
      <c r="U260" s="31"/>
      <c r="V260" s="31">
        <v>3655</v>
      </c>
      <c r="W260" s="31"/>
      <c r="X260" s="32"/>
      <c r="Y260" s="32"/>
      <c r="Z260" s="32"/>
    </row>
    <row r="261" spans="1:26">
      <c r="A261" s="28">
        <v>7</v>
      </c>
      <c r="B261" s="17">
        <f t="shared" si="14"/>
        <v>46241</v>
      </c>
      <c r="C261" s="26">
        <f>I261+J261+K261+L261+M261+N261+O261+IF(P261="",0,P261*サマリー!$B$9)+IF(Q261="",0,IF(Q261=200,サマリー!$B$10,IF(Q261=100,サマリー!$B$11,0)))+IF(R261="",0,R261*サマリー!$B$12)</f>
        <v>7241</v>
      </c>
      <c r="D261" s="26">
        <f>S261+T261+U261+V261+W261+IF(X261="",0,X261*サマリー!$B$9)+IF(Y261="",0,IF(Y261=200,サマリー!$B$10,IF(Y261=100,サマリー!$B$11,0)))+IF(Z261="",0,Z261*サマリー!$B$12)</f>
        <v>0</v>
      </c>
      <c r="E261" s="26">
        <f t="shared" si="13"/>
        <v>7241</v>
      </c>
      <c r="I261" s="29"/>
      <c r="J261" s="29"/>
      <c r="K261" s="29"/>
      <c r="L261" s="29"/>
      <c r="M261" s="29"/>
      <c r="N261" s="29"/>
      <c r="O261" s="29"/>
      <c r="P261" s="30"/>
      <c r="Q261" s="30">
        <v>200</v>
      </c>
      <c r="R261" s="30"/>
      <c r="S261" s="31"/>
      <c r="T261" s="31"/>
      <c r="U261" s="31"/>
      <c r="V261" s="31"/>
      <c r="W261" s="31"/>
      <c r="X261" s="32"/>
      <c r="Y261" s="32"/>
      <c r="Z261" s="32"/>
    </row>
    <row r="262" spans="1:26">
      <c r="A262" s="28">
        <v>8</v>
      </c>
      <c r="B262" s="17">
        <f t="shared" si="14"/>
        <v>46242</v>
      </c>
      <c r="C262" s="26">
        <f>I262+J262+K262+L262+M262+N262+O262+IF(P262="",0,P262*サマリー!$B$9)+IF(Q262="",0,IF(Q262=200,サマリー!$B$10,IF(Q262=100,サマリー!$B$11,0)))+IF(R262="",0,R262*サマリー!$B$12)</f>
        <v>0</v>
      </c>
      <c r="D262" s="26">
        <f>S262+T262+U262+V262+W262+IF(X262="",0,X262*サマリー!$B$9)+IF(Y262="",0,IF(Y262=200,サマリー!$B$10,IF(Y262=100,サマリー!$B$11,0)))+IF(Z262="",0,Z262*サマリー!$B$12)</f>
        <v>31760</v>
      </c>
      <c r="E262" s="26">
        <f t="shared" si="13"/>
        <v>31760</v>
      </c>
      <c r="I262" s="29"/>
      <c r="J262" s="29"/>
      <c r="K262" s="29"/>
      <c r="L262" s="29"/>
      <c r="M262" s="29"/>
      <c r="N262" s="29"/>
      <c r="O262" s="29"/>
      <c r="P262" s="30"/>
      <c r="Q262" s="30"/>
      <c r="R262" s="30"/>
      <c r="S262" s="31">
        <v>24519</v>
      </c>
      <c r="T262" s="31"/>
      <c r="U262" s="31"/>
      <c r="V262" s="31"/>
      <c r="W262" s="31"/>
      <c r="X262" s="32"/>
      <c r="Y262" s="32">
        <v>200</v>
      </c>
      <c r="Z262" s="32"/>
    </row>
    <row r="263" spans="1:26">
      <c r="A263" s="28">
        <v>8</v>
      </c>
      <c r="B263" s="17">
        <f t="shared" si="14"/>
        <v>46242</v>
      </c>
      <c r="C263" s="26">
        <f>I263+J263+K263+L263+M263+N263+O263+IF(P263="",0,P263*サマリー!$B$9)+IF(Q263="",0,IF(Q263=200,サマリー!$B$10,IF(Q263=100,サマリー!$B$11,0)))+IF(R263="",0,R263*サマリー!$B$12)</f>
        <v>1655</v>
      </c>
      <c r="D263" s="26">
        <f>S263+T263+U263+V263+W263+IF(X263="",0,X263*サマリー!$B$9)+IF(Y263="",0,IF(Y263=200,サマリー!$B$10,IF(Y263=100,サマリー!$B$11,0)))+IF(Z263="",0,Z263*サマリー!$B$12)</f>
        <v>0</v>
      </c>
      <c r="E263" s="26">
        <f t="shared" si="13"/>
        <v>1655</v>
      </c>
      <c r="I263" s="29"/>
      <c r="J263" s="29">
        <v>1655</v>
      </c>
      <c r="K263" s="29"/>
      <c r="L263" s="29"/>
      <c r="M263" s="29"/>
      <c r="N263" s="29"/>
      <c r="O263" s="29"/>
      <c r="P263" s="30"/>
      <c r="Q263" s="30"/>
      <c r="R263" s="30"/>
      <c r="S263" s="31"/>
      <c r="T263" s="31"/>
      <c r="U263" s="31"/>
      <c r="V263" s="31"/>
      <c r="W263" s="31"/>
      <c r="X263" s="32"/>
      <c r="Y263" s="32"/>
      <c r="Z263" s="32"/>
    </row>
    <row r="264" spans="1:26">
      <c r="A264" s="28">
        <v>8</v>
      </c>
      <c r="B264" s="17">
        <f t="shared" si="14"/>
        <v>46242</v>
      </c>
      <c r="C264" s="26">
        <f>I264+J264+K264+L264+M264+N264+O264+IF(P264="",0,P264*サマリー!$B$9)+IF(Q264="",0,IF(Q264=200,サマリー!$B$10,IF(Q264=100,サマリー!$B$11,0)))+IF(R264="",0,R264*サマリー!$B$12)</f>
        <v>555</v>
      </c>
      <c r="D264" s="26">
        <f>S264+T264+U264+V264+W264+IF(X264="",0,X264*サマリー!$B$9)+IF(Y264="",0,IF(Y264=200,サマリー!$B$10,IF(Y264=100,サマリー!$B$11,0)))+IF(Z264="",0,Z264*サマリー!$B$12)</f>
        <v>0</v>
      </c>
      <c r="E264" s="26">
        <f t="shared" si="13"/>
        <v>555</v>
      </c>
      <c r="I264" s="29"/>
      <c r="J264" s="29">
        <v>555</v>
      </c>
      <c r="K264" s="29"/>
      <c r="L264" s="29"/>
      <c r="M264" s="29"/>
      <c r="N264" s="29"/>
      <c r="O264" s="29"/>
      <c r="P264" s="30"/>
      <c r="Q264" s="30"/>
      <c r="R264" s="30"/>
      <c r="S264" s="31"/>
      <c r="T264" s="31"/>
      <c r="U264" s="31"/>
      <c r="V264" s="31"/>
      <c r="W264" s="31"/>
      <c r="X264" s="32"/>
      <c r="Y264" s="32"/>
      <c r="Z264" s="32"/>
    </row>
    <row r="265" spans="1:26">
      <c r="A265" s="28">
        <v>9</v>
      </c>
      <c r="B265" s="17">
        <f t="shared" si="14"/>
        <v>46243</v>
      </c>
      <c r="C265" s="26">
        <f>I265+J265+K265+L265+M265+N265+O265+IF(P265="",0,P265*サマリー!$B$9)+IF(Q265="",0,IF(Q265=200,サマリー!$B$10,IF(Q265=100,サマリー!$B$11,0)))+IF(R265="",0,R265*サマリー!$B$12)</f>
        <v>4838</v>
      </c>
      <c r="D265" s="26">
        <f>S265+T265+U265+V265+W265+IF(X265="",0,X265*サマリー!$B$9)+IF(Y265="",0,IF(Y265=200,サマリー!$B$10,IF(Y265=100,サマリー!$B$11,0)))+IF(Z265="",0,Z265*サマリー!$B$12)</f>
        <v>0</v>
      </c>
      <c r="E265" s="26">
        <f t="shared" si="13"/>
        <v>4838</v>
      </c>
      <c r="I265" s="29"/>
      <c r="J265" s="29">
        <v>4838</v>
      </c>
      <c r="K265" s="29"/>
      <c r="L265" s="29"/>
      <c r="M265" s="29"/>
      <c r="N265" s="29"/>
      <c r="O265" s="29"/>
      <c r="P265" s="30"/>
      <c r="Q265" s="30"/>
      <c r="R265" s="30"/>
      <c r="S265" s="31"/>
      <c r="T265" s="31"/>
      <c r="U265" s="31"/>
      <c r="V265" s="31"/>
      <c r="W265" s="31"/>
      <c r="X265" s="32"/>
      <c r="Y265" s="32"/>
      <c r="Z265" s="32"/>
    </row>
    <row r="266" spans="1:26">
      <c r="A266" s="28">
        <v>9</v>
      </c>
      <c r="B266" s="17">
        <f t="shared" si="14"/>
        <v>46243</v>
      </c>
      <c r="C266" s="26">
        <f>I266+J266+K266+L266+M266+N266+O266+IF(P266="",0,P266*サマリー!$B$9)+IF(Q266="",0,IF(Q266=200,サマリー!$B$10,IF(Q266=100,サマリー!$B$11,0)))+IF(R266="",0,R266*サマリー!$B$12)</f>
        <v>7241</v>
      </c>
      <c r="D266" s="26">
        <f>S266+T266+U266+V266+W266+IF(X266="",0,X266*サマリー!$B$9)+IF(Y266="",0,IF(Y266=200,サマリー!$B$10,IF(Y266=100,サマリー!$B$11,0)))+IF(Z266="",0,Z266*サマリー!$B$12)</f>
        <v>0</v>
      </c>
      <c r="E266" s="26">
        <f t="shared" si="13"/>
        <v>7241</v>
      </c>
      <c r="I266" s="29"/>
      <c r="J266" s="29"/>
      <c r="K266" s="29"/>
      <c r="L266" s="29"/>
      <c r="M266" s="29"/>
      <c r="N266" s="29"/>
      <c r="O266" s="29"/>
      <c r="P266" s="30"/>
      <c r="Q266" s="30">
        <v>200</v>
      </c>
      <c r="R266" s="30"/>
      <c r="S266" s="31"/>
      <c r="T266" s="31"/>
      <c r="U266" s="31"/>
      <c r="V266" s="31"/>
      <c r="W266" s="31"/>
      <c r="X266" s="32"/>
      <c r="Y266" s="32"/>
      <c r="Z266" s="32"/>
    </row>
    <row r="267" spans="1:26">
      <c r="A267" s="28">
        <v>9</v>
      </c>
      <c r="B267" s="17">
        <f t="shared" si="14"/>
        <v>46243</v>
      </c>
      <c r="C267" s="26">
        <f>I267+J267+K267+L267+M267+N267+O267+IF(P267="",0,P267*サマリー!$B$9)+IF(Q267="",0,IF(Q267=200,サマリー!$B$10,IF(Q267=100,サマリー!$B$11,0)))+IF(R267="",0,R267*サマリー!$B$12)</f>
        <v>50079</v>
      </c>
      <c r="D267" s="26">
        <f>S267+T267+U267+V267+W267+IF(X267="",0,X267*サマリー!$B$9)+IF(Y267="",0,IF(Y267=200,サマリー!$B$10,IF(Y267=100,サマリー!$B$11,0)))+IF(Z267="",0,Z267*サマリー!$B$12)</f>
        <v>0</v>
      </c>
      <c r="E267" s="26">
        <f t="shared" si="13"/>
        <v>50079</v>
      </c>
      <c r="I267" s="29">
        <v>42838</v>
      </c>
      <c r="J267" s="29"/>
      <c r="K267" s="29"/>
      <c r="L267" s="29"/>
      <c r="M267" s="29"/>
      <c r="N267" s="29"/>
      <c r="O267" s="29"/>
      <c r="P267" s="30"/>
      <c r="Q267" s="30">
        <v>200</v>
      </c>
      <c r="R267" s="30"/>
      <c r="S267" s="31"/>
      <c r="T267" s="31"/>
      <c r="U267" s="31"/>
      <c r="V267" s="31"/>
      <c r="W267" s="31"/>
      <c r="X267" s="32"/>
      <c r="Y267" s="32"/>
      <c r="Z267" s="32"/>
    </row>
    <row r="268" spans="1:26">
      <c r="A268" s="28">
        <v>9</v>
      </c>
      <c r="B268" s="17">
        <f t="shared" si="14"/>
        <v>46243</v>
      </c>
      <c r="C268" s="26">
        <f>I268+J268+K268+L268+M268+N268+O268+IF(P268="",0,P268*サマリー!$B$9)+IF(Q268="",0,IF(Q268=200,サマリー!$B$10,IF(Q268=100,サマリー!$B$11,0)))+IF(R268="",0,R268*サマリー!$B$12)</f>
        <v>14500</v>
      </c>
      <c r="D268" s="26">
        <f>S268+T268+U268+V268+W268+IF(X268="",0,X268*サマリー!$B$9)+IF(Y268="",0,IF(Y268=200,サマリー!$B$10,IF(Y268=100,サマリー!$B$11,0)))+IF(Z268="",0,Z268*サマリー!$B$12)</f>
        <v>0</v>
      </c>
      <c r="E268" s="26">
        <f t="shared" si="13"/>
        <v>14500</v>
      </c>
      <c r="I268" s="29"/>
      <c r="J268" s="29">
        <v>14500</v>
      </c>
      <c r="K268" s="29"/>
      <c r="L268" s="29"/>
      <c r="M268" s="29"/>
      <c r="N268" s="29"/>
      <c r="O268" s="29"/>
      <c r="P268" s="30"/>
      <c r="Q268" s="30"/>
      <c r="R268" s="30"/>
      <c r="S268" s="31"/>
      <c r="T268" s="31"/>
      <c r="U268" s="31"/>
      <c r="V268" s="31"/>
      <c r="W268" s="31"/>
      <c r="X268" s="32"/>
      <c r="Y268" s="32"/>
      <c r="Z268" s="32"/>
    </row>
    <row r="269" spans="1:26">
      <c r="A269" s="28">
        <v>10</v>
      </c>
      <c r="B269" s="17">
        <f t="shared" si="14"/>
        <v>46244</v>
      </c>
      <c r="C269" s="26">
        <f>I269+J269+K269+L269+M269+N269+O269+IF(P269="",0,P269*サマリー!$B$9)+IF(Q269="",0,IF(Q269=200,サマリー!$B$10,IF(Q269=100,サマリー!$B$11,0)))+IF(R269="",0,R269*サマリー!$B$12)</f>
        <v>0</v>
      </c>
      <c r="D269" s="26">
        <f>S269+T269+U269+V269+W269+IF(X269="",0,X269*サマリー!$B$9)+IF(Y269="",0,IF(Y269=200,サマリー!$B$10,IF(Y269=100,サマリー!$B$11,0)))+IF(Z269="",0,Z269*サマリー!$B$12)</f>
        <v>40679</v>
      </c>
      <c r="E269" s="26">
        <f t="shared" si="13"/>
        <v>40679</v>
      </c>
      <c r="I269" s="29"/>
      <c r="J269" s="29"/>
      <c r="K269" s="29"/>
      <c r="L269" s="29"/>
      <c r="M269" s="29"/>
      <c r="N269" s="29"/>
      <c r="O269" s="29"/>
      <c r="P269" s="30"/>
      <c r="Q269" s="30"/>
      <c r="R269" s="30"/>
      <c r="S269" s="31">
        <v>33438</v>
      </c>
      <c r="T269" s="31"/>
      <c r="U269" s="31"/>
      <c r="V269" s="31"/>
      <c r="W269" s="31"/>
      <c r="X269" s="32"/>
      <c r="Y269" s="32">
        <v>200</v>
      </c>
      <c r="Z269" s="32"/>
    </row>
    <row r="270" spans="1:26">
      <c r="A270" s="28">
        <v>10</v>
      </c>
      <c r="B270" s="17">
        <f t="shared" si="14"/>
        <v>46244</v>
      </c>
      <c r="C270" s="26">
        <f>I270+J270+K270+L270+M270+N270+O270+IF(P270="",0,P270*サマリー!$B$9)+IF(Q270="",0,IF(Q270=200,サマリー!$B$10,IF(Q270=100,サマリー!$B$11,0)))+IF(R270="",0,R270*サマリー!$B$12)</f>
        <v>0</v>
      </c>
      <c r="D270" s="26">
        <f>S270+T270+U270+V270+W270+IF(X270="",0,X270*サマリー!$B$9)+IF(Y270="",0,IF(Y270=200,サマリー!$B$10,IF(Y270=100,サマリー!$B$11,0)))+IF(Z270="",0,Z270*サマリー!$B$12)</f>
        <v>7700</v>
      </c>
      <c r="E270" s="26">
        <f t="shared" si="13"/>
        <v>7700</v>
      </c>
      <c r="I270" s="29"/>
      <c r="J270" s="29"/>
      <c r="K270" s="29"/>
      <c r="L270" s="29"/>
      <c r="M270" s="29"/>
      <c r="N270" s="29"/>
      <c r="O270" s="29"/>
      <c r="P270" s="30"/>
      <c r="Q270" s="30"/>
      <c r="R270" s="30"/>
      <c r="S270" s="31"/>
      <c r="T270" s="31">
        <v>7700</v>
      </c>
      <c r="U270" s="31"/>
      <c r="V270" s="31"/>
      <c r="W270" s="31"/>
      <c r="X270" s="32"/>
      <c r="Y270" s="32"/>
      <c r="Z270" s="32"/>
    </row>
    <row r="271" spans="1:26">
      <c r="A271" s="28">
        <v>11</v>
      </c>
      <c r="B271" s="17">
        <f t="shared" si="14"/>
        <v>46245</v>
      </c>
      <c r="C271" s="26">
        <f>I271+J271+K271+L271+M271+N271+O271+IF(P271="",0,P271*サマリー!$B$9)+IF(Q271="",0,IF(Q271=200,サマリー!$B$10,IF(Q271=100,サマリー!$B$11,0)))+IF(R271="",0,R271*サマリー!$B$12)</f>
        <v>6400</v>
      </c>
      <c r="D271" s="26">
        <f>S271+T271+U271+V271+W271+IF(X271="",0,X271*サマリー!$B$9)+IF(Y271="",0,IF(Y271=200,サマリー!$B$10,IF(Y271=100,サマリー!$B$11,0)))+IF(Z271="",0,Z271*サマリー!$B$12)</f>
        <v>0</v>
      </c>
      <c r="E271" s="26">
        <f t="shared" si="13"/>
        <v>6400</v>
      </c>
      <c r="I271" s="29"/>
      <c r="J271" s="29">
        <v>6400</v>
      </c>
      <c r="K271" s="29"/>
      <c r="L271" s="29"/>
      <c r="M271" s="29"/>
      <c r="N271" s="29"/>
      <c r="O271" s="29"/>
      <c r="P271" s="30"/>
      <c r="Q271" s="30"/>
      <c r="R271" s="30"/>
      <c r="S271" s="31"/>
      <c r="T271" s="31"/>
      <c r="U271" s="31"/>
      <c r="V271" s="31"/>
      <c r="W271" s="31"/>
      <c r="X271" s="32"/>
      <c r="Y271" s="32"/>
      <c r="Z271" s="32"/>
    </row>
    <row r="272" spans="1:26">
      <c r="A272" s="28">
        <v>11</v>
      </c>
      <c r="B272" s="17">
        <f t="shared" si="14"/>
        <v>46245</v>
      </c>
      <c r="C272" s="26">
        <f>I272+J272+K272+L272+M272+N272+O272+IF(P272="",0,P272*サマリー!$B$9)+IF(Q272="",0,IF(Q272=200,サマリー!$B$10,IF(Q272=100,サマリー!$B$11,0)))+IF(R272="",0,R272*サマリー!$B$12)</f>
        <v>35550</v>
      </c>
      <c r="D272" s="26">
        <f>S272+T272+U272+V272+W272+IF(X272="",0,X272*サマリー!$B$9)+IF(Y272="",0,IF(Y272=200,サマリー!$B$10,IF(Y272=100,サマリー!$B$11,0)))+IF(Z272="",0,Z272*サマリー!$B$12)</f>
        <v>0</v>
      </c>
      <c r="E272" s="26">
        <f t="shared" si="13"/>
        <v>35550</v>
      </c>
      <c r="I272" s="29"/>
      <c r="J272" s="29">
        <v>35550</v>
      </c>
      <c r="K272" s="29"/>
      <c r="L272" s="29"/>
      <c r="M272" s="29"/>
      <c r="N272" s="29"/>
      <c r="O272" s="29"/>
      <c r="P272" s="30"/>
      <c r="Q272" s="30"/>
      <c r="R272" s="30"/>
      <c r="S272" s="31"/>
      <c r="T272" s="31"/>
      <c r="U272" s="31"/>
      <c r="V272" s="31"/>
      <c r="W272" s="31"/>
      <c r="X272" s="32"/>
      <c r="Y272" s="32"/>
      <c r="Z272" s="32"/>
    </row>
    <row r="273" spans="1:26">
      <c r="A273" s="28">
        <v>12</v>
      </c>
      <c r="B273" s="17">
        <f t="shared" si="14"/>
        <v>46246</v>
      </c>
      <c r="C273" s="26">
        <f>I273+J273+K273+L273+M273+N273+O273+IF(P273="",0,P273*サマリー!$B$9)+IF(Q273="",0,IF(Q273=200,サマリー!$B$10,IF(Q273=100,サマリー!$B$11,0)))+IF(R273="",0,R273*サマリー!$B$12)</f>
        <v>35279</v>
      </c>
      <c r="D273" s="26">
        <f>S273+T273+U273+V273+W273+IF(X273="",0,X273*サマリー!$B$9)+IF(Y273="",0,IF(Y273=200,サマリー!$B$10,IF(Y273=100,サマリー!$B$11,0)))+IF(Z273="",0,Z273*サマリー!$B$12)</f>
        <v>0</v>
      </c>
      <c r="E273" s="26">
        <f t="shared" si="13"/>
        <v>35279</v>
      </c>
      <c r="I273" s="29">
        <v>28038</v>
      </c>
      <c r="J273" s="29"/>
      <c r="K273" s="29"/>
      <c r="L273" s="29"/>
      <c r="M273" s="29"/>
      <c r="N273" s="29"/>
      <c r="O273" s="29"/>
      <c r="P273" s="30"/>
      <c r="Q273" s="30">
        <v>200</v>
      </c>
      <c r="R273" s="30"/>
      <c r="S273" s="31"/>
      <c r="T273" s="31"/>
      <c r="U273" s="31"/>
      <c r="V273" s="31"/>
      <c r="W273" s="31"/>
      <c r="X273" s="32"/>
      <c r="Y273" s="32"/>
      <c r="Z273" s="32"/>
    </row>
    <row r="274" spans="1:26">
      <c r="A274" s="28">
        <v>12</v>
      </c>
      <c r="B274" s="17">
        <f t="shared" si="14"/>
        <v>46246</v>
      </c>
      <c r="C274" s="26">
        <f>I274+J274+K274+L274+M274+N274+O274+IF(P274="",0,P274*サマリー!$B$9)+IF(Q274="",0,IF(Q274=200,サマリー!$B$10,IF(Q274=100,サマリー!$B$11,0)))+IF(R274="",0,R274*サマリー!$B$12)</f>
        <v>2873</v>
      </c>
      <c r="D274" s="26">
        <f>S274+T274+U274+V274+W274+IF(X274="",0,X274*サマリー!$B$9)+IF(Y274="",0,IF(Y274=200,サマリー!$B$10,IF(Y274=100,サマリー!$B$11,0)))+IF(Z274="",0,Z274*サマリー!$B$12)</f>
        <v>0</v>
      </c>
      <c r="E274" s="26">
        <f t="shared" si="13"/>
        <v>2873</v>
      </c>
      <c r="I274" s="29"/>
      <c r="J274" s="29">
        <v>2873</v>
      </c>
      <c r="K274" s="29"/>
      <c r="L274" s="29"/>
      <c r="M274" s="29"/>
      <c r="N274" s="29"/>
      <c r="O274" s="29"/>
      <c r="P274" s="30"/>
      <c r="Q274" s="30"/>
      <c r="R274" s="30"/>
      <c r="S274" s="31"/>
      <c r="T274" s="31"/>
      <c r="U274" s="31"/>
      <c r="V274" s="31"/>
      <c r="W274" s="31"/>
      <c r="X274" s="32"/>
      <c r="Y274" s="32"/>
      <c r="Z274" s="32"/>
    </row>
    <row r="275" spans="1:26">
      <c r="A275" s="28">
        <v>12</v>
      </c>
      <c r="B275" s="17">
        <f t="shared" si="14"/>
        <v>46246</v>
      </c>
      <c r="C275" s="26">
        <f>I275+J275+K275+L275+M275+N275+O275+IF(P275="",0,P275*サマリー!$B$9)+IF(Q275="",0,IF(Q275=200,サマリー!$B$10,IF(Q275=100,サマリー!$B$11,0)))+IF(R275="",0,R275*サマリー!$B$12)</f>
        <v>60796</v>
      </c>
      <c r="D275" s="26">
        <f>S275+T275+U275+V275+W275+IF(X275="",0,X275*サマリー!$B$9)+IF(Y275="",0,IF(Y275=200,サマリー!$B$10,IF(Y275=100,サマリー!$B$11,0)))+IF(Z275="",0,Z275*サマリー!$B$12)</f>
        <v>0</v>
      </c>
      <c r="E275" s="26">
        <f t="shared" si="13"/>
        <v>60796</v>
      </c>
      <c r="I275" s="29">
        <v>53555</v>
      </c>
      <c r="J275" s="29"/>
      <c r="K275" s="29"/>
      <c r="L275" s="29"/>
      <c r="M275" s="29"/>
      <c r="N275" s="29"/>
      <c r="O275" s="29"/>
      <c r="P275" s="30"/>
      <c r="Q275" s="30">
        <v>200</v>
      </c>
      <c r="R275" s="30"/>
      <c r="S275" s="31"/>
      <c r="T275" s="31"/>
      <c r="U275" s="31"/>
      <c r="V275" s="31"/>
      <c r="W275" s="31"/>
      <c r="X275" s="32"/>
      <c r="Y275" s="32"/>
      <c r="Z275" s="32"/>
    </row>
    <row r="276" spans="1:26">
      <c r="A276" s="28">
        <v>13</v>
      </c>
      <c r="B276" s="17">
        <f t="shared" si="14"/>
        <v>46247</v>
      </c>
      <c r="C276" s="26">
        <f>I276+J276+K276+L276+M276+N276+O276+IF(P276="",0,P276*サマリー!$B$9)+IF(Q276="",0,IF(Q276=200,サマリー!$B$10,IF(Q276=100,サマリー!$B$11,0)))+IF(R276="",0,R276*サマリー!$B$12)</f>
        <v>14500</v>
      </c>
      <c r="D276" s="26">
        <f>S276+T276+U276+V276+W276+IF(X276="",0,X276*サマリー!$B$9)+IF(Y276="",0,IF(Y276=200,サマリー!$B$10,IF(Y276=100,サマリー!$B$11,0)))+IF(Z276="",0,Z276*サマリー!$B$12)</f>
        <v>6400</v>
      </c>
      <c r="E276" s="26">
        <f t="shared" si="13"/>
        <v>20900</v>
      </c>
      <c r="I276" s="29"/>
      <c r="J276" s="29">
        <v>14500</v>
      </c>
      <c r="K276" s="29"/>
      <c r="L276" s="29"/>
      <c r="M276" s="29"/>
      <c r="N276" s="29"/>
      <c r="O276" s="29"/>
      <c r="P276" s="30"/>
      <c r="Q276" s="30"/>
      <c r="R276" s="30"/>
      <c r="S276" s="31"/>
      <c r="T276" s="31">
        <v>6400</v>
      </c>
      <c r="U276" s="31"/>
      <c r="V276" s="31"/>
      <c r="W276" s="31"/>
      <c r="X276" s="32"/>
      <c r="Y276" s="32"/>
      <c r="Z276" s="32"/>
    </row>
    <row r="277" spans="1:26">
      <c r="A277" s="28">
        <v>14</v>
      </c>
      <c r="B277" s="17">
        <f t="shared" si="14"/>
        <v>46248</v>
      </c>
      <c r="C277" s="26">
        <f>I277+J277+K277+L277+M277+N277+O277+IF(P277="",0,P277*サマリー!$B$9)+IF(Q277="",0,IF(Q277=200,サマリー!$B$10,IF(Q277=100,サマリー!$B$11,0)))+IF(R277="",0,R277*サマリー!$B$12)</f>
        <v>35550</v>
      </c>
      <c r="D277" s="26">
        <f>S277+T277+U277+V277+W277+IF(X277="",0,X277*サマリー!$B$9)+IF(Y277="",0,IF(Y277=200,サマリー!$B$10,IF(Y277=100,サマリー!$B$11,0)))+IF(Z277="",0,Z277*サマリー!$B$12)</f>
        <v>47395</v>
      </c>
      <c r="E277" s="26">
        <f t="shared" si="13"/>
        <v>82945</v>
      </c>
      <c r="I277" s="29"/>
      <c r="J277" s="29"/>
      <c r="K277" s="29"/>
      <c r="L277" s="29"/>
      <c r="M277" s="29"/>
      <c r="N277" s="29">
        <v>35550</v>
      </c>
      <c r="O277" s="29"/>
      <c r="P277" s="30"/>
      <c r="Q277" s="30"/>
      <c r="R277" s="30"/>
      <c r="S277" s="31">
        <v>47395</v>
      </c>
      <c r="T277" s="31"/>
      <c r="U277" s="31"/>
      <c r="V277" s="31"/>
      <c r="W277" s="31"/>
      <c r="X277" s="32"/>
      <c r="Y277" s="32"/>
      <c r="Z277" s="32"/>
    </row>
    <row r="278" spans="1:26">
      <c r="A278" s="28">
        <v>14</v>
      </c>
      <c r="B278" s="17">
        <f t="shared" si="14"/>
        <v>46248</v>
      </c>
      <c r="C278" s="26">
        <f>I278+J278+K278+L278+M278+N278+O278+IF(P278="",0,P278*サマリー!$B$9)+IF(Q278="",0,IF(Q278=200,サマリー!$B$10,IF(Q278=100,サマリー!$B$11,0)))+IF(R278="",0,R278*サマリー!$B$12)</f>
        <v>35646</v>
      </c>
      <c r="D278" s="26">
        <f>S278+T278+U278+V278+W278+IF(X278="",0,X278*サマリー!$B$9)+IF(Y278="",0,IF(Y278=200,サマリー!$B$10,IF(Y278=100,サマリー!$B$11,0)))+IF(Z278="",0,Z278*サマリー!$B$12)</f>
        <v>27855</v>
      </c>
      <c r="E278" s="26">
        <f t="shared" si="13"/>
        <v>63501</v>
      </c>
      <c r="I278" s="29"/>
      <c r="J278" s="29">
        <v>28405</v>
      </c>
      <c r="K278" s="29"/>
      <c r="L278" s="29"/>
      <c r="M278" s="29"/>
      <c r="N278" s="29"/>
      <c r="O278" s="29"/>
      <c r="P278" s="30"/>
      <c r="Q278" s="30">
        <v>200</v>
      </c>
      <c r="R278" s="30"/>
      <c r="S278" s="31"/>
      <c r="T278" s="31"/>
      <c r="U278" s="31"/>
      <c r="V278" s="31">
        <v>27855</v>
      </c>
      <c r="W278" s="31"/>
      <c r="X278" s="32"/>
      <c r="Y278" s="32"/>
      <c r="Z278" s="32"/>
    </row>
    <row r="279" spans="1:26">
      <c r="A279" s="28">
        <v>14</v>
      </c>
      <c r="B279" s="17">
        <f t="shared" si="14"/>
        <v>46248</v>
      </c>
      <c r="C279" s="26">
        <f>I279+J279+K279+L279+M279+N279+O279+IF(P279="",0,P279*サマリー!$B$9)+IF(Q279="",0,IF(Q279=200,サマリー!$B$10,IF(Q279=100,サマリー!$B$11,0)))+IF(R279="",0,R279*サマリー!$B$12)</f>
        <v>10431</v>
      </c>
      <c r="D279" s="26">
        <f>S279+T279+U279+V279+W279+IF(X279="",0,X279*サマリー!$B$9)+IF(Y279="",0,IF(Y279=200,サマリー!$B$10,IF(Y279=100,サマリー!$B$11,0)))+IF(Z279="",0,Z279*サマリー!$B$12)</f>
        <v>47395</v>
      </c>
      <c r="E279" s="26">
        <f t="shared" si="13"/>
        <v>57826</v>
      </c>
      <c r="I279" s="29"/>
      <c r="J279" s="29"/>
      <c r="K279" s="29">
        <v>10431</v>
      </c>
      <c r="L279" s="29"/>
      <c r="M279" s="29"/>
      <c r="N279" s="29"/>
      <c r="O279" s="29"/>
      <c r="P279" s="30"/>
      <c r="Q279" s="30"/>
      <c r="R279" s="30"/>
      <c r="S279" s="31"/>
      <c r="T279" s="31"/>
      <c r="U279" s="31"/>
      <c r="V279" s="31">
        <v>47395</v>
      </c>
      <c r="W279" s="31"/>
      <c r="X279" s="32"/>
      <c r="Y279" s="32"/>
      <c r="Z279" s="32"/>
    </row>
    <row r="280" spans="1:26">
      <c r="A280" s="28">
        <v>14</v>
      </c>
      <c r="B280" s="17">
        <f t="shared" si="14"/>
        <v>46248</v>
      </c>
      <c r="C280" s="26">
        <f>I280+J280+K280+L280+M280+N280+O280+IF(P280="",0,P280*サマリー!$B$9)+IF(Q280="",0,IF(Q280=200,サマリー!$B$10,IF(Q280=100,サマリー!$B$11,0)))+IF(R280="",0,R280*サマリー!$B$12)</f>
        <v>2200</v>
      </c>
      <c r="D280" s="26">
        <f>S280+T280+U280+V280+W280+IF(X280="",0,X280*サマリー!$B$9)+IF(Y280="",0,IF(Y280=200,サマリー!$B$10,IF(Y280=100,サマリー!$B$11,0)))+IF(Z280="",0,Z280*サマリー!$B$12)</f>
        <v>0</v>
      </c>
      <c r="E280" s="26">
        <f t="shared" si="13"/>
        <v>2200</v>
      </c>
      <c r="I280" s="29"/>
      <c r="J280" s="29">
        <v>2200</v>
      </c>
      <c r="K280" s="29"/>
      <c r="L280" s="29"/>
      <c r="M280" s="29"/>
      <c r="N280" s="29"/>
      <c r="O280" s="29"/>
      <c r="P280" s="30"/>
      <c r="Q280" s="30"/>
      <c r="R280" s="30"/>
      <c r="S280" s="31"/>
      <c r="T280" s="31"/>
      <c r="U280" s="31"/>
      <c r="V280" s="31"/>
      <c r="W280" s="31"/>
      <c r="X280" s="32"/>
      <c r="Y280" s="32"/>
      <c r="Z280" s="32"/>
    </row>
    <row r="281" spans="1:26">
      <c r="A281" s="28">
        <v>14</v>
      </c>
      <c r="B281" s="17">
        <f t="shared" si="14"/>
        <v>46248</v>
      </c>
      <c r="C281" s="26">
        <f>I281+J281+K281+L281+M281+N281+O281+IF(P281="",0,P281*サマリー!$B$9)+IF(Q281="",0,IF(Q281=200,サマリー!$B$10,IF(Q281=100,サマリー!$B$11,0)))+IF(R281="",0,R281*サマリー!$B$12)</f>
        <v>21250</v>
      </c>
      <c r="D281" s="26">
        <f>S281+T281+U281+V281+W281+IF(X281="",0,X281*サマリー!$B$9)+IF(Y281="",0,IF(Y281=200,サマリー!$B$10,IF(Y281=100,サマリー!$B$11,0)))+IF(Z281="",0,Z281*サマリー!$B$12)</f>
        <v>0</v>
      </c>
      <c r="E281" s="26">
        <f t="shared" si="13"/>
        <v>21250</v>
      </c>
      <c r="I281" s="29"/>
      <c r="J281" s="29">
        <v>21250</v>
      </c>
      <c r="K281" s="29"/>
      <c r="L281" s="29"/>
      <c r="M281" s="29"/>
      <c r="N281" s="29"/>
      <c r="O281" s="29"/>
      <c r="P281" s="30"/>
      <c r="Q281" s="30"/>
      <c r="R281" s="30"/>
      <c r="S281" s="31"/>
      <c r="T281" s="31"/>
      <c r="U281" s="31"/>
      <c r="V281" s="31"/>
      <c r="W281" s="31"/>
      <c r="X281" s="32"/>
      <c r="Y281" s="32"/>
      <c r="Z281" s="32"/>
    </row>
    <row r="282" spans="1:26">
      <c r="A282" s="28">
        <v>15</v>
      </c>
      <c r="B282" s="17">
        <f t="shared" si="14"/>
        <v>46249</v>
      </c>
      <c r="C282" s="26">
        <f>I282+J282+K282+L282+M282+N282+O282+IF(P282="",0,P282*サマリー!$B$9)+IF(Q282="",0,IF(Q282=200,サマリー!$B$10,IF(Q282=100,サマリー!$B$11,0)))+IF(R282="",0,R282*サマリー!$B$12)</f>
        <v>12845</v>
      </c>
      <c r="D282" s="26">
        <f>S282+T282+U282+V282+W282+IF(X282="",0,X282*サマリー!$B$9)+IF(Y282="",0,IF(Y282=200,サマリー!$B$10,IF(Y282=100,サマリー!$B$11,0)))+IF(Z282="",0,Z282*サマリー!$B$12)</f>
        <v>0</v>
      </c>
      <c r="E282" s="26">
        <f t="shared" si="13"/>
        <v>12845</v>
      </c>
      <c r="I282" s="29"/>
      <c r="J282" s="29"/>
      <c r="K282" s="29">
        <v>12845</v>
      </c>
      <c r="L282" s="29"/>
      <c r="M282" s="29"/>
      <c r="N282" s="29"/>
      <c r="O282" s="29"/>
      <c r="P282" s="30"/>
      <c r="Q282" s="30"/>
      <c r="R282" s="30"/>
      <c r="S282" s="31"/>
      <c r="T282" s="31"/>
      <c r="U282" s="31"/>
      <c r="V282" s="31"/>
      <c r="W282" s="31"/>
      <c r="X282" s="32"/>
      <c r="Y282" s="32"/>
      <c r="Z282" s="32"/>
    </row>
    <row r="283" spans="1:26">
      <c r="A283" s="28">
        <v>16</v>
      </c>
      <c r="B283" s="17">
        <f t="shared" si="14"/>
        <v>46250</v>
      </c>
      <c r="C283" s="26">
        <f>I283+J283+K283+L283+M283+N283+O283+IF(P283="",0,P283*サマリー!$B$9)+IF(Q283="",0,IF(Q283=200,サマリー!$B$10,IF(Q283=100,サマリー!$B$11,0)))+IF(R283="",0,R283*サマリー!$B$12)</f>
        <v>0</v>
      </c>
      <c r="D283" s="26">
        <f>S283+T283+U283+V283+W283+IF(X283="",0,X283*サマリー!$B$9)+IF(Y283="",0,IF(Y283=200,サマリー!$B$10,IF(Y283=100,サマリー!$B$11,0)))+IF(Z283="",0,Z283*サマリー!$B$12)</f>
        <v>7274</v>
      </c>
      <c r="E283" s="26">
        <f t="shared" si="13"/>
        <v>7274</v>
      </c>
      <c r="I283" s="29"/>
      <c r="J283" s="29"/>
      <c r="K283" s="29"/>
      <c r="L283" s="29"/>
      <c r="M283" s="29"/>
      <c r="N283" s="29"/>
      <c r="O283" s="29"/>
      <c r="P283" s="30"/>
      <c r="Q283" s="30"/>
      <c r="R283" s="30"/>
      <c r="S283" s="31"/>
      <c r="T283" s="31">
        <v>7274</v>
      </c>
      <c r="U283" s="31"/>
      <c r="V283" s="31"/>
      <c r="W283" s="31"/>
      <c r="X283" s="32"/>
      <c r="Y283" s="32"/>
      <c r="Z283" s="32"/>
    </row>
    <row r="284" spans="1:26">
      <c r="A284" s="28">
        <v>16</v>
      </c>
      <c r="B284" s="17">
        <f t="shared" si="14"/>
        <v>46250</v>
      </c>
      <c r="C284" s="26">
        <f>I284+J284+K284+L284+M284+N284+O284+IF(P284="",0,P284*サマリー!$B$9)+IF(Q284="",0,IF(Q284=200,サマリー!$B$10,IF(Q284=100,サマリー!$B$11,0)))+IF(R284="",0,R284*サマリー!$B$12)</f>
        <v>0</v>
      </c>
      <c r="D284" s="26">
        <f>S284+T284+U284+V284+W284+IF(X284="",0,X284*サマリー!$B$9)+IF(Y284="",0,IF(Y284=200,サマリー!$B$10,IF(Y284=100,サマリー!$B$11,0)))+IF(Z284="",0,Z284*サマリー!$B$12)</f>
        <v>26041</v>
      </c>
      <c r="E284" s="26">
        <f t="shared" si="13"/>
        <v>26041</v>
      </c>
      <c r="I284" s="29"/>
      <c r="J284" s="29"/>
      <c r="K284" s="29"/>
      <c r="L284" s="29"/>
      <c r="M284" s="29"/>
      <c r="N284" s="29"/>
      <c r="O284" s="29"/>
      <c r="P284" s="30"/>
      <c r="Q284" s="30"/>
      <c r="R284" s="30"/>
      <c r="S284" s="31">
        <v>18800</v>
      </c>
      <c r="T284" s="31"/>
      <c r="U284" s="31"/>
      <c r="V284" s="31"/>
      <c r="W284" s="31"/>
      <c r="X284" s="32"/>
      <c r="Y284" s="32">
        <v>200</v>
      </c>
      <c r="Z284" s="32"/>
    </row>
    <row r="285" spans="1:26">
      <c r="A285" s="28">
        <v>16</v>
      </c>
      <c r="B285" s="17">
        <f t="shared" si="14"/>
        <v>46250</v>
      </c>
      <c r="C285" s="26">
        <f>I285+J285+K285+L285+M285+N285+O285+IF(P285="",0,P285*サマリー!$B$9)+IF(Q285="",0,IF(Q285=200,サマリー!$B$10,IF(Q285=100,サマリー!$B$11,0)))+IF(R285="",0,R285*サマリー!$B$12)</f>
        <v>0</v>
      </c>
      <c r="D285" s="26">
        <f>S285+T285+U285+V285+W285+IF(X285="",0,X285*サマリー!$B$9)+IF(Y285="",0,IF(Y285=200,サマリー!$B$10,IF(Y285=100,サマリー!$B$11,0)))+IF(Z285="",0,Z285*サマリー!$B$12)</f>
        <v>24519</v>
      </c>
      <c r="E285" s="26">
        <f t="shared" si="13"/>
        <v>24519</v>
      </c>
      <c r="I285" s="29"/>
      <c r="J285" s="29"/>
      <c r="K285" s="29"/>
      <c r="L285" s="29"/>
      <c r="M285" s="29"/>
      <c r="N285" s="29"/>
      <c r="O285" s="29"/>
      <c r="P285" s="30"/>
      <c r="Q285" s="30"/>
      <c r="R285" s="30"/>
      <c r="S285" s="31">
        <v>24519</v>
      </c>
      <c r="T285" s="31"/>
      <c r="U285" s="31"/>
      <c r="V285" s="31"/>
      <c r="W285" s="31"/>
      <c r="X285" s="32"/>
      <c r="Y285" s="32"/>
      <c r="Z285" s="32"/>
    </row>
    <row r="286" spans="1:26">
      <c r="A286" s="28">
        <v>16</v>
      </c>
      <c r="B286" s="17">
        <f t="shared" si="14"/>
        <v>46250</v>
      </c>
      <c r="C286" s="26">
        <f>I286+J286+K286+L286+M286+N286+O286+IF(P286="",0,P286*サマリー!$B$9)+IF(Q286="",0,IF(Q286=200,サマリー!$B$10,IF(Q286=100,サマリー!$B$11,0)))+IF(R286="",0,R286*サマリー!$B$12)</f>
        <v>0</v>
      </c>
      <c r="D286" s="26">
        <f>S286+T286+U286+V286+W286+IF(X286="",0,X286*サマリー!$B$9)+IF(Y286="",0,IF(Y286=200,サマリー!$B$10,IF(Y286=100,サマリー!$B$11,0)))+IF(Z286="",0,Z286*サマリー!$B$12)</f>
        <v>33596</v>
      </c>
      <c r="E286" s="26">
        <f t="shared" si="13"/>
        <v>33596</v>
      </c>
      <c r="I286" s="29"/>
      <c r="J286" s="29"/>
      <c r="K286" s="29"/>
      <c r="L286" s="29"/>
      <c r="M286" s="29"/>
      <c r="N286" s="29"/>
      <c r="O286" s="29"/>
      <c r="P286" s="30"/>
      <c r="Q286" s="30"/>
      <c r="R286" s="30"/>
      <c r="S286" s="31">
        <v>26355</v>
      </c>
      <c r="T286" s="31"/>
      <c r="U286" s="31"/>
      <c r="V286" s="31"/>
      <c r="W286" s="31"/>
      <c r="X286" s="32"/>
      <c r="Y286" s="32">
        <v>200</v>
      </c>
      <c r="Z286" s="32"/>
    </row>
    <row r="287" spans="1:26">
      <c r="A287" s="28">
        <v>17</v>
      </c>
      <c r="B287" s="17">
        <f t="shared" si="14"/>
        <v>46251</v>
      </c>
      <c r="C287" s="26">
        <f>I287+J287+K287+L287+M287+N287+O287+IF(P287="",0,P287*サマリー!$B$9)+IF(Q287="",0,IF(Q287=200,サマリー!$B$10,IF(Q287=100,サマリー!$B$11,0)))+IF(R287="",0,R287*サマリー!$B$12)</f>
        <v>0</v>
      </c>
      <c r="D287" s="26">
        <f>S287+T287+U287+V287+W287+IF(X287="",0,X287*サマリー!$B$9)+IF(Y287="",0,IF(Y287=200,サマリー!$B$10,IF(Y287=100,サマリー!$B$11,0)))+IF(Z287="",0,Z287*サマリー!$B$12)</f>
        <v>1110</v>
      </c>
      <c r="E287" s="26">
        <f t="shared" si="13"/>
        <v>1110</v>
      </c>
      <c r="I287" s="29"/>
      <c r="J287" s="29"/>
      <c r="K287" s="29"/>
      <c r="L287" s="29"/>
      <c r="M287" s="29"/>
      <c r="N287" s="29"/>
      <c r="O287" s="29"/>
      <c r="P287" s="30"/>
      <c r="Q287" s="30"/>
      <c r="R287" s="30"/>
      <c r="S287" s="31"/>
      <c r="T287" s="31">
        <v>1110</v>
      </c>
      <c r="U287" s="31"/>
      <c r="V287" s="31"/>
      <c r="W287" s="31"/>
      <c r="X287" s="32"/>
      <c r="Y287" s="32"/>
      <c r="Z287" s="32"/>
    </row>
    <row r="288" spans="1:26">
      <c r="A288" s="28">
        <v>17</v>
      </c>
      <c r="B288" s="17">
        <f t="shared" si="14"/>
        <v>46251</v>
      </c>
      <c r="C288" s="26">
        <f>I288+J288+K288+L288+M288+N288+O288+IF(P288="",0,P288*サマリー!$B$9)+IF(Q288="",0,IF(Q288=200,サマリー!$B$10,IF(Q288=100,サマリー!$B$11,0)))+IF(R288="",0,R288*サマリー!$B$12)</f>
        <v>0</v>
      </c>
      <c r="D288" s="26">
        <f>S288+T288+U288+V288+W288+IF(X288="",0,X288*サマリー!$B$9)+IF(Y288="",0,IF(Y288=200,サマリー!$B$10,IF(Y288=100,サマリー!$B$11,0)))+IF(Z288="",0,Z288*サマリー!$B$12)</f>
        <v>7274</v>
      </c>
      <c r="E288" s="26">
        <f t="shared" si="13"/>
        <v>7274</v>
      </c>
      <c r="I288" s="29"/>
      <c r="J288" s="29"/>
      <c r="K288" s="29"/>
      <c r="L288" s="29"/>
      <c r="M288" s="29"/>
      <c r="N288" s="29"/>
      <c r="O288" s="29"/>
      <c r="P288" s="30"/>
      <c r="Q288" s="30"/>
      <c r="R288" s="30"/>
      <c r="S288" s="31"/>
      <c r="T288" s="31">
        <v>7274</v>
      </c>
      <c r="U288" s="31"/>
      <c r="V288" s="31"/>
      <c r="W288" s="31"/>
      <c r="X288" s="32"/>
      <c r="Y288" s="32"/>
      <c r="Z288" s="32"/>
    </row>
    <row r="289" spans="1:26">
      <c r="A289" s="28">
        <v>17</v>
      </c>
      <c r="B289" s="17">
        <f t="shared" si="14"/>
        <v>46251</v>
      </c>
      <c r="C289" s="26">
        <f>I289+J289+K289+L289+M289+N289+O289+IF(P289="",0,P289*サマリー!$B$9)+IF(Q289="",0,IF(Q289=200,サマリー!$B$10,IF(Q289=100,サマリー!$B$11,0)))+IF(R289="",0,R289*サマリー!$B$12)</f>
        <v>0</v>
      </c>
      <c r="D289" s="26">
        <f>S289+T289+U289+V289+W289+IF(X289="",0,X289*サマリー!$B$9)+IF(Y289="",0,IF(Y289=200,サマリー!$B$10,IF(Y289=100,サマリー!$B$11,0)))+IF(Z289="",0,Z289*サマリー!$B$12)</f>
        <v>25838</v>
      </c>
      <c r="E289" s="26">
        <f t="shared" si="13"/>
        <v>25838</v>
      </c>
      <c r="I289" s="29"/>
      <c r="J289" s="29"/>
      <c r="K289" s="29"/>
      <c r="L289" s="29"/>
      <c r="M289" s="29"/>
      <c r="N289" s="29"/>
      <c r="O289" s="29"/>
      <c r="P289" s="30"/>
      <c r="Q289" s="30"/>
      <c r="R289" s="30"/>
      <c r="S289" s="31">
        <v>25838</v>
      </c>
      <c r="T289" s="31"/>
      <c r="U289" s="31"/>
      <c r="V289" s="31"/>
      <c r="W289" s="31"/>
      <c r="X289" s="32"/>
      <c r="Y289" s="32"/>
      <c r="Z289" s="32"/>
    </row>
    <row r="290" spans="1:26">
      <c r="A290" s="28">
        <v>17</v>
      </c>
      <c r="B290" s="17">
        <f t="shared" si="14"/>
        <v>46251</v>
      </c>
      <c r="C290" s="26">
        <f>I290+J290+K290+L290+M290+N290+O290+IF(P290="",0,P290*サマリー!$B$9)+IF(Q290="",0,IF(Q290=200,サマリー!$B$10,IF(Q290=100,サマリー!$B$11,0)))+IF(R290="",0,R290*サマリー!$B$12)</f>
        <v>0</v>
      </c>
      <c r="D290" s="26">
        <f>S290+T290+U290+V290+W290+IF(X290="",0,X290*サマリー!$B$9)+IF(Y290="",0,IF(Y290=200,サマリー!$B$10,IF(Y290=100,サマリー!$B$11,0)))+IF(Z290="",0,Z290*サマリー!$B$12)</f>
        <v>25838</v>
      </c>
      <c r="E290" s="26">
        <f t="shared" si="13"/>
        <v>25838</v>
      </c>
      <c r="I290" s="29"/>
      <c r="J290" s="29"/>
      <c r="K290" s="29"/>
      <c r="L290" s="29"/>
      <c r="M290" s="29"/>
      <c r="N290" s="29"/>
      <c r="O290" s="29"/>
      <c r="P290" s="30"/>
      <c r="Q290" s="30"/>
      <c r="R290" s="30"/>
      <c r="S290" s="31">
        <v>25838</v>
      </c>
      <c r="T290" s="31"/>
      <c r="U290" s="31"/>
      <c r="V290" s="31"/>
      <c r="W290" s="31"/>
      <c r="X290" s="32"/>
      <c r="Y290" s="32"/>
      <c r="Z290" s="32"/>
    </row>
    <row r="291" spans="1:26">
      <c r="A291" s="28">
        <v>17</v>
      </c>
      <c r="B291" s="17">
        <f t="shared" si="14"/>
        <v>46251</v>
      </c>
      <c r="C291" s="26">
        <f>I291+J291+K291+L291+M291+N291+O291+IF(P291="",0,P291*サマリー!$B$9)+IF(Q291="",0,IF(Q291=200,サマリー!$B$10,IF(Q291=100,サマリー!$B$11,0)))+IF(R291="",0,R291*サマリー!$B$12)</f>
        <v>0</v>
      </c>
      <c r="D291" s="26">
        <f>S291+T291+U291+V291+W291+IF(X291="",0,X291*サマリー!$B$9)+IF(Y291="",0,IF(Y291=200,サマリー!$B$10,IF(Y291=100,サマリー!$B$11,0)))+IF(Z291="",0,Z291*サマリー!$B$12)</f>
        <v>25838</v>
      </c>
      <c r="E291" s="26">
        <f t="shared" si="13"/>
        <v>25838</v>
      </c>
      <c r="I291" s="29"/>
      <c r="J291" s="29"/>
      <c r="K291" s="29"/>
      <c r="L291" s="29"/>
      <c r="M291" s="29"/>
      <c r="N291" s="29"/>
      <c r="O291" s="29"/>
      <c r="P291" s="30"/>
      <c r="Q291" s="30"/>
      <c r="R291" s="30"/>
      <c r="S291" s="31">
        <v>25838</v>
      </c>
      <c r="T291" s="31"/>
      <c r="U291" s="31"/>
      <c r="V291" s="31"/>
      <c r="W291" s="31"/>
      <c r="X291" s="32"/>
      <c r="Y291" s="32"/>
      <c r="Z291" s="32"/>
    </row>
    <row r="292" spans="1:26">
      <c r="A292" s="28">
        <v>18</v>
      </c>
      <c r="B292" s="17">
        <f t="shared" si="14"/>
        <v>46252</v>
      </c>
      <c r="C292" s="26">
        <f>I292+J292+K292+L292+M292+N292+O292+IF(P292="",0,P292*サマリー!$B$9)+IF(Q292="",0,IF(Q292=200,サマリー!$B$10,IF(Q292=100,サマリー!$B$11,0)))+IF(R292="",0,R292*サマリー!$B$12)</f>
        <v>1397</v>
      </c>
      <c r="D292" s="26">
        <f>S292+T292+U292+V292+W292+IF(X292="",0,X292*サマリー!$B$9)+IF(Y292="",0,IF(Y292=200,サマリー!$B$10,IF(Y292=100,サマリー!$B$11,0)))+IF(Z292="",0,Z292*サマリー!$B$12)</f>
        <v>58760</v>
      </c>
      <c r="E292" s="26">
        <f t="shared" si="13"/>
        <v>60157</v>
      </c>
      <c r="I292" s="29"/>
      <c r="J292" s="29"/>
      <c r="K292" s="29">
        <v>1397</v>
      </c>
      <c r="L292" s="29"/>
      <c r="M292" s="29"/>
      <c r="N292" s="29"/>
      <c r="O292" s="29"/>
      <c r="P292" s="30"/>
      <c r="Q292" s="30"/>
      <c r="R292" s="30"/>
      <c r="S292" s="31">
        <v>32719</v>
      </c>
      <c r="T292" s="31"/>
      <c r="U292" s="31"/>
      <c r="V292" s="31">
        <v>18800</v>
      </c>
      <c r="W292" s="31"/>
      <c r="X292" s="32"/>
      <c r="Y292" s="32">
        <v>200</v>
      </c>
      <c r="Z292" s="32"/>
    </row>
    <row r="293" spans="1:26">
      <c r="A293" s="28">
        <v>19</v>
      </c>
      <c r="B293" s="17">
        <f t="shared" si="14"/>
        <v>46253</v>
      </c>
      <c r="C293" s="26">
        <f>I293+J293+K293+L293+M293+N293+O293+IF(P293="",0,P293*サマリー!$B$9)+IF(Q293="",0,IF(Q293=200,サマリー!$B$10,IF(Q293=100,サマリー!$B$11,0)))+IF(R293="",0,R293*サマリー!$B$12)</f>
        <v>42755</v>
      </c>
      <c r="D293" s="26">
        <f>S293+T293+U293+V293+W293+IF(X293="",0,X293*サマリー!$B$9)+IF(Y293="",0,IF(Y293=200,サマリー!$B$10,IF(Y293=100,サマリー!$B$11,0)))+IF(Z293="",0,Z293*サマリー!$B$12)</f>
        <v>0</v>
      </c>
      <c r="E293" s="26">
        <f t="shared" si="13"/>
        <v>42755</v>
      </c>
      <c r="I293" s="29"/>
      <c r="J293" s="29"/>
      <c r="K293" s="29"/>
      <c r="L293" s="29"/>
      <c r="M293" s="29"/>
      <c r="N293" s="29">
        <v>42755</v>
      </c>
      <c r="O293" s="29"/>
      <c r="P293" s="30"/>
      <c r="Q293" s="30"/>
      <c r="R293" s="30"/>
      <c r="S293" s="31"/>
      <c r="T293" s="31"/>
      <c r="U293" s="31"/>
      <c r="V293" s="31"/>
      <c r="W293" s="31"/>
      <c r="X293" s="32"/>
      <c r="Y293" s="32"/>
      <c r="Z293" s="32"/>
    </row>
    <row r="294" spans="1:26">
      <c r="A294" s="28">
        <v>19</v>
      </c>
      <c r="B294" s="17">
        <f t="shared" si="14"/>
        <v>46253</v>
      </c>
      <c r="C294" s="26">
        <f>I294+J294+K294+L294+M294+N294+O294+IF(P294="",0,P294*サマリー!$B$9)+IF(Q294="",0,IF(Q294=200,サマリー!$B$10,IF(Q294=100,サマリー!$B$11,0)))+IF(R294="",0,R294*サマリー!$B$12)</f>
        <v>1397</v>
      </c>
      <c r="D294" s="26">
        <f>S294+T294+U294+V294+W294+IF(X294="",0,X294*サマリー!$B$9)+IF(Y294="",0,IF(Y294=200,サマリー!$B$10,IF(Y294=100,サマリー!$B$11,0)))+IF(Z294="",0,Z294*サマリー!$B$12)</f>
        <v>0</v>
      </c>
      <c r="E294" s="26">
        <f t="shared" ref="E294:E357" si="15">C294+D294</f>
        <v>1397</v>
      </c>
      <c r="I294" s="29"/>
      <c r="J294" s="29"/>
      <c r="K294" s="29">
        <v>1397</v>
      </c>
      <c r="L294" s="29"/>
      <c r="M294" s="29"/>
      <c r="N294" s="29"/>
      <c r="O294" s="29"/>
      <c r="P294" s="30"/>
      <c r="Q294" s="30"/>
      <c r="R294" s="30"/>
      <c r="S294" s="31"/>
      <c r="T294" s="31"/>
      <c r="U294" s="31"/>
      <c r="V294" s="31"/>
      <c r="W294" s="31"/>
      <c r="X294" s="32"/>
      <c r="Y294" s="32"/>
      <c r="Z294" s="32"/>
    </row>
    <row r="295" spans="1:26">
      <c r="A295" s="28">
        <v>20</v>
      </c>
      <c r="B295" s="17">
        <f t="shared" ref="B295:B358" si="16">IF(A295="",B294,IF(A295&lt;DAY(B294),DATE(YEAR(B294),MONTH(B294)+1,A295),DATE(YEAR(B294),MONTH(B294),A295)))</f>
        <v>46254</v>
      </c>
      <c r="C295" s="26">
        <f>I295+J295+K295+L295+M295+N295+O295+IF(P295="",0,P295*サマリー!$B$9)+IF(Q295="",0,IF(Q295=200,サマリー!$B$10,IF(Q295=100,サマリー!$B$11,0)))+IF(R295="",0,R295*サマリー!$B$12)</f>
        <v>555</v>
      </c>
      <c r="D295" s="26">
        <f>S295+T295+U295+V295+W295+IF(X295="",0,X295*サマリー!$B$9)+IF(Y295="",0,IF(Y295=200,サマリー!$B$10,IF(Y295=100,サマリー!$B$11,0)))+IF(Z295="",0,Z295*サマリー!$B$12)</f>
        <v>2637</v>
      </c>
      <c r="E295" s="26">
        <f t="shared" si="15"/>
        <v>3192</v>
      </c>
      <c r="I295" s="29">
        <v>555</v>
      </c>
      <c r="J295" s="29"/>
      <c r="K295" s="29"/>
      <c r="L295" s="29"/>
      <c r="M295" s="29"/>
      <c r="N295" s="29"/>
      <c r="O295" s="29"/>
      <c r="P295" s="30"/>
      <c r="Q295" s="30"/>
      <c r="R295" s="30"/>
      <c r="S295" s="31"/>
      <c r="T295" s="31">
        <v>2637</v>
      </c>
      <c r="U295" s="31"/>
      <c r="V295" s="31"/>
      <c r="W295" s="31"/>
      <c r="X295" s="32"/>
      <c r="Y295" s="32"/>
      <c r="Z295" s="32"/>
    </row>
    <row r="296" spans="1:26">
      <c r="A296" s="28">
        <v>20</v>
      </c>
      <c r="B296" s="17">
        <f t="shared" si="16"/>
        <v>46254</v>
      </c>
      <c r="C296" s="26">
        <f>I296+J296+K296+L296+M296+N296+O296+IF(P296="",0,P296*サマリー!$B$9)+IF(Q296="",0,IF(Q296=200,サマリー!$B$10,IF(Q296=100,サマリー!$B$11,0)))+IF(R296="",0,R296*サマリー!$B$12)</f>
        <v>17400</v>
      </c>
      <c r="D296" s="26">
        <f>S296+T296+U296+V296+W296+IF(X296="",0,X296*サマリー!$B$9)+IF(Y296="",0,IF(Y296=200,サマリー!$B$10,IF(Y296=100,サマリー!$B$11,0)))+IF(Z296="",0,Z296*サマリー!$B$12)</f>
        <v>14519</v>
      </c>
      <c r="E296" s="26">
        <f t="shared" si="15"/>
        <v>31919</v>
      </c>
      <c r="I296" s="29"/>
      <c r="J296" s="29"/>
      <c r="K296" s="29"/>
      <c r="L296" s="29">
        <v>17400</v>
      </c>
      <c r="M296" s="29"/>
      <c r="N296" s="29"/>
      <c r="O296" s="29"/>
      <c r="P296" s="30"/>
      <c r="Q296" s="30"/>
      <c r="R296" s="30"/>
      <c r="S296" s="31">
        <v>14519</v>
      </c>
      <c r="T296" s="31"/>
      <c r="U296" s="31"/>
      <c r="V296" s="31"/>
      <c r="W296" s="31"/>
      <c r="X296" s="32"/>
      <c r="Y296" s="32"/>
      <c r="Z296" s="32"/>
    </row>
    <row r="297" spans="1:26">
      <c r="A297" s="28">
        <v>20</v>
      </c>
      <c r="B297" s="17">
        <f t="shared" si="16"/>
        <v>46254</v>
      </c>
      <c r="C297" s="26">
        <f>I297+J297+K297+L297+M297+N297+O297+IF(P297="",0,P297*サマリー!$B$9)+IF(Q297="",0,IF(Q297=200,サマリー!$B$10,IF(Q297=100,サマリー!$B$11,0)))+IF(R297="",0,R297*サマリー!$B$12)</f>
        <v>0</v>
      </c>
      <c r="D297" s="26">
        <f>S297+T297+U297+V297+W297+IF(X297="",0,X297*サマリー!$B$9)+IF(Y297="",0,IF(Y297=200,サマリー!$B$10,IF(Y297=100,サマリー!$B$11,0)))+IF(Z297="",0,Z297*サマリー!$B$12)</f>
        <v>32621</v>
      </c>
      <c r="E297" s="26">
        <f t="shared" si="15"/>
        <v>32621</v>
      </c>
      <c r="I297" s="29"/>
      <c r="J297" s="29"/>
      <c r="K297" s="29"/>
      <c r="L297" s="29"/>
      <c r="M297" s="29"/>
      <c r="N297" s="29"/>
      <c r="O297" s="29"/>
      <c r="P297" s="30"/>
      <c r="Q297" s="30"/>
      <c r="R297" s="30"/>
      <c r="S297" s="31">
        <v>23650</v>
      </c>
      <c r="T297" s="31"/>
      <c r="U297" s="31">
        <v>8971</v>
      </c>
      <c r="V297" s="31"/>
      <c r="W297" s="31"/>
      <c r="X297" s="32"/>
      <c r="Y297" s="32"/>
      <c r="Z297" s="32"/>
    </row>
    <row r="298" spans="1:26">
      <c r="A298" s="28">
        <v>21</v>
      </c>
      <c r="B298" s="17">
        <f t="shared" si="16"/>
        <v>46255</v>
      </c>
      <c r="C298" s="26">
        <f>I298+J298+K298+L298+M298+N298+O298+IF(P298="",0,P298*サマリー!$B$9)+IF(Q298="",0,IF(Q298=200,サマリー!$B$10,IF(Q298=100,サマリー!$B$11,0)))+IF(R298="",0,R298*サマリー!$B$12)</f>
        <v>32359</v>
      </c>
      <c r="D298" s="26">
        <f>S298+T298+U298+V298+W298+IF(X298="",0,X298*サマリー!$B$9)+IF(Y298="",0,IF(Y298=200,サマリー!$B$10,IF(Y298=100,サマリー!$B$11,0)))+IF(Z298="",0,Z298*サマリー!$B$12)</f>
        <v>0</v>
      </c>
      <c r="E298" s="26">
        <f t="shared" si="15"/>
        <v>32359</v>
      </c>
      <c r="I298" s="29"/>
      <c r="J298" s="29"/>
      <c r="K298" s="29"/>
      <c r="L298" s="29"/>
      <c r="M298" s="29">
        <v>32359</v>
      </c>
      <c r="N298" s="29"/>
      <c r="O298" s="29"/>
      <c r="P298" s="30"/>
      <c r="Q298" s="30"/>
      <c r="R298" s="30"/>
      <c r="S298" s="31"/>
      <c r="T298" s="31"/>
      <c r="U298" s="31"/>
      <c r="V298" s="31"/>
      <c r="W298" s="31"/>
      <c r="X298" s="32"/>
      <c r="Y298" s="32"/>
      <c r="Z298" s="32"/>
    </row>
    <row r="299" spans="1:26">
      <c r="A299" s="28">
        <v>21</v>
      </c>
      <c r="B299" s="17">
        <f t="shared" si="16"/>
        <v>46255</v>
      </c>
      <c r="C299" s="26">
        <f>I299+J299+K299+L299+M299+N299+O299+IF(P299="",0,P299*サマリー!$B$9)+IF(Q299="",0,IF(Q299=200,サマリー!$B$10,IF(Q299=100,サマリー!$B$11,0)))+IF(R299="",0,R299*サマリー!$B$12)</f>
        <v>1755</v>
      </c>
      <c r="D299" s="26">
        <f>S299+T299+U299+V299+W299+IF(X299="",0,X299*サマリー!$B$9)+IF(Y299="",0,IF(Y299=200,サマリー!$B$10,IF(Y299=100,サマリー!$B$11,0)))+IF(Z299="",0,Z299*サマリー!$B$12)</f>
        <v>0</v>
      </c>
      <c r="E299" s="26">
        <f t="shared" si="15"/>
        <v>1755</v>
      </c>
      <c r="I299" s="29">
        <v>1755</v>
      </c>
      <c r="J299" s="29"/>
      <c r="K299" s="29"/>
      <c r="L299" s="29"/>
      <c r="M299" s="29"/>
      <c r="N299" s="29"/>
      <c r="O299" s="29"/>
      <c r="P299" s="30"/>
      <c r="Q299" s="30"/>
      <c r="R299" s="30"/>
      <c r="S299" s="31"/>
      <c r="T299" s="31"/>
      <c r="U299" s="31"/>
      <c r="V299" s="31"/>
      <c r="W299" s="31"/>
      <c r="X299" s="32"/>
      <c r="Y299" s="32"/>
      <c r="Z299" s="32"/>
    </row>
    <row r="300" spans="1:26">
      <c r="A300" s="28">
        <v>22</v>
      </c>
      <c r="B300" s="17">
        <f t="shared" si="16"/>
        <v>46256</v>
      </c>
      <c r="C300" s="26">
        <f>I300+J300+K300+L300+M300+N300+O300+IF(P300="",0,P300*サマリー!$B$9)+IF(Q300="",0,IF(Q300=200,サマリー!$B$10,IF(Q300=100,サマリー!$B$11,0)))+IF(R300="",0,R300*サマリー!$B$12)</f>
        <v>3310</v>
      </c>
      <c r="D300" s="26">
        <f>S300+T300+U300+V300+W300+IF(X300="",0,X300*サマリー!$B$9)+IF(Y300="",0,IF(Y300=200,サマリー!$B$10,IF(Y300=100,サマリー!$B$11,0)))+IF(Z300="",0,Z300*サマリー!$B$12)</f>
        <v>6400</v>
      </c>
      <c r="E300" s="26">
        <f t="shared" si="15"/>
        <v>9710</v>
      </c>
      <c r="I300" s="29"/>
      <c r="J300" s="29">
        <v>3310</v>
      </c>
      <c r="K300" s="29"/>
      <c r="L300" s="29"/>
      <c r="M300" s="29"/>
      <c r="N300" s="29"/>
      <c r="O300" s="29"/>
      <c r="P300" s="30"/>
      <c r="Q300" s="30"/>
      <c r="R300" s="30"/>
      <c r="S300" s="31"/>
      <c r="T300" s="31">
        <v>6400</v>
      </c>
      <c r="U300" s="31"/>
      <c r="V300" s="31"/>
      <c r="W300" s="31"/>
      <c r="X300" s="32"/>
      <c r="Y300" s="32"/>
      <c r="Z300" s="32"/>
    </row>
    <row r="301" spans="1:26">
      <c r="A301" s="28">
        <v>22</v>
      </c>
      <c r="B301" s="17">
        <f t="shared" si="16"/>
        <v>46256</v>
      </c>
      <c r="C301" s="26">
        <f>I301+J301+K301+L301+M301+N301+O301+IF(P301="",0,P301*サマリー!$B$9)+IF(Q301="",0,IF(Q301=200,サマリー!$B$10,IF(Q301=100,サマリー!$B$11,0)))+IF(R301="",0,R301*サマリー!$B$12)</f>
        <v>1755</v>
      </c>
      <c r="D301" s="26">
        <f>S301+T301+U301+V301+W301+IF(X301="",0,X301*サマリー!$B$9)+IF(Y301="",0,IF(Y301=200,サマリー!$B$10,IF(Y301=100,サマリー!$B$11,0)))+IF(Z301="",0,Z301*サマリー!$B$12)</f>
        <v>5310</v>
      </c>
      <c r="E301" s="26">
        <f t="shared" si="15"/>
        <v>7065</v>
      </c>
      <c r="I301" s="29"/>
      <c r="J301" s="29">
        <v>1755</v>
      </c>
      <c r="K301" s="29"/>
      <c r="L301" s="29"/>
      <c r="M301" s="29"/>
      <c r="N301" s="29"/>
      <c r="O301" s="29"/>
      <c r="P301" s="30"/>
      <c r="Q301" s="30"/>
      <c r="R301" s="30"/>
      <c r="S301" s="31"/>
      <c r="T301" s="31">
        <v>3850</v>
      </c>
      <c r="U301" s="31">
        <v>1460</v>
      </c>
      <c r="V301" s="31"/>
      <c r="W301" s="31"/>
      <c r="X301" s="32"/>
      <c r="Y301" s="32"/>
      <c r="Z301" s="32"/>
    </row>
    <row r="302" spans="1:26">
      <c r="A302" s="28">
        <v>23</v>
      </c>
      <c r="B302" s="17">
        <f t="shared" si="16"/>
        <v>46257</v>
      </c>
      <c r="C302" s="26">
        <f>I302+J302+K302+L302+M302+N302+O302+IF(P302="",0,P302*サマリー!$B$9)+IF(Q302="",0,IF(Q302=200,サマリー!$B$10,IF(Q302=100,サマリー!$B$11,0)))+IF(R302="",0,R302*サマリー!$B$12)</f>
        <v>23079</v>
      </c>
      <c r="D302" s="26">
        <f>S302+T302+U302+V302+W302+IF(X302="",0,X302*サマリー!$B$9)+IF(Y302="",0,IF(Y302=200,サマリー!$B$10,IF(Y302=100,サマリー!$B$11,0)))+IF(Z302="",0,Z302*サマリー!$B$12)</f>
        <v>0</v>
      </c>
      <c r="E302" s="26">
        <f t="shared" si="15"/>
        <v>23079</v>
      </c>
      <c r="I302" s="29">
        <v>15838</v>
      </c>
      <c r="J302" s="29"/>
      <c r="K302" s="29"/>
      <c r="L302" s="29"/>
      <c r="M302" s="29"/>
      <c r="N302" s="29"/>
      <c r="O302" s="29"/>
      <c r="P302" s="30"/>
      <c r="Q302" s="30">
        <v>200</v>
      </c>
      <c r="R302" s="30"/>
      <c r="S302" s="31"/>
      <c r="T302" s="31"/>
      <c r="U302" s="31"/>
      <c r="V302" s="31"/>
      <c r="W302" s="31"/>
      <c r="X302" s="32"/>
      <c r="Y302" s="32"/>
      <c r="Z302" s="32"/>
    </row>
    <row r="303" spans="1:26">
      <c r="A303" s="28">
        <v>23</v>
      </c>
      <c r="B303" s="17">
        <f t="shared" si="16"/>
        <v>46257</v>
      </c>
      <c r="C303" s="26">
        <f>I303+J303+K303+L303+M303+N303+O303+IF(P303="",0,P303*サマリー!$B$9)+IF(Q303="",0,IF(Q303=200,サマリー!$B$10,IF(Q303=100,サマリー!$B$11,0)))+IF(R303="",0,R303*サマリー!$B$12)</f>
        <v>2000</v>
      </c>
      <c r="D303" s="26">
        <f>S303+T303+U303+V303+W303+IF(X303="",0,X303*サマリー!$B$9)+IF(Y303="",0,IF(Y303=200,サマリー!$B$10,IF(Y303=100,サマリー!$B$11,0)))+IF(Z303="",0,Z303*サマリー!$B$12)</f>
        <v>0</v>
      </c>
      <c r="E303" s="26">
        <f t="shared" si="15"/>
        <v>2000</v>
      </c>
      <c r="I303" s="29"/>
      <c r="J303" s="29">
        <v>2000</v>
      </c>
      <c r="K303" s="29"/>
      <c r="L303" s="29"/>
      <c r="M303" s="29"/>
      <c r="N303" s="29"/>
      <c r="O303" s="29"/>
      <c r="P303" s="30"/>
      <c r="Q303" s="30"/>
      <c r="R303" s="30"/>
      <c r="S303" s="31"/>
      <c r="T303" s="31"/>
      <c r="U303" s="31"/>
      <c r="V303" s="31"/>
      <c r="W303" s="31"/>
      <c r="X303" s="32"/>
      <c r="Y303" s="32"/>
      <c r="Z303" s="32"/>
    </row>
    <row r="304" spans="1:26">
      <c r="A304" s="28">
        <v>23</v>
      </c>
      <c r="B304" s="17">
        <f t="shared" si="16"/>
        <v>46257</v>
      </c>
      <c r="C304" s="26">
        <f>I304+J304+K304+L304+M304+N304+O304+IF(P304="",0,P304*サマリー!$B$9)+IF(Q304="",0,IF(Q304=200,サマリー!$B$10,IF(Q304=100,サマリー!$B$11,0)))+IF(R304="",0,R304*サマリー!$B$12)</f>
        <v>18479</v>
      </c>
      <c r="D304" s="26">
        <f>S304+T304+U304+V304+W304+IF(X304="",0,X304*サマリー!$B$9)+IF(Y304="",0,IF(Y304=200,サマリー!$B$10,IF(Y304=100,サマリー!$B$11,0)))+IF(Z304="",0,Z304*サマリー!$B$12)</f>
        <v>0</v>
      </c>
      <c r="E304" s="26">
        <f t="shared" si="15"/>
        <v>18479</v>
      </c>
      <c r="I304" s="29"/>
      <c r="J304" s="29">
        <v>18479</v>
      </c>
      <c r="K304" s="29"/>
      <c r="L304" s="29"/>
      <c r="M304" s="29"/>
      <c r="N304" s="29"/>
      <c r="O304" s="29"/>
      <c r="P304" s="30"/>
      <c r="Q304" s="30"/>
      <c r="R304" s="30"/>
      <c r="S304" s="31"/>
      <c r="T304" s="31"/>
      <c r="U304" s="31"/>
      <c r="V304" s="31"/>
      <c r="W304" s="31"/>
      <c r="X304" s="32"/>
      <c r="Y304" s="32"/>
      <c r="Z304" s="32"/>
    </row>
    <row r="305" spans="1:26">
      <c r="A305" s="28">
        <v>23</v>
      </c>
      <c r="B305" s="17">
        <f t="shared" si="16"/>
        <v>46257</v>
      </c>
      <c r="C305" s="26">
        <f>I305+J305+K305+L305+M305+N305+O305+IF(P305="",0,P305*サマリー!$B$9)+IF(Q305="",0,IF(Q305=200,サマリー!$B$10,IF(Q305=100,サマリー!$B$11,0)))+IF(R305="",0,R305*サマリー!$B$12)</f>
        <v>34398</v>
      </c>
      <c r="D305" s="26">
        <f>S305+T305+U305+V305+W305+IF(X305="",0,X305*サマリー!$B$9)+IF(Y305="",0,IF(Y305=200,サマリー!$B$10,IF(Y305=100,サマリー!$B$11,0)))+IF(Z305="",0,Z305*サマリー!$B$12)</f>
        <v>0</v>
      </c>
      <c r="E305" s="26">
        <f t="shared" si="15"/>
        <v>34398</v>
      </c>
      <c r="I305" s="29">
        <v>27157</v>
      </c>
      <c r="J305" s="29"/>
      <c r="K305" s="29"/>
      <c r="L305" s="29"/>
      <c r="M305" s="29"/>
      <c r="N305" s="29"/>
      <c r="O305" s="29"/>
      <c r="P305" s="30"/>
      <c r="Q305" s="30">
        <v>200</v>
      </c>
      <c r="R305" s="30"/>
      <c r="S305" s="31"/>
      <c r="T305" s="31"/>
      <c r="U305" s="31"/>
      <c r="V305" s="31"/>
      <c r="W305" s="31"/>
      <c r="X305" s="32"/>
      <c r="Y305" s="32"/>
      <c r="Z305" s="32"/>
    </row>
    <row r="306" spans="1:26">
      <c r="A306" s="28">
        <v>24</v>
      </c>
      <c r="B306" s="17">
        <f t="shared" si="16"/>
        <v>46258</v>
      </c>
      <c r="C306" s="26">
        <f>I306+J306+K306+L306+M306+N306+O306+IF(P306="",0,P306*サマリー!$B$9)+IF(Q306="",0,IF(Q306=200,サマリー!$B$10,IF(Q306=100,サマリー!$B$11,0)))+IF(R306="",0,R306*サマリー!$B$12)</f>
        <v>0</v>
      </c>
      <c r="D306" s="26">
        <f>S306+T306+U306+V306+W306+IF(X306="",0,X306*サマリー!$B$9)+IF(Y306="",0,IF(Y306=200,サマリー!$B$10,IF(Y306=100,サマリー!$B$11,0)))+IF(Z306="",0,Z306*サマリー!$B$12)</f>
        <v>6400</v>
      </c>
      <c r="E306" s="26">
        <f t="shared" si="15"/>
        <v>6400</v>
      </c>
      <c r="I306" s="29"/>
      <c r="J306" s="29"/>
      <c r="K306" s="29"/>
      <c r="L306" s="29"/>
      <c r="M306" s="29"/>
      <c r="N306" s="29"/>
      <c r="O306" s="29"/>
      <c r="P306" s="30"/>
      <c r="Q306" s="30"/>
      <c r="R306" s="30"/>
      <c r="S306" s="31"/>
      <c r="T306" s="31">
        <v>6400</v>
      </c>
      <c r="U306" s="31"/>
      <c r="V306" s="31"/>
      <c r="W306" s="31"/>
      <c r="X306" s="32"/>
      <c r="Y306" s="32"/>
      <c r="Z306" s="32"/>
    </row>
    <row r="307" spans="1:26">
      <c r="A307" s="28">
        <v>25</v>
      </c>
      <c r="B307" s="17">
        <f t="shared" si="16"/>
        <v>46259</v>
      </c>
      <c r="C307" s="26">
        <f>I307+J307+K307+L307+M307+N307+O307+IF(P307="",0,P307*サマリー!$B$9)+IF(Q307="",0,IF(Q307=200,サマリー!$B$10,IF(Q307=100,サマリー!$B$11,0)))+IF(R307="",0,R307*サマリー!$B$12)</f>
        <v>7241</v>
      </c>
      <c r="D307" s="26">
        <f>S307+T307+U307+V307+W307+IF(X307="",0,X307*サマリー!$B$9)+IF(Y307="",0,IF(Y307=200,サマリー!$B$10,IF(Y307=100,サマリー!$B$11,0)))+IF(Z307="",0,Z307*サマリー!$B$12)</f>
        <v>0</v>
      </c>
      <c r="E307" s="26">
        <f t="shared" si="15"/>
        <v>7241</v>
      </c>
      <c r="I307" s="29"/>
      <c r="J307" s="29"/>
      <c r="K307" s="29"/>
      <c r="L307" s="29"/>
      <c r="M307" s="29"/>
      <c r="N307" s="29"/>
      <c r="O307" s="29"/>
      <c r="P307" s="30"/>
      <c r="Q307" s="30">
        <v>200</v>
      </c>
      <c r="R307" s="30"/>
      <c r="S307" s="31"/>
      <c r="T307" s="31"/>
      <c r="U307" s="31"/>
      <c r="V307" s="31"/>
      <c r="W307" s="31"/>
      <c r="X307" s="32"/>
      <c r="Y307" s="32"/>
      <c r="Z307" s="32"/>
    </row>
    <row r="308" spans="1:26">
      <c r="A308" s="28">
        <v>25</v>
      </c>
      <c r="B308" s="17">
        <f t="shared" si="16"/>
        <v>46259</v>
      </c>
      <c r="C308" s="26">
        <f>I308+J308+K308+L308+M308+N308+O308+IF(P308="",0,P308*サマリー!$B$9)+IF(Q308="",0,IF(Q308=200,サマリー!$B$10,IF(Q308=100,サマリー!$B$11,0)))+IF(R308="",0,R308*サマリー!$B$12)</f>
        <v>52600</v>
      </c>
      <c r="D308" s="26">
        <f>S308+T308+U308+V308+W308+IF(X308="",0,X308*サマリー!$B$9)+IF(Y308="",0,IF(Y308=200,サマリー!$B$10,IF(Y308=100,サマリー!$B$11,0)))+IF(Z308="",0,Z308*サマリー!$B$12)</f>
        <v>0</v>
      </c>
      <c r="E308" s="26">
        <f t="shared" si="15"/>
        <v>52600</v>
      </c>
      <c r="I308" s="29">
        <v>52600</v>
      </c>
      <c r="J308" s="29"/>
      <c r="K308" s="29"/>
      <c r="L308" s="29"/>
      <c r="M308" s="29"/>
      <c r="N308" s="29"/>
      <c r="O308" s="29"/>
      <c r="P308" s="30"/>
      <c r="Q308" s="30"/>
      <c r="R308" s="30"/>
      <c r="S308" s="31"/>
      <c r="T308" s="31"/>
      <c r="U308" s="31"/>
      <c r="V308" s="31"/>
      <c r="W308" s="31"/>
      <c r="X308" s="32"/>
      <c r="Y308" s="32"/>
      <c r="Z308" s="32"/>
    </row>
    <row r="309" spans="1:26">
      <c r="A309" s="28">
        <v>25</v>
      </c>
      <c r="B309" s="17">
        <f t="shared" si="16"/>
        <v>46259</v>
      </c>
      <c r="C309" s="26">
        <f>I309+J309+K309+L309+M309+N309+O309+IF(P309="",0,P309*サマリー!$B$9)+IF(Q309="",0,IF(Q309=200,サマリー!$B$10,IF(Q309=100,サマリー!$B$11,0)))+IF(R309="",0,R309*サマリー!$B$12)</f>
        <v>50000</v>
      </c>
      <c r="D309" s="26">
        <f>S309+T309+U309+V309+W309+IF(X309="",0,X309*サマリー!$B$9)+IF(Y309="",0,IF(Y309=200,サマリー!$B$10,IF(Y309=100,サマリー!$B$11,0)))+IF(Z309="",0,Z309*サマリー!$B$12)</f>
        <v>0</v>
      </c>
      <c r="E309" s="26">
        <f t="shared" si="15"/>
        <v>50000</v>
      </c>
      <c r="I309" s="29"/>
      <c r="J309" s="29"/>
      <c r="K309" s="29"/>
      <c r="L309" s="29"/>
      <c r="M309" s="29"/>
      <c r="N309" s="29"/>
      <c r="O309" s="29"/>
      <c r="P309" s="30">
        <v>2</v>
      </c>
      <c r="Q309" s="30"/>
      <c r="R309" s="30"/>
      <c r="S309" s="31"/>
      <c r="T309" s="31"/>
      <c r="U309" s="31"/>
      <c r="V309" s="31"/>
      <c r="W309" s="31"/>
      <c r="X309" s="32"/>
      <c r="Y309" s="32"/>
      <c r="Z309" s="32"/>
    </row>
    <row r="310" spans="1:26">
      <c r="A310" s="28">
        <v>26</v>
      </c>
      <c r="B310" s="17">
        <f t="shared" si="16"/>
        <v>46260</v>
      </c>
      <c r="C310" s="26">
        <f>I310+J310+K310+L310+M310+N310+O310+IF(P310="",0,P310*サマリー!$B$9)+IF(Q310="",0,IF(Q310=200,サマリー!$B$10,IF(Q310=100,サマリー!$B$11,0)))+IF(R310="",0,R310*サマリー!$B$12)</f>
        <v>34398</v>
      </c>
      <c r="D310" s="26">
        <f>S310+T310+U310+V310+W310+IF(X310="",0,X310*サマリー!$B$9)+IF(Y310="",0,IF(Y310=200,サマリー!$B$10,IF(Y310=100,サマリー!$B$11,0)))+IF(Z310="",0,Z310*サマリー!$B$12)</f>
        <v>22319</v>
      </c>
      <c r="E310" s="26">
        <f t="shared" si="15"/>
        <v>56717</v>
      </c>
      <c r="I310" s="29">
        <v>27157</v>
      </c>
      <c r="J310" s="29"/>
      <c r="K310" s="29"/>
      <c r="L310" s="29"/>
      <c r="M310" s="29"/>
      <c r="N310" s="29"/>
      <c r="O310" s="29"/>
      <c r="P310" s="30"/>
      <c r="Q310" s="30">
        <v>200</v>
      </c>
      <c r="R310" s="30"/>
      <c r="S310" s="31"/>
      <c r="T310" s="31"/>
      <c r="U310" s="31"/>
      <c r="V310" s="31">
        <v>22319</v>
      </c>
      <c r="W310" s="31"/>
      <c r="X310" s="32"/>
      <c r="Y310" s="32"/>
      <c r="Z310" s="32"/>
    </row>
    <row r="311" spans="1:26">
      <c r="A311" s="28">
        <v>26</v>
      </c>
      <c r="B311" s="17">
        <f t="shared" si="16"/>
        <v>46260</v>
      </c>
      <c r="C311" s="26">
        <f>I311+J311+K311+L311+M311+N311+O311+IF(P311="",0,P311*サマリー!$B$9)+IF(Q311="",0,IF(Q311=200,サマリー!$B$10,IF(Q311=100,サマリー!$B$11,0)))+IF(R311="",0,R311*サマリー!$B$12)</f>
        <v>12897</v>
      </c>
      <c r="D311" s="26">
        <f>S311+T311+U311+V311+W311+IF(X311="",0,X311*サマリー!$B$9)+IF(Y311="",0,IF(Y311=200,サマリー!$B$10,IF(Y311=100,サマリー!$B$11,0)))+IF(Z311="",0,Z311*サマリー!$B$12)</f>
        <v>0</v>
      </c>
      <c r="E311" s="26">
        <f t="shared" si="15"/>
        <v>12897</v>
      </c>
      <c r="I311" s="29"/>
      <c r="J311" s="29">
        <v>9350</v>
      </c>
      <c r="K311" s="29">
        <v>3547</v>
      </c>
      <c r="L311" s="29"/>
      <c r="M311" s="29"/>
      <c r="N311" s="29"/>
      <c r="O311" s="29"/>
      <c r="P311" s="30"/>
      <c r="Q311" s="30"/>
      <c r="R311" s="30"/>
      <c r="S311" s="31"/>
      <c r="T311" s="31"/>
      <c r="U311" s="31"/>
      <c r="V311" s="31"/>
      <c r="W311" s="31"/>
      <c r="X311" s="32"/>
      <c r="Y311" s="32"/>
      <c r="Z311" s="32"/>
    </row>
    <row r="312" spans="1:26">
      <c r="A312" s="28">
        <v>27</v>
      </c>
      <c r="B312" s="17">
        <f t="shared" si="16"/>
        <v>46261</v>
      </c>
      <c r="C312" s="26">
        <f>I312+J312+K312+L312+M312+N312+O312+IF(P312="",0,P312*サマリー!$B$9)+IF(Q312="",0,IF(Q312=200,サマリー!$B$10,IF(Q312=100,サマリー!$B$11,0)))+IF(R312="",0,R312*サマリー!$B$12)</f>
        <v>50000</v>
      </c>
      <c r="D312" s="26">
        <f>S312+T312+U312+V312+W312+IF(X312="",0,X312*サマリー!$B$9)+IF(Y312="",0,IF(Y312=200,サマリー!$B$10,IF(Y312=100,サマリー!$B$11,0)))+IF(Z312="",0,Z312*サマリー!$B$12)</f>
        <v>0</v>
      </c>
      <c r="E312" s="26">
        <f t="shared" si="15"/>
        <v>50000</v>
      </c>
      <c r="I312" s="29"/>
      <c r="J312" s="29"/>
      <c r="K312" s="29"/>
      <c r="L312" s="29"/>
      <c r="M312" s="29"/>
      <c r="N312" s="29"/>
      <c r="O312" s="29"/>
      <c r="P312" s="30">
        <v>2</v>
      </c>
      <c r="Q312" s="30"/>
      <c r="R312" s="30"/>
      <c r="S312" s="31"/>
      <c r="T312" s="31"/>
      <c r="U312" s="31"/>
      <c r="V312" s="31"/>
      <c r="W312" s="31"/>
      <c r="X312" s="32"/>
      <c r="Y312" s="32"/>
      <c r="Z312" s="32"/>
    </row>
    <row r="313" spans="1:26">
      <c r="A313" s="28">
        <v>28</v>
      </c>
      <c r="B313" s="17">
        <f t="shared" si="16"/>
        <v>46262</v>
      </c>
      <c r="C313" s="26">
        <f>I313+J313+K313+L313+M313+N313+O313+IF(P313="",0,P313*サマリー!$B$9)+IF(Q313="",0,IF(Q313=200,サマリー!$B$10,IF(Q313=100,サマリー!$B$11,0)))+IF(R313="",0,R313*サマリー!$B$12)</f>
        <v>1755</v>
      </c>
      <c r="D313" s="26">
        <f>S313+T313+U313+V313+W313+IF(X313="",0,X313*サマリー!$B$9)+IF(Y313="",0,IF(Y313=200,サマリー!$B$10,IF(Y313=100,サマリー!$B$11,0)))+IF(Z313="",0,Z313*サマリー!$B$12)</f>
        <v>14655</v>
      </c>
      <c r="E313" s="26">
        <f t="shared" si="15"/>
        <v>16410</v>
      </c>
      <c r="I313" s="29"/>
      <c r="J313" s="29">
        <v>1755</v>
      </c>
      <c r="K313" s="29"/>
      <c r="L313" s="29"/>
      <c r="M313" s="29"/>
      <c r="N313" s="29"/>
      <c r="O313" s="29"/>
      <c r="P313" s="30"/>
      <c r="Q313" s="30"/>
      <c r="R313" s="30"/>
      <c r="S313" s="31"/>
      <c r="T313" s="31">
        <v>14655</v>
      </c>
      <c r="U313" s="31"/>
      <c r="V313" s="31"/>
      <c r="W313" s="31"/>
      <c r="X313" s="32"/>
      <c r="Y313" s="32"/>
      <c r="Z313" s="32"/>
    </row>
    <row r="314" spans="1:26">
      <c r="A314" s="28">
        <v>28</v>
      </c>
      <c r="B314" s="17">
        <f t="shared" si="16"/>
        <v>46262</v>
      </c>
      <c r="C314" s="26">
        <f>I314+J314+K314+L314+M314+N314+O314+IF(P314="",0,P314*サマリー!$B$9)+IF(Q314="",0,IF(Q314=200,サマリー!$B$10,IF(Q314=100,サマリー!$B$11,0)))+IF(R314="",0,R314*サマリー!$B$12)</f>
        <v>22910</v>
      </c>
      <c r="D314" s="26">
        <f>S314+T314+U314+V314+W314+IF(X314="",0,X314*サマリー!$B$9)+IF(Y314="",0,IF(Y314=200,サマリー!$B$10,IF(Y314=100,サマリー!$B$11,0)))+IF(Z314="",0,Z314*サマリー!$B$12)</f>
        <v>5082</v>
      </c>
      <c r="E314" s="26">
        <f t="shared" si="15"/>
        <v>27992</v>
      </c>
      <c r="I314" s="29"/>
      <c r="J314" s="29">
        <v>22910</v>
      </c>
      <c r="K314" s="29"/>
      <c r="L314" s="29"/>
      <c r="M314" s="29"/>
      <c r="N314" s="29"/>
      <c r="O314" s="29"/>
      <c r="P314" s="30"/>
      <c r="Q314" s="30"/>
      <c r="R314" s="30"/>
      <c r="S314" s="31"/>
      <c r="T314" s="31">
        <v>5082</v>
      </c>
      <c r="U314" s="31"/>
      <c r="V314" s="31"/>
      <c r="W314" s="31"/>
      <c r="X314" s="32"/>
      <c r="Y314" s="32"/>
      <c r="Z314" s="32"/>
    </row>
    <row r="315" spans="1:26">
      <c r="A315" s="28">
        <v>28</v>
      </c>
      <c r="B315" s="17">
        <f t="shared" si="16"/>
        <v>46262</v>
      </c>
      <c r="C315" s="26">
        <f>I315+J315+K315+L315+M315+N315+O315+IF(P315="",0,P315*サマリー!$B$9)+IF(Q315="",0,IF(Q315=200,サマリー!$B$10,IF(Q315=100,サマリー!$B$11,0)))+IF(R315="",0,R315*サマリー!$B$12)</f>
        <v>0</v>
      </c>
      <c r="D315" s="26">
        <f>S315+T315+U315+V315+W315+IF(X315="",0,X315*サマリー!$B$9)+IF(Y315="",0,IF(Y315=200,サマリー!$B$10,IF(Y315=100,サマリー!$B$11,0)))+IF(Z315="",0,Z315*サマリー!$B$12)</f>
        <v>5519</v>
      </c>
      <c r="E315" s="26">
        <f t="shared" si="15"/>
        <v>5519</v>
      </c>
      <c r="I315" s="29"/>
      <c r="J315" s="29"/>
      <c r="K315" s="29"/>
      <c r="L315" s="29"/>
      <c r="M315" s="29"/>
      <c r="N315" s="29"/>
      <c r="O315" s="29"/>
      <c r="P315" s="30"/>
      <c r="Q315" s="30"/>
      <c r="R315" s="30"/>
      <c r="S315" s="31"/>
      <c r="T315" s="31"/>
      <c r="U315" s="31"/>
      <c r="V315" s="31">
        <v>5519</v>
      </c>
      <c r="W315" s="31"/>
      <c r="X315" s="32"/>
      <c r="Y315" s="32"/>
      <c r="Z315" s="32"/>
    </row>
    <row r="316" spans="1:26">
      <c r="A316" s="28">
        <v>29</v>
      </c>
      <c r="B316" s="17">
        <f t="shared" si="16"/>
        <v>46263</v>
      </c>
      <c r="C316" s="26">
        <f>I316+J316+K316+L316+M316+N316+O316+IF(P316="",0,P316*サマリー!$B$9)+IF(Q316="",0,IF(Q316=200,サマリー!$B$10,IF(Q316=100,サマリー!$B$11,0)))+IF(R316="",0,R316*サマリー!$B$12)</f>
        <v>1655</v>
      </c>
      <c r="D316" s="26">
        <f>S316+T316+U316+V316+W316+IF(X316="",0,X316*サマリー!$B$9)+IF(Y316="",0,IF(Y316=200,サマリー!$B$10,IF(Y316=100,サマリー!$B$11,0)))+IF(Z316="",0,Z316*サマリー!$B$12)</f>
        <v>0</v>
      </c>
      <c r="E316" s="26">
        <f t="shared" si="15"/>
        <v>1655</v>
      </c>
      <c r="I316" s="29"/>
      <c r="J316" s="29">
        <v>1655</v>
      </c>
      <c r="K316" s="29"/>
      <c r="L316" s="29"/>
      <c r="M316" s="29"/>
      <c r="N316" s="29"/>
      <c r="O316" s="29"/>
      <c r="P316" s="30"/>
      <c r="Q316" s="30"/>
      <c r="R316" s="30"/>
      <c r="S316" s="31"/>
      <c r="T316" s="31"/>
      <c r="U316" s="31"/>
      <c r="V316" s="31"/>
      <c r="W316" s="31"/>
      <c r="X316" s="32"/>
      <c r="Y316" s="32"/>
      <c r="Z316" s="32"/>
    </row>
    <row r="317" spans="1:26">
      <c r="A317" s="28">
        <v>29</v>
      </c>
      <c r="B317" s="17">
        <f t="shared" si="16"/>
        <v>46263</v>
      </c>
      <c r="C317" s="26">
        <f>I317+J317+K317+L317+M317+N317+O317+IF(P317="",0,P317*サマリー!$B$9)+IF(Q317="",0,IF(Q317=200,サマリー!$B$10,IF(Q317=100,サマリー!$B$11,0)))+IF(R317="",0,R317*サマリー!$B$12)</f>
        <v>11900</v>
      </c>
      <c r="D317" s="26">
        <f>S317+T317+U317+V317+W317+IF(X317="",0,X317*サマリー!$B$9)+IF(Y317="",0,IF(Y317=200,サマリー!$B$10,IF(Y317=100,サマリー!$B$11,0)))+IF(Z317="",0,Z317*サマリー!$B$12)</f>
        <v>0</v>
      </c>
      <c r="E317" s="26">
        <f t="shared" si="15"/>
        <v>11900</v>
      </c>
      <c r="I317" s="29"/>
      <c r="J317" s="29">
        <v>11900</v>
      </c>
      <c r="K317" s="29"/>
      <c r="L317" s="29"/>
      <c r="M317" s="29"/>
      <c r="N317" s="29"/>
      <c r="O317" s="29"/>
      <c r="P317" s="30"/>
      <c r="Q317" s="30"/>
      <c r="R317" s="30"/>
      <c r="S317" s="31"/>
      <c r="T317" s="31"/>
      <c r="U317" s="31"/>
      <c r="V317" s="31"/>
      <c r="W317" s="31"/>
      <c r="X317" s="32"/>
      <c r="Y317" s="32"/>
      <c r="Z317" s="32"/>
    </row>
    <row r="318" spans="1:26">
      <c r="A318" s="28">
        <v>30</v>
      </c>
      <c r="B318" s="17">
        <f t="shared" si="16"/>
        <v>46264</v>
      </c>
      <c r="C318" s="26">
        <f>I318+J318+K318+L318+M318+N318+O318+IF(P318="",0,P318*サマリー!$B$9)+IF(Q318="",0,IF(Q318=200,サマリー!$B$10,IF(Q318=100,サマリー!$B$11,0)))+IF(R318="",0,R318*サマリー!$B$12)</f>
        <v>2210</v>
      </c>
      <c r="D318" s="26">
        <f>S318+T318+U318+V318+W318+IF(X318="",0,X318*サマリー!$B$9)+IF(Y318="",0,IF(Y318=200,サマリー!$B$10,IF(Y318=100,サマリー!$B$11,0)))+IF(Z318="",0,Z318*サマリー!$B$12)</f>
        <v>6400</v>
      </c>
      <c r="E318" s="26">
        <f t="shared" si="15"/>
        <v>8610</v>
      </c>
      <c r="I318" s="29"/>
      <c r="J318" s="29">
        <v>2210</v>
      </c>
      <c r="K318" s="29"/>
      <c r="L318" s="29"/>
      <c r="M318" s="29"/>
      <c r="N318" s="29"/>
      <c r="O318" s="29"/>
      <c r="P318" s="30"/>
      <c r="Q318" s="30"/>
      <c r="R318" s="30"/>
      <c r="S318" s="31"/>
      <c r="T318" s="31">
        <v>6400</v>
      </c>
      <c r="U318" s="31"/>
      <c r="V318" s="31"/>
      <c r="W318" s="31"/>
      <c r="X318" s="32"/>
      <c r="Y318" s="32"/>
      <c r="Z318" s="32"/>
    </row>
    <row r="319" spans="1:26">
      <c r="A319" s="28">
        <v>30</v>
      </c>
      <c r="B319" s="17">
        <f t="shared" si="16"/>
        <v>46264</v>
      </c>
      <c r="C319" s="26">
        <f>I319+J319+K319+L319+M319+N319+O319+IF(P319="",0,P319*サマリー!$B$9)+IF(Q319="",0,IF(Q319=200,サマリー!$B$10,IF(Q319=100,サマリー!$B$11,0)))+IF(R319="",0,R319*サマリー!$B$12)</f>
        <v>0</v>
      </c>
      <c r="D319" s="26">
        <f>S319+T319+U319+V319+W319+IF(X319="",0,X319*サマリー!$B$9)+IF(Y319="",0,IF(Y319=200,サマリー!$B$10,IF(Y319=100,サマリー!$B$11,0)))+IF(Z319="",0,Z319*サマリー!$B$12)</f>
        <v>4755</v>
      </c>
      <c r="E319" s="26">
        <f t="shared" si="15"/>
        <v>4755</v>
      </c>
      <c r="I319" s="29"/>
      <c r="J319" s="29"/>
      <c r="K319" s="29"/>
      <c r="L319" s="29"/>
      <c r="M319" s="29"/>
      <c r="N319" s="29"/>
      <c r="O319" s="29"/>
      <c r="P319" s="30"/>
      <c r="Q319" s="30"/>
      <c r="R319" s="30"/>
      <c r="S319" s="31"/>
      <c r="T319" s="31">
        <v>4755</v>
      </c>
      <c r="U319" s="31"/>
      <c r="V319" s="31"/>
      <c r="W319" s="31"/>
      <c r="X319" s="32"/>
      <c r="Y319" s="32"/>
      <c r="Z319" s="32"/>
    </row>
    <row r="320" spans="1:26">
      <c r="A320" s="28">
        <v>31</v>
      </c>
      <c r="B320" s="17">
        <f t="shared" si="16"/>
        <v>46265</v>
      </c>
      <c r="C320" s="26">
        <f>I320+J320+K320+L320+M320+N320+O320+IF(P320="",0,P320*サマリー!$B$9)+IF(Q320="",0,IF(Q320=200,サマリー!$B$10,IF(Q320=100,サマリー!$B$11,0)))+IF(R320="",0,R320*サマリー!$B$12)</f>
        <v>8255</v>
      </c>
      <c r="D320" s="26">
        <f>S320+T320+U320+V320+W320+IF(X320="",0,X320*サマリー!$B$9)+IF(Y320="",0,IF(Y320=200,サマリー!$B$10,IF(Y320=100,サマリー!$B$11,0)))+IF(Z320="",0,Z320*サマリー!$B$12)</f>
        <v>27300</v>
      </c>
      <c r="E320" s="26">
        <f t="shared" si="15"/>
        <v>35555</v>
      </c>
      <c r="I320" s="29"/>
      <c r="J320" s="29"/>
      <c r="K320" s="29"/>
      <c r="L320" s="29"/>
      <c r="M320" s="29"/>
      <c r="N320" s="29">
        <v>8255</v>
      </c>
      <c r="O320" s="29"/>
      <c r="P320" s="30"/>
      <c r="Q320" s="30"/>
      <c r="R320" s="30"/>
      <c r="S320" s="31"/>
      <c r="T320" s="31">
        <v>27300</v>
      </c>
      <c r="U320" s="31"/>
      <c r="V320" s="31"/>
      <c r="W320" s="31"/>
      <c r="X320" s="32"/>
      <c r="Y320" s="32"/>
      <c r="Z320" s="32"/>
    </row>
    <row r="321" spans="1:26">
      <c r="A321" s="28">
        <v>31</v>
      </c>
      <c r="B321" s="17">
        <f t="shared" si="16"/>
        <v>46265</v>
      </c>
      <c r="C321" s="26">
        <f>I321+J321+K321+L321+M321+N321+O321+IF(P321="",0,P321*サマリー!$B$9)+IF(Q321="",0,IF(Q321=200,サマリー!$B$10,IF(Q321=100,サマリー!$B$11,0)))+IF(R321="",0,R321*サマリー!$B$12)</f>
        <v>0</v>
      </c>
      <c r="D321" s="26">
        <f>S321+T321+U321+V321+W321+IF(X321="",0,X321*サマリー!$B$9)+IF(Y321="",0,IF(Y321=200,サマリー!$B$10,IF(Y321=100,サマリー!$B$11,0)))+IF(Z321="",0,Z321*サマリー!$B$12)</f>
        <v>5500</v>
      </c>
      <c r="E321" s="26">
        <f t="shared" si="15"/>
        <v>5500</v>
      </c>
      <c r="I321" s="29"/>
      <c r="J321" s="29"/>
      <c r="K321" s="29"/>
      <c r="L321" s="29"/>
      <c r="M321" s="29"/>
      <c r="N321" s="29"/>
      <c r="O321" s="29"/>
      <c r="P321" s="30"/>
      <c r="Q321" s="30"/>
      <c r="R321" s="30"/>
      <c r="S321" s="31"/>
      <c r="T321" s="31">
        <v>5500</v>
      </c>
      <c r="U321" s="31"/>
      <c r="V321" s="31"/>
      <c r="W321" s="31"/>
      <c r="X321" s="32"/>
      <c r="Y321" s="32"/>
      <c r="Z321" s="32"/>
    </row>
    <row r="322" spans="1:26">
      <c r="A322" s="28">
        <v>1</v>
      </c>
      <c r="B322" s="17">
        <f t="shared" si="16"/>
        <v>46266</v>
      </c>
      <c r="C322" s="26">
        <f>I322+J322+K322+L322+M322+N322+O322+IF(P322="",0,P322*サマリー!$B$9)+IF(Q322="",0,IF(Q322=200,サマリー!$B$10,IF(Q322=100,サマリー!$B$11,0)))+IF(R322="",0,R322*サマリー!$B$12)</f>
        <v>79400</v>
      </c>
      <c r="D322" s="26">
        <f>S322+T322+U322+V322+W322+IF(X322="",0,X322*サマリー!$B$9)+IF(Y322="",0,IF(Y322=200,サマリー!$B$10,IF(Y322=100,サマリー!$B$11,0)))+IF(Z322="",0,Z322*サマリー!$B$12)</f>
        <v>3755</v>
      </c>
      <c r="E322" s="26">
        <f t="shared" si="15"/>
        <v>83155</v>
      </c>
      <c r="I322" s="29"/>
      <c r="J322" s="29"/>
      <c r="K322" s="29"/>
      <c r="L322" s="29"/>
      <c r="M322" s="29"/>
      <c r="N322" s="29">
        <v>4400</v>
      </c>
      <c r="O322" s="29"/>
      <c r="P322" s="30">
        <v>3</v>
      </c>
      <c r="Q322" s="30"/>
      <c r="R322" s="30"/>
      <c r="S322" s="31"/>
      <c r="T322" s="31">
        <v>3755</v>
      </c>
      <c r="U322" s="31"/>
      <c r="V322" s="31"/>
      <c r="W322" s="31"/>
      <c r="X322" s="32"/>
      <c r="Y322" s="32"/>
      <c r="Z322" s="32"/>
    </row>
    <row r="323" spans="1:26">
      <c r="A323" s="28">
        <v>1</v>
      </c>
      <c r="B323" s="17">
        <f t="shared" si="16"/>
        <v>46266</v>
      </c>
      <c r="C323" s="26">
        <f>I323+J323+K323+L323+M323+N323+O323+IF(P323="",0,P323*サマリー!$B$9)+IF(Q323="",0,IF(Q323=200,サマリー!$B$10,IF(Q323=100,サマリー!$B$11,0)))+IF(R323="",0,R323*サマリー!$B$12)</f>
        <v>0</v>
      </c>
      <c r="D323" s="26">
        <f>S323+T323+U323+V323+W323+IF(X323="",0,X323*サマリー!$B$9)+IF(Y323="",0,IF(Y323=200,サマリー!$B$10,IF(Y323=100,サマリー!$B$11,0)))+IF(Z323="",0,Z323*サマリー!$B$12)</f>
        <v>49635</v>
      </c>
      <c r="E323" s="26">
        <f t="shared" si="15"/>
        <v>49635</v>
      </c>
      <c r="I323" s="29"/>
      <c r="J323" s="29"/>
      <c r="K323" s="29"/>
      <c r="L323" s="29"/>
      <c r="M323" s="29"/>
      <c r="N323" s="29"/>
      <c r="O323" s="29"/>
      <c r="P323" s="30"/>
      <c r="Q323" s="30"/>
      <c r="R323" s="30"/>
      <c r="S323" s="31">
        <v>42394</v>
      </c>
      <c r="T323" s="31"/>
      <c r="U323" s="31"/>
      <c r="V323" s="31"/>
      <c r="W323" s="31"/>
      <c r="X323" s="32"/>
      <c r="Y323" s="32">
        <v>200</v>
      </c>
      <c r="Z323" s="32"/>
    </row>
    <row r="324" spans="1:26">
      <c r="A324" s="28">
        <v>1</v>
      </c>
      <c r="B324" s="17">
        <f t="shared" si="16"/>
        <v>46266</v>
      </c>
      <c r="C324" s="26">
        <f>I324+J324+K324+L324+M324+N324+O324+IF(P324="",0,P324*サマリー!$B$9)+IF(Q324="",0,IF(Q324=200,サマリー!$B$10,IF(Q324=100,サマリー!$B$11,0)))+IF(R324="",0,R324*サマリー!$B$12)</f>
        <v>0</v>
      </c>
      <c r="D324" s="26">
        <f>S324+T324+U324+V324+W324+IF(X324="",0,X324*サマリー!$B$9)+IF(Y324="",0,IF(Y324=200,サマリー!$B$10,IF(Y324=100,サマリー!$B$11,0)))+IF(Z324="",0,Z324*サマリー!$B$12)</f>
        <v>2200</v>
      </c>
      <c r="E324" s="26">
        <f t="shared" si="15"/>
        <v>2200</v>
      </c>
      <c r="I324" s="29"/>
      <c r="J324" s="29"/>
      <c r="K324" s="29"/>
      <c r="L324" s="29"/>
      <c r="M324" s="29"/>
      <c r="N324" s="29"/>
      <c r="O324" s="29"/>
      <c r="P324" s="30"/>
      <c r="Q324" s="30"/>
      <c r="R324" s="30"/>
      <c r="S324" s="31"/>
      <c r="T324" s="31">
        <v>2200</v>
      </c>
      <c r="U324" s="31"/>
      <c r="V324" s="31"/>
      <c r="W324" s="31"/>
      <c r="X324" s="32"/>
      <c r="Y324" s="32"/>
      <c r="Z324" s="32"/>
    </row>
    <row r="325" spans="1:26">
      <c r="A325" s="28">
        <v>2</v>
      </c>
      <c r="B325" s="17">
        <f t="shared" si="16"/>
        <v>46267</v>
      </c>
      <c r="C325" s="26">
        <f>I325+J325+K325+L325+M325+N325+O325+IF(P325="",0,P325*サマリー!$B$9)+IF(Q325="",0,IF(Q325=200,サマリー!$B$10,IF(Q325=100,サマリー!$B$11,0)))+IF(R325="",0,R325*サマリー!$B$12)</f>
        <v>4955</v>
      </c>
      <c r="D325" s="26">
        <f>S325+T325+U325+V325+W325+IF(X325="",0,X325*サマリー!$B$9)+IF(Y325="",0,IF(Y325=200,サマリー!$B$10,IF(Y325=100,サマリー!$B$11,0)))+IF(Z325="",0,Z325*サマリー!$B$12)</f>
        <v>0</v>
      </c>
      <c r="E325" s="26">
        <f t="shared" si="15"/>
        <v>4955</v>
      </c>
      <c r="I325" s="29"/>
      <c r="J325" s="29">
        <v>4955</v>
      </c>
      <c r="K325" s="29"/>
      <c r="L325" s="29"/>
      <c r="M325" s="29"/>
      <c r="N325" s="29"/>
      <c r="O325" s="29"/>
      <c r="P325" s="30"/>
      <c r="Q325" s="30"/>
      <c r="R325" s="30"/>
      <c r="S325" s="31"/>
      <c r="T325" s="31"/>
      <c r="U325" s="31"/>
      <c r="V325" s="31"/>
      <c r="W325" s="31"/>
      <c r="X325" s="32"/>
      <c r="Y325" s="32"/>
      <c r="Z325" s="32"/>
    </row>
    <row r="326" spans="1:26">
      <c r="A326" s="28">
        <v>2</v>
      </c>
      <c r="B326" s="17">
        <f t="shared" si="16"/>
        <v>46267</v>
      </c>
      <c r="C326" s="26">
        <f>I326+J326+K326+L326+M326+N326+O326+IF(P326="",0,P326*サマリー!$B$9)+IF(Q326="",0,IF(Q326=200,サマリー!$B$10,IF(Q326=100,サマリー!$B$11,0)))+IF(R326="",0,R326*サマリー!$B$12)</f>
        <v>1755</v>
      </c>
      <c r="D326" s="26">
        <f>S326+T326+U326+V326+W326+IF(X326="",0,X326*サマリー!$B$9)+IF(Y326="",0,IF(Y326=200,サマリー!$B$10,IF(Y326=100,サマリー!$B$11,0)))+IF(Z326="",0,Z326*サマリー!$B$12)</f>
        <v>0</v>
      </c>
      <c r="E326" s="26">
        <f t="shared" si="15"/>
        <v>1755</v>
      </c>
      <c r="I326" s="29"/>
      <c r="J326" s="29">
        <v>1755</v>
      </c>
      <c r="K326" s="29"/>
      <c r="L326" s="29"/>
      <c r="M326" s="29"/>
      <c r="N326" s="29"/>
      <c r="O326" s="29"/>
      <c r="P326" s="30"/>
      <c r="Q326" s="30"/>
      <c r="R326" s="30"/>
      <c r="S326" s="31"/>
      <c r="T326" s="31"/>
      <c r="U326" s="31"/>
      <c r="V326" s="31"/>
      <c r="W326" s="31"/>
      <c r="X326" s="32"/>
      <c r="Y326" s="32"/>
      <c r="Z326" s="32"/>
    </row>
    <row r="327" spans="1:26">
      <c r="A327" s="28">
        <v>2</v>
      </c>
      <c r="B327" s="17">
        <f t="shared" si="16"/>
        <v>46267</v>
      </c>
      <c r="C327" s="26">
        <f>I327+J327+K327+L327+M327+N327+O327+IF(P327="",0,P327*サマリー!$B$9)+IF(Q327="",0,IF(Q327=200,サマリー!$B$10,IF(Q327=100,サマリー!$B$11,0)))+IF(R327="",0,R327*サマリー!$B$12)</f>
        <v>18279</v>
      </c>
      <c r="D327" s="26">
        <f>S327+T327+U327+V327+W327+IF(X327="",0,X327*サマリー!$B$9)+IF(Y327="",0,IF(Y327=200,サマリー!$B$10,IF(Y327=100,サマリー!$B$11,0)))+IF(Z327="",0,Z327*サマリー!$B$12)</f>
        <v>0</v>
      </c>
      <c r="E327" s="26">
        <f t="shared" si="15"/>
        <v>18279</v>
      </c>
      <c r="I327" s="29"/>
      <c r="J327" s="29">
        <v>18279</v>
      </c>
      <c r="K327" s="29"/>
      <c r="L327" s="29"/>
      <c r="M327" s="29"/>
      <c r="N327" s="29"/>
      <c r="O327" s="29"/>
      <c r="P327" s="30"/>
      <c r="Q327" s="30"/>
      <c r="R327" s="30"/>
      <c r="S327" s="31"/>
      <c r="T327" s="31"/>
      <c r="U327" s="31"/>
      <c r="V327" s="31"/>
      <c r="W327" s="31"/>
      <c r="X327" s="32"/>
      <c r="Y327" s="32"/>
      <c r="Z327" s="32"/>
    </row>
    <row r="328" spans="1:26">
      <c r="A328" s="28">
        <v>3</v>
      </c>
      <c r="B328" s="17">
        <f t="shared" si="16"/>
        <v>46268</v>
      </c>
      <c r="C328" s="26">
        <f>I328+J328+K328+L328+M328+N328+O328+IF(P328="",0,P328*サマリー!$B$9)+IF(Q328="",0,IF(Q328=200,サマリー!$B$10,IF(Q328=100,サマリー!$B$11,0)))+IF(R328="",0,R328*サマリー!$B$12)</f>
        <v>51655</v>
      </c>
      <c r="D328" s="26">
        <f>S328+T328+U328+V328+W328+IF(X328="",0,X328*サマリー!$B$9)+IF(Y328="",0,IF(Y328=200,サマリー!$B$10,IF(Y328=100,サマリー!$B$11,0)))+IF(Z328="",0,Z328*サマリー!$B$12)</f>
        <v>1755</v>
      </c>
      <c r="E328" s="26">
        <f t="shared" si="15"/>
        <v>53410</v>
      </c>
      <c r="I328" s="29"/>
      <c r="J328" s="29">
        <v>1655</v>
      </c>
      <c r="K328" s="29"/>
      <c r="L328" s="29"/>
      <c r="M328" s="29"/>
      <c r="N328" s="29"/>
      <c r="O328" s="29"/>
      <c r="P328" s="30">
        <v>2</v>
      </c>
      <c r="Q328" s="30"/>
      <c r="R328" s="30"/>
      <c r="S328" s="31"/>
      <c r="T328" s="31">
        <v>1755</v>
      </c>
      <c r="U328" s="31"/>
      <c r="V328" s="31"/>
      <c r="W328" s="31"/>
      <c r="X328" s="32"/>
      <c r="Y328" s="32"/>
      <c r="Z328" s="32"/>
    </row>
    <row r="329" spans="1:26">
      <c r="A329" s="28">
        <v>4</v>
      </c>
      <c r="B329" s="17">
        <f t="shared" si="16"/>
        <v>46269</v>
      </c>
      <c r="C329" s="26">
        <f>I329+J329+K329+L329+M329+N329+O329+IF(P329="",0,P329*サマリー!$B$9)+IF(Q329="",0,IF(Q329=200,サマリー!$B$10,IF(Q329=100,サマリー!$B$11,0)))+IF(R329="",0,R329*サマリー!$B$12)</f>
        <v>6400</v>
      </c>
      <c r="D329" s="26">
        <f>S329+T329+U329+V329+W329+IF(X329="",0,X329*サマリー!$B$9)+IF(Y329="",0,IF(Y329=200,サマリー!$B$10,IF(Y329=100,サマリー!$B$11,0)))+IF(Z329="",0,Z329*サマリー!$B$12)</f>
        <v>33595</v>
      </c>
      <c r="E329" s="26">
        <f t="shared" si="15"/>
        <v>39995</v>
      </c>
      <c r="I329" s="29"/>
      <c r="J329" s="29">
        <v>6400</v>
      </c>
      <c r="K329" s="29"/>
      <c r="L329" s="29"/>
      <c r="M329" s="29"/>
      <c r="N329" s="29"/>
      <c r="O329" s="29"/>
      <c r="P329" s="30"/>
      <c r="Q329" s="30"/>
      <c r="R329" s="30"/>
      <c r="S329" s="31"/>
      <c r="T329" s="31">
        <v>28840</v>
      </c>
      <c r="U329" s="31"/>
      <c r="V329" s="31">
        <v>4755</v>
      </c>
      <c r="W329" s="31"/>
      <c r="X329" s="32"/>
      <c r="Y329" s="32"/>
      <c r="Z329" s="32"/>
    </row>
    <row r="330" spans="1:26">
      <c r="A330" s="28">
        <v>4</v>
      </c>
      <c r="B330" s="17">
        <f t="shared" si="16"/>
        <v>46269</v>
      </c>
      <c r="C330" s="26">
        <f>I330+J330+K330+L330+M330+N330+O330+IF(P330="",0,P330*サマリー!$B$9)+IF(Q330="",0,IF(Q330=200,サマリー!$B$10,IF(Q330=100,サマリー!$B$11,0)))+IF(R330="",0,R330*サマリー!$B$12)</f>
        <v>0</v>
      </c>
      <c r="D330" s="26">
        <f>S330+T330+U330+V330+W330+IF(X330="",0,X330*サマリー!$B$9)+IF(Y330="",0,IF(Y330=200,サマリー!$B$10,IF(Y330=100,サマリー!$B$11,0)))+IF(Z330="",0,Z330*サマリー!$B$12)</f>
        <v>3319</v>
      </c>
      <c r="E330" s="26">
        <f t="shared" si="15"/>
        <v>3319</v>
      </c>
      <c r="I330" s="29"/>
      <c r="J330" s="29"/>
      <c r="K330" s="29"/>
      <c r="L330" s="29"/>
      <c r="M330" s="29"/>
      <c r="N330" s="29"/>
      <c r="O330" s="29"/>
      <c r="P330" s="30"/>
      <c r="Q330" s="30"/>
      <c r="R330" s="30"/>
      <c r="S330" s="31"/>
      <c r="T330" s="31"/>
      <c r="U330" s="31"/>
      <c r="V330" s="31">
        <v>3319</v>
      </c>
      <c r="W330" s="31"/>
      <c r="X330" s="32"/>
      <c r="Y330" s="32"/>
      <c r="Z330" s="32"/>
    </row>
    <row r="331" spans="1:26">
      <c r="A331" s="28">
        <v>5</v>
      </c>
      <c r="B331" s="17">
        <f t="shared" si="16"/>
        <v>46270</v>
      </c>
      <c r="C331" s="26">
        <f>I331+J331+K331+L331+M331+N331+O331+IF(P331="",0,P331*サマリー!$B$9)+IF(Q331="",0,IF(Q331=200,サマリー!$B$10,IF(Q331=100,サマリー!$B$11,0)))+IF(R331="",0,R331*サマリー!$B$12)</f>
        <v>16865</v>
      </c>
      <c r="D331" s="26">
        <f>S331+T331+U331+V331+W331+IF(X331="",0,X331*サマリー!$B$9)+IF(Y331="",0,IF(Y331=200,サマリー!$B$10,IF(Y331=100,サマリー!$B$11,0)))+IF(Z331="",0,Z331*サマリー!$B$12)</f>
        <v>555</v>
      </c>
      <c r="E331" s="26">
        <f t="shared" si="15"/>
        <v>17420</v>
      </c>
      <c r="I331" s="29"/>
      <c r="J331" s="29">
        <v>16865</v>
      </c>
      <c r="K331" s="29"/>
      <c r="L331" s="29"/>
      <c r="M331" s="29"/>
      <c r="N331" s="29"/>
      <c r="O331" s="29"/>
      <c r="P331" s="30"/>
      <c r="Q331" s="30"/>
      <c r="R331" s="30"/>
      <c r="S331" s="31"/>
      <c r="T331" s="31">
        <v>555</v>
      </c>
      <c r="U331" s="31"/>
      <c r="V331" s="31"/>
      <c r="W331" s="31"/>
      <c r="X331" s="32"/>
      <c r="Y331" s="32"/>
      <c r="Z331" s="32"/>
    </row>
    <row r="332" spans="1:26">
      <c r="A332" s="28">
        <v>6</v>
      </c>
      <c r="B332" s="17">
        <f t="shared" si="16"/>
        <v>46271</v>
      </c>
      <c r="C332" s="26">
        <f>I332+J332+K332+L332+M332+N332+O332+IF(P332="",0,P332*サマリー!$B$9)+IF(Q332="",0,IF(Q332=200,サマリー!$B$10,IF(Q332=100,サマリー!$B$11,0)))+IF(R332="",0,R332*サマリー!$B$12)</f>
        <v>0</v>
      </c>
      <c r="D332" s="26">
        <f>S332+T332+U332+V332+W332+IF(X332="",0,X332*サマリー!$B$9)+IF(Y332="",0,IF(Y332=200,サマリー!$B$10,IF(Y332=100,サマリー!$B$11,0)))+IF(Z332="",0,Z332*サマリー!$B$12)</f>
        <v>5082</v>
      </c>
      <c r="E332" s="26">
        <f t="shared" si="15"/>
        <v>5082</v>
      </c>
      <c r="I332" s="29"/>
      <c r="J332" s="29"/>
      <c r="K332" s="29"/>
      <c r="L332" s="29"/>
      <c r="M332" s="29"/>
      <c r="N332" s="29"/>
      <c r="O332" s="29"/>
      <c r="P332" s="30"/>
      <c r="Q332" s="30"/>
      <c r="R332" s="30"/>
      <c r="S332" s="31"/>
      <c r="T332" s="31">
        <v>5082</v>
      </c>
      <c r="U332" s="31"/>
      <c r="V332" s="31"/>
      <c r="W332" s="31"/>
      <c r="X332" s="32"/>
      <c r="Y332" s="32"/>
      <c r="Z332" s="32"/>
    </row>
    <row r="333" spans="1:26">
      <c r="A333" s="28">
        <v>6</v>
      </c>
      <c r="B333" s="17">
        <f t="shared" si="16"/>
        <v>46271</v>
      </c>
      <c r="C333" s="26">
        <f>I333+J333+K333+L333+M333+N333+O333+IF(P333="",0,P333*サマリー!$B$9)+IF(Q333="",0,IF(Q333=200,サマリー!$B$10,IF(Q333=100,サマリー!$B$11,0)))+IF(R333="",0,R333*サマリー!$B$12)</f>
        <v>0</v>
      </c>
      <c r="D333" s="26">
        <f>S333+T333+U333+V333+W333+IF(X333="",0,X333*サマリー!$B$9)+IF(Y333="",0,IF(Y333=200,サマリー!$B$10,IF(Y333=100,サマリー!$B$11,0)))+IF(Z333="",0,Z333*サマリー!$B$12)</f>
        <v>5519</v>
      </c>
      <c r="E333" s="26">
        <f t="shared" si="15"/>
        <v>5519</v>
      </c>
      <c r="I333" s="29"/>
      <c r="J333" s="29"/>
      <c r="K333" s="29"/>
      <c r="L333" s="29"/>
      <c r="M333" s="29"/>
      <c r="N333" s="29"/>
      <c r="O333" s="29"/>
      <c r="P333" s="30"/>
      <c r="Q333" s="30"/>
      <c r="R333" s="30"/>
      <c r="S333" s="31"/>
      <c r="T333" s="31">
        <v>5519</v>
      </c>
      <c r="U333" s="31"/>
      <c r="V333" s="31"/>
      <c r="W333" s="31"/>
      <c r="X333" s="32"/>
      <c r="Y333" s="32"/>
      <c r="Z333" s="32"/>
    </row>
    <row r="334" spans="1:26">
      <c r="A334" s="28">
        <v>6</v>
      </c>
      <c r="B334" s="17">
        <f t="shared" si="16"/>
        <v>46271</v>
      </c>
      <c r="C334" s="26">
        <f>I334+J334+K334+L334+M334+N334+O334+IF(P334="",0,P334*サマリー!$B$9)+IF(Q334="",0,IF(Q334=200,サマリー!$B$10,IF(Q334=100,サマリー!$B$11,0)))+IF(R334="",0,R334*サマリー!$B$12)</f>
        <v>0</v>
      </c>
      <c r="D334" s="26">
        <f>S334+T334+U334+V334+W334+IF(X334="",0,X334*サマリー!$B$9)+IF(Y334="",0,IF(Y334=200,サマリー!$B$10,IF(Y334=100,サマリー!$B$11,0)))+IF(Z334="",0,Z334*サマリー!$B$12)</f>
        <v>29200</v>
      </c>
      <c r="E334" s="26">
        <f t="shared" si="15"/>
        <v>29200</v>
      </c>
      <c r="I334" s="29"/>
      <c r="J334" s="29"/>
      <c r="K334" s="29"/>
      <c r="L334" s="29"/>
      <c r="M334" s="29"/>
      <c r="N334" s="29"/>
      <c r="O334" s="29"/>
      <c r="P334" s="30"/>
      <c r="Q334" s="30"/>
      <c r="R334" s="30"/>
      <c r="S334" s="31">
        <v>29200</v>
      </c>
      <c r="T334" s="31"/>
      <c r="U334" s="31"/>
      <c r="V334" s="31"/>
      <c r="W334" s="31"/>
      <c r="X334" s="32"/>
      <c r="Y334" s="32"/>
      <c r="Z334" s="32"/>
    </row>
    <row r="335" spans="1:26">
      <c r="A335" s="28">
        <v>7</v>
      </c>
      <c r="B335" s="17">
        <f t="shared" si="16"/>
        <v>46272</v>
      </c>
      <c r="C335" s="26">
        <f>I335+J335+K335+L335+M335+N335+O335+IF(P335="",0,P335*サマリー!$B$9)+IF(Q335="",0,IF(Q335=200,サマリー!$B$10,IF(Q335=100,サマリー!$B$11,0)))+IF(R335="",0,R335*サマリー!$B$12)</f>
        <v>12319</v>
      </c>
      <c r="D335" s="26">
        <f>S335+T335+U335+V335+W335+IF(X335="",0,X335*サマリー!$B$9)+IF(Y335="",0,IF(Y335=200,サマリー!$B$10,IF(Y335=100,サマリー!$B$11,0)))+IF(Z335="",0,Z335*サマリー!$B$12)</f>
        <v>3755</v>
      </c>
      <c r="E335" s="26">
        <f t="shared" si="15"/>
        <v>16074</v>
      </c>
      <c r="I335" s="29"/>
      <c r="J335" s="29"/>
      <c r="K335" s="29"/>
      <c r="L335" s="29"/>
      <c r="M335" s="29"/>
      <c r="N335" s="29">
        <v>12319</v>
      </c>
      <c r="O335" s="29"/>
      <c r="P335" s="30"/>
      <c r="Q335" s="30"/>
      <c r="R335" s="30"/>
      <c r="S335" s="31"/>
      <c r="T335" s="31">
        <v>3755</v>
      </c>
      <c r="U335" s="31"/>
      <c r="V335" s="31"/>
      <c r="W335" s="31"/>
      <c r="X335" s="32"/>
      <c r="Y335" s="32"/>
      <c r="Z335" s="32"/>
    </row>
    <row r="336" spans="1:26">
      <c r="A336" s="28">
        <v>8</v>
      </c>
      <c r="B336" s="17">
        <f t="shared" si="16"/>
        <v>46273</v>
      </c>
      <c r="C336" s="26">
        <f>I336+J336+K336+L336+M336+N336+O336+IF(P336="",0,P336*サマリー!$B$9)+IF(Q336="",0,IF(Q336=200,サマリー!$B$10,IF(Q336=100,サマリー!$B$11,0)))+IF(R336="",0,R336*サマリー!$B$12)</f>
        <v>35550</v>
      </c>
      <c r="D336" s="26">
        <f>S336+T336+U336+V336+W336+IF(X336="",0,X336*サマリー!$B$9)+IF(Y336="",0,IF(Y336=200,サマリー!$B$10,IF(Y336=100,サマリー!$B$11,0)))+IF(Z336="",0,Z336*サマリー!$B$12)</f>
        <v>0</v>
      </c>
      <c r="E336" s="26">
        <f t="shared" si="15"/>
        <v>35550</v>
      </c>
      <c r="I336" s="29"/>
      <c r="J336" s="29">
        <v>35550</v>
      </c>
      <c r="K336" s="29"/>
      <c r="L336" s="29"/>
      <c r="M336" s="29"/>
      <c r="N336" s="29"/>
      <c r="O336" s="29"/>
      <c r="P336" s="30"/>
      <c r="Q336" s="30"/>
      <c r="R336" s="30"/>
      <c r="S336" s="31"/>
      <c r="T336" s="31"/>
      <c r="U336" s="31"/>
      <c r="V336" s="31"/>
      <c r="W336" s="31"/>
      <c r="X336" s="32"/>
      <c r="Y336" s="32"/>
      <c r="Z336" s="32"/>
    </row>
    <row r="337" spans="1:26">
      <c r="A337" s="28">
        <v>8</v>
      </c>
      <c r="B337" s="17">
        <f t="shared" si="16"/>
        <v>46273</v>
      </c>
      <c r="C337" s="26">
        <f>I337+J337+K337+L337+M337+N337+O337+IF(P337="",0,P337*サマリー!$B$9)+IF(Q337="",0,IF(Q337=200,サマリー!$B$10,IF(Q337=100,サマリー!$B$11,0)))+IF(R337="",0,R337*サマリー!$B$12)</f>
        <v>66690</v>
      </c>
      <c r="D337" s="26">
        <f>S337+T337+U337+V337+W337+IF(X337="",0,X337*サマリー!$B$9)+IF(Y337="",0,IF(Y337=200,サマリー!$B$10,IF(Y337=100,サマリー!$B$11,0)))+IF(Z337="",0,Z337*サマリー!$B$12)</f>
        <v>0</v>
      </c>
      <c r="E337" s="26">
        <f t="shared" si="15"/>
        <v>66690</v>
      </c>
      <c r="I337" s="29">
        <v>26600</v>
      </c>
      <c r="J337" s="29"/>
      <c r="K337" s="29">
        <v>10090</v>
      </c>
      <c r="L337" s="29"/>
      <c r="M337" s="29"/>
      <c r="N337" s="29"/>
      <c r="O337" s="29"/>
      <c r="P337" s="30"/>
      <c r="Q337" s="30"/>
      <c r="R337" s="30">
        <v>1</v>
      </c>
      <c r="S337" s="31"/>
      <c r="T337" s="31"/>
      <c r="U337" s="31"/>
      <c r="V337" s="31"/>
      <c r="W337" s="31"/>
      <c r="X337" s="32"/>
      <c r="Y337" s="32"/>
      <c r="Z337" s="32"/>
    </row>
    <row r="338" spans="1:26">
      <c r="A338" s="28">
        <v>8</v>
      </c>
      <c r="B338" s="17">
        <f t="shared" si="16"/>
        <v>46273</v>
      </c>
      <c r="C338" s="26">
        <f>I338+J338+K338+L338+M338+N338+O338+IF(P338="",0,P338*サマリー!$B$9)+IF(Q338="",0,IF(Q338=200,サマリー!$B$10,IF(Q338=100,サマリー!$B$11,0)))+IF(R338="",0,R338*サマリー!$B$12)</f>
        <v>555</v>
      </c>
      <c r="D338" s="26">
        <f>S338+T338+U338+V338+W338+IF(X338="",0,X338*サマリー!$B$9)+IF(Y338="",0,IF(Y338=200,サマリー!$B$10,IF(Y338=100,サマリー!$B$11,0)))+IF(Z338="",0,Z338*サマリー!$B$12)</f>
        <v>0</v>
      </c>
      <c r="E338" s="26">
        <f t="shared" si="15"/>
        <v>555</v>
      </c>
      <c r="I338" s="29">
        <v>555</v>
      </c>
      <c r="J338" s="29"/>
      <c r="K338" s="29"/>
      <c r="L338" s="29"/>
      <c r="M338" s="29"/>
      <c r="N338" s="29"/>
      <c r="O338" s="29"/>
      <c r="P338" s="30"/>
      <c r="Q338" s="30"/>
      <c r="R338" s="30"/>
      <c r="S338" s="31"/>
      <c r="T338" s="31"/>
      <c r="U338" s="31"/>
      <c r="V338" s="31"/>
      <c r="W338" s="31"/>
      <c r="X338" s="32"/>
      <c r="Y338" s="32"/>
      <c r="Z338" s="32"/>
    </row>
    <row r="339" spans="1:26">
      <c r="A339" s="28">
        <v>8</v>
      </c>
      <c r="B339" s="17">
        <f t="shared" si="16"/>
        <v>46273</v>
      </c>
      <c r="C339" s="26">
        <f>I339+J339+K339+L339+M339+N339+O339+IF(P339="",0,P339*サマリー!$B$9)+IF(Q339="",0,IF(Q339=200,サマリー!$B$10,IF(Q339=100,サマリー!$B$11,0)))+IF(R339="",0,R339*サマリー!$B$12)</f>
        <v>35279</v>
      </c>
      <c r="D339" s="26">
        <f>S339+T339+U339+V339+W339+IF(X339="",0,X339*サマリー!$B$9)+IF(Y339="",0,IF(Y339=200,サマリー!$B$10,IF(Y339=100,サマリー!$B$11,0)))+IF(Z339="",0,Z339*サマリー!$B$12)</f>
        <v>0</v>
      </c>
      <c r="E339" s="26">
        <f t="shared" si="15"/>
        <v>35279</v>
      </c>
      <c r="I339" s="29">
        <v>28038</v>
      </c>
      <c r="J339" s="29"/>
      <c r="K339" s="29"/>
      <c r="L339" s="29"/>
      <c r="M339" s="29"/>
      <c r="N339" s="29"/>
      <c r="O339" s="29"/>
      <c r="P339" s="30"/>
      <c r="Q339" s="30">
        <v>200</v>
      </c>
      <c r="R339" s="30"/>
      <c r="S339" s="31"/>
      <c r="T339" s="31"/>
      <c r="U339" s="31"/>
      <c r="V339" s="31"/>
      <c r="W339" s="31"/>
      <c r="X339" s="32"/>
      <c r="Y339" s="32"/>
      <c r="Z339" s="32"/>
    </row>
    <row r="340" spans="1:26">
      <c r="A340" s="28">
        <v>9</v>
      </c>
      <c r="B340" s="17">
        <f t="shared" si="16"/>
        <v>46274</v>
      </c>
      <c r="C340" s="26">
        <f>I340+J340+K340+L340+M340+N340+O340+IF(P340="",0,P340*サマリー!$B$9)+IF(Q340="",0,IF(Q340=200,サマリー!$B$10,IF(Q340=100,サマリー!$B$11,0)))+IF(R340="",0,R340*サマリー!$B$12)</f>
        <v>75000</v>
      </c>
      <c r="D340" s="26">
        <f>S340+T340+U340+V340+W340+IF(X340="",0,X340*サマリー!$B$9)+IF(Y340="",0,IF(Y340=200,サマリー!$B$10,IF(Y340=100,サマリー!$B$11,0)))+IF(Z340="",0,Z340*サマリー!$B$12)</f>
        <v>20097</v>
      </c>
      <c r="E340" s="26">
        <f t="shared" si="15"/>
        <v>95097</v>
      </c>
      <c r="I340" s="29"/>
      <c r="J340" s="29"/>
      <c r="K340" s="29"/>
      <c r="L340" s="29"/>
      <c r="M340" s="29"/>
      <c r="N340" s="29"/>
      <c r="O340" s="29"/>
      <c r="P340" s="30">
        <v>3</v>
      </c>
      <c r="Q340" s="30"/>
      <c r="R340" s="30"/>
      <c r="S340" s="31"/>
      <c r="T340" s="31">
        <v>14570</v>
      </c>
      <c r="U340" s="31">
        <v>5527</v>
      </c>
      <c r="V340" s="31"/>
      <c r="W340" s="31"/>
      <c r="X340" s="32"/>
      <c r="Y340" s="32"/>
      <c r="Z340" s="32"/>
    </row>
    <row r="341" spans="1:26">
      <c r="A341" s="28">
        <v>9</v>
      </c>
      <c r="B341" s="17">
        <f t="shared" si="16"/>
        <v>46274</v>
      </c>
      <c r="C341" s="26">
        <f>I341+J341+K341+L341+M341+N341+O341+IF(P341="",0,P341*サマリー!$B$9)+IF(Q341="",0,IF(Q341=200,サマリー!$B$10,IF(Q341=100,サマリー!$B$11,0)))+IF(R341="",0,R341*サマリー!$B$12)</f>
        <v>50000</v>
      </c>
      <c r="D341" s="26">
        <f>S341+T341+U341+V341+W341+IF(X341="",0,X341*サマリー!$B$9)+IF(Y341="",0,IF(Y341=200,サマリー!$B$10,IF(Y341=100,サマリー!$B$11,0)))+IF(Z341="",0,Z341*サマリー!$B$12)</f>
        <v>0</v>
      </c>
      <c r="E341" s="26">
        <f t="shared" si="15"/>
        <v>50000</v>
      </c>
      <c r="I341" s="29"/>
      <c r="J341" s="29"/>
      <c r="K341" s="29"/>
      <c r="L341" s="29"/>
      <c r="M341" s="29"/>
      <c r="N341" s="29"/>
      <c r="O341" s="29"/>
      <c r="P341" s="30">
        <v>2</v>
      </c>
      <c r="Q341" s="30"/>
      <c r="R341" s="30"/>
      <c r="S341" s="31"/>
      <c r="T341" s="31"/>
      <c r="U341" s="31"/>
      <c r="V341" s="31"/>
      <c r="W341" s="31"/>
      <c r="X341" s="32"/>
      <c r="Y341" s="32"/>
      <c r="Z341" s="32"/>
    </row>
    <row r="342" spans="1:26">
      <c r="A342" s="28">
        <v>10</v>
      </c>
      <c r="B342" s="17">
        <f t="shared" si="16"/>
        <v>46275</v>
      </c>
      <c r="C342" s="26">
        <f>I342+J342+K342+L342+M342+N342+O342+IF(P342="",0,P342*サマリー!$B$9)+IF(Q342="",0,IF(Q342=200,サマリー!$B$10,IF(Q342=100,サマリー!$B$11,0)))+IF(R342="",0,R342*サマリー!$B$12)</f>
        <v>0</v>
      </c>
      <c r="D342" s="26">
        <f>S342+T342+U342+V342+W342+IF(X342="",0,X342*サマリー!$B$9)+IF(Y342="",0,IF(Y342=200,サマリー!$B$10,IF(Y342=100,サマリー!$B$11,0)))+IF(Z342="",0,Z342*サマリー!$B$12)</f>
        <v>4628</v>
      </c>
      <c r="E342" s="26">
        <f t="shared" si="15"/>
        <v>4628</v>
      </c>
      <c r="I342" s="29"/>
      <c r="J342" s="29"/>
      <c r="K342" s="29"/>
      <c r="L342" s="29"/>
      <c r="M342" s="29"/>
      <c r="N342" s="29"/>
      <c r="O342" s="29"/>
      <c r="P342" s="30"/>
      <c r="Q342" s="30"/>
      <c r="R342" s="30"/>
      <c r="S342" s="31"/>
      <c r="T342" s="31">
        <v>4628</v>
      </c>
      <c r="U342" s="31"/>
      <c r="V342" s="31"/>
      <c r="W342" s="31"/>
      <c r="X342" s="32"/>
      <c r="Y342" s="32"/>
      <c r="Z342" s="32"/>
    </row>
    <row r="343" spans="1:26">
      <c r="A343" s="28">
        <v>11</v>
      </c>
      <c r="B343" s="17">
        <f t="shared" si="16"/>
        <v>46276</v>
      </c>
      <c r="C343" s="26">
        <f>I343+J343+K343+L343+M343+N343+O343+IF(P343="",0,P343*サマリー!$B$9)+IF(Q343="",0,IF(Q343=200,サマリー!$B$10,IF(Q343=100,サマリー!$B$11,0)))+IF(R343="",0,R343*サマリー!$B$12)</f>
        <v>24519</v>
      </c>
      <c r="D343" s="26">
        <f>S343+T343+U343+V343+W343+IF(X343="",0,X343*サマリー!$B$9)+IF(Y343="",0,IF(Y343=200,サマリー!$B$10,IF(Y343=100,サマリー!$B$11,0)))+IF(Z343="",0,Z343*サマリー!$B$12)</f>
        <v>5519</v>
      </c>
      <c r="E343" s="26">
        <f t="shared" si="15"/>
        <v>30038</v>
      </c>
      <c r="I343" s="29">
        <v>24519</v>
      </c>
      <c r="J343" s="29"/>
      <c r="K343" s="29"/>
      <c r="L343" s="29"/>
      <c r="M343" s="29"/>
      <c r="N343" s="29"/>
      <c r="O343" s="29"/>
      <c r="P343" s="30"/>
      <c r="Q343" s="30"/>
      <c r="R343" s="30"/>
      <c r="S343" s="31"/>
      <c r="T343" s="31"/>
      <c r="U343" s="31"/>
      <c r="V343" s="31">
        <v>5519</v>
      </c>
      <c r="W343" s="31"/>
      <c r="X343" s="32"/>
      <c r="Y343" s="32"/>
      <c r="Z343" s="32"/>
    </row>
    <row r="344" spans="1:26">
      <c r="A344" s="28">
        <v>11</v>
      </c>
      <c r="B344" s="17">
        <f t="shared" si="16"/>
        <v>46276</v>
      </c>
      <c r="C344" s="26">
        <f>I344+J344+K344+L344+M344+N344+O344+IF(P344="",0,P344*サマリー!$B$9)+IF(Q344="",0,IF(Q344=200,サマリー!$B$10,IF(Q344=100,サマリー!$B$11,0)))+IF(R344="",0,R344*サマリー!$B$12)</f>
        <v>24519</v>
      </c>
      <c r="D344" s="26">
        <f>S344+T344+U344+V344+W344+IF(X344="",0,X344*サマリー!$B$9)+IF(Y344="",0,IF(Y344=200,サマリー!$B$10,IF(Y344=100,サマリー!$B$11,0)))+IF(Z344="",0,Z344*サマリー!$B$12)</f>
        <v>37586</v>
      </c>
      <c r="E344" s="26">
        <f t="shared" si="15"/>
        <v>62105</v>
      </c>
      <c r="I344" s="29">
        <v>24519</v>
      </c>
      <c r="J344" s="29"/>
      <c r="K344" s="29"/>
      <c r="L344" s="29"/>
      <c r="M344" s="29"/>
      <c r="N344" s="29"/>
      <c r="O344" s="29"/>
      <c r="P344" s="30"/>
      <c r="Q344" s="30"/>
      <c r="R344" s="30"/>
      <c r="S344" s="31"/>
      <c r="T344" s="31"/>
      <c r="U344" s="31">
        <v>2086</v>
      </c>
      <c r="V344" s="31">
        <v>5500</v>
      </c>
      <c r="W344" s="31"/>
      <c r="X344" s="32"/>
      <c r="Y344" s="32"/>
      <c r="Z344" s="32">
        <v>1</v>
      </c>
    </row>
    <row r="345" spans="1:26">
      <c r="A345" s="28">
        <v>11</v>
      </c>
      <c r="B345" s="17">
        <f t="shared" si="16"/>
        <v>46276</v>
      </c>
      <c r="C345" s="26">
        <f>I345+J345+K345+L345+M345+N345+O345+IF(P345="",0,P345*サマリー!$B$9)+IF(Q345="",0,IF(Q345=200,サマリー!$B$10,IF(Q345=100,サマリー!$B$11,0)))+IF(R345="",0,R345*サマリー!$B$12)</f>
        <v>18510</v>
      </c>
      <c r="D345" s="26">
        <f>S345+T345+U345+V345+W345+IF(X345="",0,X345*サマリー!$B$9)+IF(Y345="",0,IF(Y345=200,サマリー!$B$10,IF(Y345=100,サマリー!$B$11,0)))+IF(Z345="",0,Z345*サマリー!$B$12)</f>
        <v>14320</v>
      </c>
      <c r="E345" s="26">
        <f t="shared" si="15"/>
        <v>32830</v>
      </c>
      <c r="I345" s="29"/>
      <c r="J345" s="29">
        <v>18510</v>
      </c>
      <c r="K345" s="29"/>
      <c r="L345" s="29"/>
      <c r="M345" s="29"/>
      <c r="N345" s="29"/>
      <c r="O345" s="29"/>
      <c r="P345" s="30"/>
      <c r="Q345" s="30"/>
      <c r="R345" s="30"/>
      <c r="S345" s="31"/>
      <c r="T345" s="31"/>
      <c r="U345" s="31"/>
      <c r="V345" s="31">
        <v>14320</v>
      </c>
      <c r="W345" s="31"/>
      <c r="X345" s="32"/>
      <c r="Y345" s="32"/>
      <c r="Z345" s="32"/>
    </row>
    <row r="346" spans="1:26">
      <c r="A346" s="28">
        <v>12</v>
      </c>
      <c r="B346" s="17">
        <f t="shared" si="16"/>
        <v>46277</v>
      </c>
      <c r="C346" s="26">
        <f>I346+J346+K346+L346+M346+N346+O346+IF(P346="",0,P346*サマリー!$B$9)+IF(Q346="",0,IF(Q346=200,サマリー!$B$10,IF(Q346=100,サマリー!$B$11,0)))+IF(R346="",0,R346*サマリー!$B$12)</f>
        <v>44079</v>
      </c>
      <c r="D346" s="26">
        <f>S346+T346+U346+V346+W346+IF(X346="",0,X346*サマリー!$B$9)+IF(Y346="",0,IF(Y346=200,サマリー!$B$10,IF(Y346=100,サマリー!$B$11,0)))+IF(Z346="",0,Z346*サマリー!$B$12)</f>
        <v>0</v>
      </c>
      <c r="E346" s="26">
        <f t="shared" si="15"/>
        <v>44079</v>
      </c>
      <c r="I346" s="29">
        <v>36838</v>
      </c>
      <c r="J346" s="29"/>
      <c r="K346" s="29"/>
      <c r="L346" s="29"/>
      <c r="M346" s="29"/>
      <c r="N346" s="29"/>
      <c r="O346" s="29"/>
      <c r="P346" s="30"/>
      <c r="Q346" s="30">
        <v>200</v>
      </c>
      <c r="R346" s="30"/>
      <c r="S346" s="31"/>
      <c r="T346" s="31"/>
      <c r="U346" s="31"/>
      <c r="V346" s="31"/>
      <c r="W346" s="31"/>
      <c r="X346" s="32"/>
      <c r="Y346" s="32"/>
      <c r="Z346" s="32"/>
    </row>
    <row r="347" spans="1:26">
      <c r="A347" s="28">
        <v>12</v>
      </c>
      <c r="B347" s="17">
        <f t="shared" si="16"/>
        <v>46277</v>
      </c>
      <c r="C347" s="26">
        <f>I347+J347+K347+L347+M347+N347+O347+IF(P347="",0,P347*サマリー!$B$9)+IF(Q347="",0,IF(Q347=200,サマリー!$B$10,IF(Q347=100,サマリー!$B$11,0)))+IF(R347="",0,R347*サマリー!$B$12)</f>
        <v>46696</v>
      </c>
      <c r="D347" s="26">
        <f>S347+T347+U347+V347+W347+IF(X347="",0,X347*サマリー!$B$9)+IF(Y347="",0,IF(Y347=200,サマリー!$B$10,IF(Y347=100,サマリー!$B$11,0)))+IF(Z347="",0,Z347*サマリー!$B$12)</f>
        <v>0</v>
      </c>
      <c r="E347" s="26">
        <f t="shared" si="15"/>
        <v>46696</v>
      </c>
      <c r="I347" s="29">
        <v>39455</v>
      </c>
      <c r="J347" s="29"/>
      <c r="K347" s="29"/>
      <c r="L347" s="29"/>
      <c r="M347" s="29"/>
      <c r="N347" s="29"/>
      <c r="O347" s="29"/>
      <c r="P347" s="30"/>
      <c r="Q347" s="30">
        <v>200</v>
      </c>
      <c r="R347" s="30"/>
      <c r="S347" s="31"/>
      <c r="T347" s="31"/>
      <c r="U347" s="31"/>
      <c r="V347" s="31"/>
      <c r="W347" s="31"/>
      <c r="X347" s="32"/>
      <c r="Y347" s="32"/>
      <c r="Z347" s="32"/>
    </row>
    <row r="348" spans="1:26">
      <c r="A348" s="28">
        <v>13</v>
      </c>
      <c r="B348" s="17">
        <f t="shared" si="16"/>
        <v>46278</v>
      </c>
      <c r="C348" s="26">
        <f>I348+J348+K348+L348+M348+N348+O348+IF(P348="",0,P348*サマリー!$B$9)+IF(Q348="",0,IF(Q348=200,サマリー!$B$10,IF(Q348=100,サマリー!$B$11,0)))+IF(R348="",0,R348*サマリー!$B$12)</f>
        <v>26552</v>
      </c>
      <c r="D348" s="26">
        <f>S348+T348+U348+V348+W348+IF(X348="",0,X348*サマリー!$B$9)+IF(Y348="",0,IF(Y348=200,サマリー!$B$10,IF(Y348=100,サマリー!$B$11,0)))+IF(Z348="",0,Z348*サマリー!$B$12)</f>
        <v>4400</v>
      </c>
      <c r="E348" s="26">
        <f t="shared" si="15"/>
        <v>30952</v>
      </c>
      <c r="I348" s="29"/>
      <c r="J348" s="29">
        <v>19250</v>
      </c>
      <c r="K348" s="29">
        <v>7302</v>
      </c>
      <c r="L348" s="29"/>
      <c r="M348" s="29"/>
      <c r="N348" s="29"/>
      <c r="O348" s="29"/>
      <c r="P348" s="30"/>
      <c r="Q348" s="30"/>
      <c r="R348" s="30"/>
      <c r="S348" s="31"/>
      <c r="T348" s="31">
        <v>4400</v>
      </c>
      <c r="U348" s="31"/>
      <c r="V348" s="31"/>
      <c r="W348" s="31"/>
      <c r="X348" s="32"/>
      <c r="Y348" s="32"/>
      <c r="Z348" s="32"/>
    </row>
    <row r="349" spans="1:26">
      <c r="A349" s="28">
        <v>13</v>
      </c>
      <c r="B349" s="17">
        <f t="shared" si="16"/>
        <v>46278</v>
      </c>
      <c r="C349" s="26">
        <f>I349+J349+K349+L349+M349+N349+O349+IF(P349="",0,P349*サマリー!$B$9)+IF(Q349="",0,IF(Q349=200,サマリー!$B$10,IF(Q349=100,サマリー!$B$11,0)))+IF(R349="",0,R349*サマリー!$B$12)</f>
        <v>32359</v>
      </c>
      <c r="D349" s="26">
        <f>S349+T349+U349+V349+W349+IF(X349="",0,X349*サマリー!$B$9)+IF(Y349="",0,IF(Y349=200,サマリー!$B$10,IF(Y349=100,サマリー!$B$11,0)))+IF(Z349="",0,Z349*サマリー!$B$12)</f>
        <v>555</v>
      </c>
      <c r="E349" s="26">
        <f t="shared" si="15"/>
        <v>32914</v>
      </c>
      <c r="I349" s="29"/>
      <c r="J349" s="29">
        <v>32359</v>
      </c>
      <c r="K349" s="29"/>
      <c r="L349" s="29"/>
      <c r="M349" s="29"/>
      <c r="N349" s="29"/>
      <c r="O349" s="29"/>
      <c r="P349" s="30"/>
      <c r="Q349" s="30"/>
      <c r="R349" s="30"/>
      <c r="S349" s="31"/>
      <c r="T349" s="31">
        <v>555</v>
      </c>
      <c r="U349" s="31"/>
      <c r="V349" s="31"/>
      <c r="W349" s="31"/>
      <c r="X349" s="32"/>
      <c r="Y349" s="32"/>
      <c r="Z349" s="32"/>
    </row>
    <row r="350" spans="1:26">
      <c r="A350" s="28">
        <v>13</v>
      </c>
      <c r="B350" s="17">
        <f t="shared" si="16"/>
        <v>46278</v>
      </c>
      <c r="C350" s="26">
        <f>I350+J350+K350+L350+M350+N350+O350+IF(P350="",0,P350*サマリー!$B$9)+IF(Q350="",0,IF(Q350=200,サマリー!$B$10,IF(Q350=100,サマリー!$B$11,0)))+IF(R350="",0,R350*サマリー!$B$12)</f>
        <v>-7898</v>
      </c>
      <c r="D350" s="26">
        <f>S350+T350+U350+V350+W350+IF(X350="",0,X350*サマリー!$B$9)+IF(Y350="",0,IF(Y350=200,サマリー!$B$10,IF(Y350=100,サマリー!$B$11,0)))+IF(Z350="",0,Z350*サマリー!$B$12)</f>
        <v>30000</v>
      </c>
      <c r="E350" s="26">
        <f t="shared" si="15"/>
        <v>22102</v>
      </c>
      <c r="I350" s="29">
        <v>-7898</v>
      </c>
      <c r="J350" s="29"/>
      <c r="K350" s="29"/>
      <c r="L350" s="29"/>
      <c r="M350" s="29"/>
      <c r="N350" s="29"/>
      <c r="O350" s="29"/>
      <c r="P350" s="30"/>
      <c r="Q350" s="30"/>
      <c r="R350" s="30"/>
      <c r="S350" s="31"/>
      <c r="T350" s="31"/>
      <c r="U350" s="31"/>
      <c r="V350" s="31"/>
      <c r="W350" s="31"/>
      <c r="X350" s="32"/>
      <c r="Y350" s="32"/>
      <c r="Z350" s="32">
        <v>1</v>
      </c>
    </row>
    <row r="351" spans="1:26">
      <c r="A351" s="28">
        <v>14</v>
      </c>
      <c r="B351" s="17">
        <f t="shared" si="16"/>
        <v>46279</v>
      </c>
      <c r="C351" s="26">
        <f>I351+J351+K351+L351+M351+N351+O351+IF(P351="",0,P351*サマリー!$B$9)+IF(Q351="",0,IF(Q351=200,サマリー!$B$10,IF(Q351=100,サマリー!$B$11,0)))+IF(R351="",0,R351*サマリー!$B$12)</f>
        <v>0</v>
      </c>
      <c r="D351" s="26">
        <f>S351+T351+U351+V351+W351+IF(X351="",0,X351*サマリー!$B$9)+IF(Y351="",0,IF(Y351=200,サマリー!$B$10,IF(Y351=100,サマリー!$B$11,0)))+IF(Z351="",0,Z351*サマリー!$B$12)</f>
        <v>24005</v>
      </c>
      <c r="E351" s="26">
        <f t="shared" si="15"/>
        <v>24005</v>
      </c>
      <c r="I351" s="29"/>
      <c r="J351" s="29"/>
      <c r="K351" s="29"/>
      <c r="L351" s="29"/>
      <c r="M351" s="29"/>
      <c r="N351" s="29"/>
      <c r="O351" s="29"/>
      <c r="P351" s="30"/>
      <c r="Q351" s="30"/>
      <c r="R351" s="30"/>
      <c r="S351" s="31"/>
      <c r="T351" s="31">
        <v>24005</v>
      </c>
      <c r="U351" s="31"/>
      <c r="V351" s="31"/>
      <c r="W351" s="31"/>
      <c r="X351" s="32"/>
      <c r="Y351" s="32"/>
      <c r="Z351" s="32"/>
    </row>
    <row r="352" spans="1:26">
      <c r="A352" s="28">
        <v>15</v>
      </c>
      <c r="B352" s="17">
        <f t="shared" si="16"/>
        <v>46280</v>
      </c>
      <c r="C352" s="26">
        <f>I352+J352+K352+L352+M352+N352+O352+IF(P352="",0,P352*サマリー!$B$9)+IF(Q352="",0,IF(Q352=200,サマリー!$B$10,IF(Q352=100,サマリー!$B$11,0)))+IF(R352="",0,R352*サマリー!$B$12)</f>
        <v>75000</v>
      </c>
      <c r="D352" s="26">
        <f>S352+T352+U352+V352+W352+IF(X352="",0,X352*サマリー!$B$9)+IF(Y352="",0,IF(Y352=200,サマリー!$B$10,IF(Y352=100,サマリー!$B$11,0)))+IF(Z352="",0,Z352*サマリー!$B$12)</f>
        <v>15965</v>
      </c>
      <c r="E352" s="26">
        <f t="shared" si="15"/>
        <v>90965</v>
      </c>
      <c r="I352" s="29"/>
      <c r="J352" s="29"/>
      <c r="K352" s="29"/>
      <c r="L352" s="29"/>
      <c r="M352" s="29"/>
      <c r="N352" s="29"/>
      <c r="O352" s="29"/>
      <c r="P352" s="30">
        <v>3</v>
      </c>
      <c r="Q352" s="30"/>
      <c r="R352" s="30"/>
      <c r="S352" s="31"/>
      <c r="T352" s="31">
        <v>2765</v>
      </c>
      <c r="U352" s="31"/>
      <c r="V352" s="31">
        <v>13200</v>
      </c>
      <c r="W352" s="31"/>
      <c r="X352" s="32"/>
      <c r="Y352" s="32"/>
      <c r="Z352" s="32"/>
    </row>
    <row r="353" spans="1:26">
      <c r="A353" s="28">
        <v>16</v>
      </c>
      <c r="B353" s="17">
        <f t="shared" si="16"/>
        <v>46281</v>
      </c>
      <c r="C353" s="26">
        <f>I353+J353+K353+L353+M353+N353+O353+IF(P353="",0,P353*サマリー!$B$9)+IF(Q353="",0,IF(Q353=200,サマリー!$B$10,IF(Q353=100,サマリー!$B$11,0)))+IF(R353="",0,R353*サマリー!$B$12)</f>
        <v>10234</v>
      </c>
      <c r="D353" s="26">
        <f>S353+T353+U353+V353+W353+IF(X353="",0,X353*サマリー!$B$9)+IF(Y353="",0,IF(Y353=200,サマリー!$B$10,IF(Y353=100,サマリー!$B$11,0)))+IF(Z353="",0,Z353*サマリー!$B$12)</f>
        <v>0</v>
      </c>
      <c r="E353" s="26">
        <f t="shared" si="15"/>
        <v>10234</v>
      </c>
      <c r="I353" s="29"/>
      <c r="J353" s="29">
        <v>5855</v>
      </c>
      <c r="K353" s="29"/>
      <c r="L353" s="29"/>
      <c r="M353" s="29"/>
      <c r="N353" s="29"/>
      <c r="O353" s="29"/>
      <c r="P353" s="30"/>
      <c r="Q353" s="30">
        <v>100</v>
      </c>
      <c r="R353" s="30"/>
      <c r="S353" s="31"/>
      <c r="T353" s="31"/>
      <c r="U353" s="31"/>
      <c r="V353" s="31"/>
      <c r="W353" s="31"/>
      <c r="X353" s="32"/>
      <c r="Y353" s="32"/>
      <c r="Z353" s="32"/>
    </row>
    <row r="354" spans="1:26">
      <c r="A354" s="28">
        <v>17</v>
      </c>
      <c r="B354" s="17">
        <f t="shared" si="16"/>
        <v>46282</v>
      </c>
      <c r="C354" s="26">
        <f>I354+J354+K354+L354+M354+N354+O354+IF(P354="",0,P354*サマリー!$B$9)+IF(Q354="",0,IF(Q354=200,サマリー!$B$10,IF(Q354=100,サマリー!$B$11,0)))+IF(R354="",0,R354*サマリー!$B$12)</f>
        <v>0</v>
      </c>
      <c r="D354" s="26">
        <f>S354+T354+U354+V354+W354+IF(X354="",0,X354*サマリー!$B$9)+IF(Y354="",0,IF(Y354=200,サマリー!$B$10,IF(Y354=100,サマリー!$B$11,0)))+IF(Z354="",0,Z354*サマリー!$B$12)</f>
        <v>3655</v>
      </c>
      <c r="E354" s="26">
        <f t="shared" si="15"/>
        <v>3655</v>
      </c>
      <c r="I354" s="29"/>
      <c r="J354" s="29"/>
      <c r="K354" s="29"/>
      <c r="L354" s="29"/>
      <c r="M354" s="29"/>
      <c r="N354" s="29"/>
      <c r="O354" s="29"/>
      <c r="P354" s="30"/>
      <c r="Q354" s="30"/>
      <c r="R354" s="30"/>
      <c r="S354" s="31"/>
      <c r="T354" s="31">
        <v>3655</v>
      </c>
      <c r="U354" s="31"/>
      <c r="V354" s="31"/>
      <c r="W354" s="31"/>
      <c r="X354" s="32"/>
      <c r="Y354" s="32"/>
      <c r="Z354" s="32"/>
    </row>
    <row r="355" spans="1:26">
      <c r="A355" s="28">
        <v>18</v>
      </c>
      <c r="B355" s="17">
        <f t="shared" si="16"/>
        <v>46283</v>
      </c>
      <c r="C355" s="26">
        <f>I355+J355+K355+L355+M355+N355+O355+IF(P355="",0,P355*サマリー!$B$9)+IF(Q355="",0,IF(Q355=200,サマリー!$B$10,IF(Q355=100,サマリー!$B$11,0)))+IF(R355="",0,R355*サマリー!$B$12)</f>
        <v>1655</v>
      </c>
      <c r="D355" s="26">
        <f>S355+T355+U355+V355+W355+IF(X355="",0,X355*サマリー!$B$9)+IF(Y355="",0,IF(Y355=200,サマリー!$B$10,IF(Y355=100,サマリー!$B$11,0)))+IF(Z355="",0,Z355*サマリー!$B$12)</f>
        <v>3755</v>
      </c>
      <c r="E355" s="26">
        <f t="shared" si="15"/>
        <v>5410</v>
      </c>
      <c r="I355" s="29"/>
      <c r="J355" s="29">
        <v>1655</v>
      </c>
      <c r="K355" s="29"/>
      <c r="L355" s="29"/>
      <c r="M355" s="29"/>
      <c r="N355" s="29"/>
      <c r="O355" s="29"/>
      <c r="P355" s="30"/>
      <c r="Q355" s="30"/>
      <c r="R355" s="30"/>
      <c r="S355" s="31"/>
      <c r="T355" s="31">
        <v>3755</v>
      </c>
      <c r="U355" s="31"/>
      <c r="V355" s="31"/>
      <c r="W355" s="31"/>
      <c r="X355" s="32"/>
      <c r="Y355" s="32"/>
      <c r="Z355" s="32"/>
    </row>
    <row r="356" spans="1:26">
      <c r="A356" s="28">
        <v>18</v>
      </c>
      <c r="B356" s="17">
        <f t="shared" si="16"/>
        <v>46283</v>
      </c>
      <c r="C356" s="26">
        <f>I356+J356+K356+L356+M356+N356+O356+IF(P356="",0,P356*サマリー!$B$9)+IF(Q356="",0,IF(Q356=200,サマリー!$B$10,IF(Q356=100,サマリー!$B$11,0)))+IF(R356="",0,R356*サマリー!$B$12)</f>
        <v>55798</v>
      </c>
      <c r="D356" s="26">
        <f>S356+T356+U356+V356+W356+IF(X356="",0,X356*サマリー!$B$9)+IF(Y356="",0,IF(Y356=200,サマリー!$B$10,IF(Y356=100,サマリー!$B$11,0)))+IF(Z356="",0,Z356*サマリー!$B$12)</f>
        <v>37916</v>
      </c>
      <c r="E356" s="26">
        <f t="shared" si="15"/>
        <v>93714</v>
      </c>
      <c r="I356" s="29">
        <v>48557</v>
      </c>
      <c r="J356" s="29"/>
      <c r="K356" s="29"/>
      <c r="L356" s="29"/>
      <c r="M356" s="29"/>
      <c r="N356" s="29"/>
      <c r="O356" s="29"/>
      <c r="P356" s="30"/>
      <c r="Q356" s="30">
        <v>200</v>
      </c>
      <c r="R356" s="30"/>
      <c r="S356" s="31">
        <v>30675</v>
      </c>
      <c r="T356" s="31"/>
      <c r="U356" s="31"/>
      <c r="V356" s="31"/>
      <c r="W356" s="31"/>
      <c r="X356" s="32"/>
      <c r="Y356" s="32">
        <v>200</v>
      </c>
      <c r="Z356" s="32"/>
    </row>
    <row r="357" spans="1:26">
      <c r="A357" s="28">
        <v>18</v>
      </c>
      <c r="B357" s="17">
        <f t="shared" si="16"/>
        <v>46283</v>
      </c>
      <c r="C357" s="26">
        <f>I357+J357+K357+L357+M357+N357+O357+IF(P357="",0,P357*サマリー!$B$9)+IF(Q357="",0,IF(Q357=200,サマリー!$B$10,IF(Q357=100,サマリー!$B$11,0)))+IF(R357="",0,R357*サマリー!$B$12)</f>
        <v>5300</v>
      </c>
      <c r="D357" s="26">
        <f>S357+T357+U357+V357+W357+IF(X357="",0,X357*サマリー!$B$9)+IF(Y357="",0,IF(Y357=200,サマリー!$B$10,IF(Y357=100,サマリー!$B$11,0)))+IF(Z357="",0,Z357*サマリー!$B$12)</f>
        <v>0</v>
      </c>
      <c r="E357" s="26">
        <f t="shared" si="15"/>
        <v>5300</v>
      </c>
      <c r="I357" s="29"/>
      <c r="J357" s="29">
        <v>5300</v>
      </c>
      <c r="K357" s="29"/>
      <c r="L357" s="29"/>
      <c r="M357" s="29"/>
      <c r="N357" s="29"/>
      <c r="O357" s="29"/>
      <c r="P357" s="30"/>
      <c r="Q357" s="30"/>
      <c r="R357" s="30"/>
      <c r="S357" s="31"/>
      <c r="T357" s="31"/>
      <c r="U357" s="31"/>
      <c r="V357" s="31"/>
      <c r="W357" s="31"/>
      <c r="X357" s="32"/>
      <c r="Y357" s="32"/>
      <c r="Z357" s="32"/>
    </row>
    <row r="358" spans="1:26">
      <c r="A358" s="28">
        <v>18</v>
      </c>
      <c r="B358" s="17">
        <f t="shared" si="16"/>
        <v>46283</v>
      </c>
      <c r="C358" s="26">
        <f>I358+J358+K358+L358+M358+N358+O358+IF(P358="",0,P358*サマリー!$B$9)+IF(Q358="",0,IF(Q358=200,サマリー!$B$10,IF(Q358=100,サマリー!$B$11,0)))+IF(R358="",0,R358*サマリー!$B$12)</f>
        <v>13201</v>
      </c>
      <c r="D358" s="26">
        <f>S358+T358+U358+V358+W358+IF(X358="",0,X358*サマリー!$B$9)+IF(Y358="",0,IF(Y358=200,サマリー!$B$10,IF(Y358=100,サマリー!$B$11,0)))+IF(Z358="",0,Z358*サマリー!$B$12)</f>
        <v>0</v>
      </c>
      <c r="E358" s="26">
        <f t="shared" ref="E358:E421" si="17">C358+D358</f>
        <v>13201</v>
      </c>
      <c r="I358" s="29"/>
      <c r="J358" s="29">
        <v>13201</v>
      </c>
      <c r="K358" s="29"/>
      <c r="L358" s="29"/>
      <c r="M358" s="29"/>
      <c r="N358" s="29"/>
      <c r="O358" s="29"/>
      <c r="P358" s="30"/>
      <c r="Q358" s="30"/>
      <c r="R358" s="30"/>
      <c r="S358" s="31"/>
      <c r="T358" s="31"/>
      <c r="U358" s="31"/>
      <c r="V358" s="31"/>
      <c r="W358" s="31"/>
      <c r="X358" s="32"/>
      <c r="Y358" s="32"/>
      <c r="Z358" s="32"/>
    </row>
    <row r="359" spans="1:26">
      <c r="A359" s="28">
        <v>19</v>
      </c>
      <c r="B359" s="17">
        <f t="shared" ref="B359:B422" si="18">IF(A359="",B358,IF(A359&lt;DAY(B358),DATE(YEAR(B358),MONTH(B358)+1,A359),DATE(YEAR(B358),MONTH(B358),A359)))</f>
        <v>46284</v>
      </c>
      <c r="C359" s="26">
        <f>I359+J359+K359+L359+M359+N359+O359+IF(P359="",0,P359*サマリー!$B$9)+IF(Q359="",0,IF(Q359=200,サマリー!$B$10,IF(Q359=100,サマリー!$B$11,0)))+IF(R359="",0,R359*サマリー!$B$12)</f>
        <v>3034</v>
      </c>
      <c r="D359" s="26">
        <f>S359+T359+U359+V359+W359+IF(X359="",0,X359*サマリー!$B$9)+IF(Y359="",0,IF(Y359=200,サマリー!$B$10,IF(Y359=100,サマリー!$B$11,0)))+IF(Z359="",0,Z359*サマリー!$B$12)</f>
        <v>3755</v>
      </c>
      <c r="E359" s="26">
        <f t="shared" si="17"/>
        <v>6789</v>
      </c>
      <c r="I359" s="29"/>
      <c r="J359" s="29">
        <v>2200</v>
      </c>
      <c r="K359" s="29">
        <v>834</v>
      </c>
      <c r="L359" s="29"/>
      <c r="M359" s="29"/>
      <c r="N359" s="29"/>
      <c r="O359" s="29"/>
      <c r="P359" s="30"/>
      <c r="Q359" s="30"/>
      <c r="R359" s="30"/>
      <c r="S359" s="31"/>
      <c r="T359" s="31">
        <v>3755</v>
      </c>
      <c r="U359" s="31"/>
      <c r="V359" s="31"/>
      <c r="W359" s="31"/>
      <c r="X359" s="32"/>
      <c r="Y359" s="32"/>
      <c r="Z359" s="32"/>
    </row>
    <row r="360" spans="1:26">
      <c r="A360" s="28">
        <v>19</v>
      </c>
      <c r="B360" s="17">
        <f t="shared" si="18"/>
        <v>46284</v>
      </c>
      <c r="C360" s="26">
        <f>I360+J360+K360+L360+M360+N360+O360+IF(P360="",0,P360*サマリー!$B$9)+IF(Q360="",0,IF(Q360=200,サマリー!$B$10,IF(Q360=100,サマリー!$B$11,0)))+IF(R360="",0,R360*サマリー!$B$12)</f>
        <v>4955</v>
      </c>
      <c r="D360" s="26">
        <f>S360+T360+U360+V360+W360+IF(X360="",0,X360*サマリー!$B$9)+IF(Y360="",0,IF(Y360=200,サマリー!$B$10,IF(Y360=100,サマリー!$B$11,0)))+IF(Z360="",0,Z360*サマリー!$B$12)</f>
        <v>0</v>
      </c>
      <c r="E360" s="26">
        <f t="shared" si="17"/>
        <v>4955</v>
      </c>
      <c r="I360" s="29"/>
      <c r="J360" s="29">
        <v>4955</v>
      </c>
      <c r="K360" s="29"/>
      <c r="L360" s="29"/>
      <c r="M360" s="29"/>
      <c r="N360" s="29"/>
      <c r="O360" s="29"/>
      <c r="P360" s="30"/>
      <c r="Q360" s="30"/>
      <c r="R360" s="30"/>
      <c r="S360" s="31"/>
      <c r="T360" s="31"/>
      <c r="U360" s="31"/>
      <c r="V360" s="31"/>
      <c r="W360" s="31"/>
      <c r="X360" s="32"/>
      <c r="Y360" s="32"/>
      <c r="Z360" s="32"/>
    </row>
    <row r="361" spans="1:26">
      <c r="A361" s="28">
        <v>19</v>
      </c>
      <c r="B361" s="17">
        <f t="shared" si="18"/>
        <v>46284</v>
      </c>
      <c r="C361" s="26">
        <f>I361+J361+K361+L361+M361+N361+O361+IF(P361="",0,P361*サマリー!$B$9)+IF(Q361="",0,IF(Q361=200,サマリー!$B$10,IF(Q361=100,サマリー!$B$11,0)))+IF(R361="",0,R361*サマリー!$B$12)</f>
        <v>2200</v>
      </c>
      <c r="D361" s="26">
        <f>S361+T361+U361+V361+W361+IF(X361="",0,X361*サマリー!$B$9)+IF(Y361="",0,IF(Y361=200,サマリー!$B$10,IF(Y361=100,サマリー!$B$11,0)))+IF(Z361="",0,Z361*サマリー!$B$12)</f>
        <v>0</v>
      </c>
      <c r="E361" s="26">
        <f t="shared" si="17"/>
        <v>2200</v>
      </c>
      <c r="I361" s="29"/>
      <c r="J361" s="29">
        <v>2200</v>
      </c>
      <c r="K361" s="29"/>
      <c r="L361" s="29"/>
      <c r="M361" s="29"/>
      <c r="N361" s="29"/>
      <c r="O361" s="29"/>
      <c r="P361" s="30"/>
      <c r="Q361" s="30"/>
      <c r="R361" s="30"/>
      <c r="S361" s="31"/>
      <c r="T361" s="31"/>
      <c r="U361" s="31"/>
      <c r="V361" s="31"/>
      <c r="W361" s="31"/>
      <c r="X361" s="32"/>
      <c r="Y361" s="32"/>
      <c r="Z361" s="32"/>
    </row>
    <row r="362" spans="1:26">
      <c r="A362" s="28">
        <v>20</v>
      </c>
      <c r="B362" s="17">
        <f t="shared" si="18"/>
        <v>46285</v>
      </c>
      <c r="C362" s="26">
        <f>I362+J362+K362+L362+M362+N362+O362+IF(P362="",0,P362*サマリー!$B$9)+IF(Q362="",0,IF(Q362=200,サマリー!$B$10,IF(Q362=100,サマリー!$B$11,0)))+IF(R362="",0,R362*サマリー!$B$12)</f>
        <v>10255</v>
      </c>
      <c r="D362" s="26">
        <f>S362+T362+U362+V362+W362+IF(X362="",0,X362*サマリー!$B$9)+IF(Y362="",0,IF(Y362=200,サマリー!$B$10,IF(Y362=100,サマリー!$B$11,0)))+IF(Z362="",0,Z362*サマリー!$B$12)</f>
        <v>0</v>
      </c>
      <c r="E362" s="26">
        <f t="shared" si="17"/>
        <v>10255</v>
      </c>
      <c r="I362" s="29"/>
      <c r="J362" s="29"/>
      <c r="K362" s="29"/>
      <c r="L362" s="29"/>
      <c r="M362" s="29"/>
      <c r="N362" s="29">
        <v>10255</v>
      </c>
      <c r="O362" s="29"/>
      <c r="P362" s="30"/>
      <c r="Q362" s="30"/>
      <c r="R362" s="30"/>
      <c r="S362" s="31"/>
      <c r="T362" s="31"/>
      <c r="U362" s="31"/>
      <c r="V362" s="31"/>
      <c r="W362" s="31"/>
      <c r="X362" s="32"/>
      <c r="Y362" s="32"/>
      <c r="Z362" s="32"/>
    </row>
    <row r="363" spans="1:26">
      <c r="A363" s="28">
        <v>20</v>
      </c>
      <c r="B363" s="17">
        <f t="shared" si="18"/>
        <v>46285</v>
      </c>
      <c r="C363" s="26">
        <f>I363+J363+K363+L363+M363+N363+O363+IF(P363="",0,P363*サマリー!$B$9)+IF(Q363="",0,IF(Q363=200,サマリー!$B$10,IF(Q363=100,サマリー!$B$11,0)))+IF(R363="",0,R363*サマリー!$B$12)</f>
        <v>0</v>
      </c>
      <c r="D363" s="26">
        <f>S363+T363+U363+V363+W363+IF(X363="",0,X363*サマリー!$B$9)+IF(Y363="",0,IF(Y363=200,サマリー!$B$10,IF(Y363=100,サマリー!$B$11,0)))+IF(Z363="",0,Z363*サマリー!$B$12)</f>
        <v>88080</v>
      </c>
      <c r="E363" s="26">
        <f t="shared" si="17"/>
        <v>88080</v>
      </c>
      <c r="I363" s="29"/>
      <c r="J363" s="29"/>
      <c r="K363" s="29"/>
      <c r="L363" s="29"/>
      <c r="M363" s="29"/>
      <c r="N363" s="29"/>
      <c r="O363" s="29"/>
      <c r="P363" s="30"/>
      <c r="Q363" s="30"/>
      <c r="R363" s="30"/>
      <c r="S363" s="31">
        <v>80839</v>
      </c>
      <c r="T363" s="31"/>
      <c r="U363" s="31"/>
      <c r="V363" s="31"/>
      <c r="W363" s="31"/>
      <c r="X363" s="32"/>
      <c r="Y363" s="32">
        <v>200</v>
      </c>
      <c r="Z363" s="32"/>
    </row>
    <row r="364" spans="1:26">
      <c r="A364" s="28">
        <v>20</v>
      </c>
      <c r="B364" s="17">
        <f t="shared" si="18"/>
        <v>46285</v>
      </c>
      <c r="C364" s="26">
        <f>I364+J364+K364+L364+M364+N364+O364+IF(P364="",0,P364*サマリー!$B$9)+IF(Q364="",0,IF(Q364=200,サマリー!$B$10,IF(Q364=100,サマリー!$B$11,0)))+IF(R364="",0,R364*サマリー!$B$12)</f>
        <v>0</v>
      </c>
      <c r="D364" s="26">
        <f>S364+T364+U364+V364+W364+IF(X364="",0,X364*サマリー!$B$9)+IF(Y364="",0,IF(Y364=200,サマリー!$B$10,IF(Y364=100,サマリー!$B$11,0)))+IF(Z364="",0,Z364*サマリー!$B$12)</f>
        <v>19560</v>
      </c>
      <c r="E364" s="26">
        <f t="shared" si="17"/>
        <v>19560</v>
      </c>
      <c r="I364" s="29"/>
      <c r="J364" s="29"/>
      <c r="K364" s="29"/>
      <c r="L364" s="29"/>
      <c r="M364" s="29"/>
      <c r="N364" s="29"/>
      <c r="O364" s="29"/>
      <c r="P364" s="30"/>
      <c r="Q364" s="30"/>
      <c r="R364" s="30"/>
      <c r="S364" s="31">
        <v>12319</v>
      </c>
      <c r="T364" s="31"/>
      <c r="U364" s="31"/>
      <c r="V364" s="31"/>
      <c r="W364" s="31"/>
      <c r="X364" s="32"/>
      <c r="Y364" s="32">
        <v>200</v>
      </c>
      <c r="Z364" s="32"/>
    </row>
    <row r="365" spans="1:26">
      <c r="A365" s="28">
        <v>20</v>
      </c>
      <c r="B365" s="17">
        <f t="shared" si="18"/>
        <v>46285</v>
      </c>
      <c r="C365" s="26">
        <f>I365+J365+K365+L365+M365+N365+O365+IF(P365="",0,P365*サマリー!$B$9)+IF(Q365="",0,IF(Q365=200,サマリー!$B$10,IF(Q365=100,サマリー!$B$11,0)))+IF(R365="",0,R365*サマリー!$B$12)</f>
        <v>0</v>
      </c>
      <c r="D365" s="26">
        <f>S365+T365+U365+V365+W365+IF(X365="",0,X365*サマリー!$B$9)+IF(Y365="",0,IF(Y365=200,サマリー!$B$10,IF(Y365=100,サマリー!$B$11,0)))+IF(Z365="",0,Z365*サマリー!$B$12)</f>
        <v>66953</v>
      </c>
      <c r="E365" s="26">
        <f t="shared" si="17"/>
        <v>66953</v>
      </c>
      <c r="I365" s="29"/>
      <c r="J365" s="29"/>
      <c r="K365" s="29"/>
      <c r="L365" s="29"/>
      <c r="M365" s="29"/>
      <c r="N365" s="29"/>
      <c r="O365" s="29"/>
      <c r="P365" s="30"/>
      <c r="Q365" s="30"/>
      <c r="R365" s="30"/>
      <c r="S365" s="31">
        <v>59712</v>
      </c>
      <c r="T365" s="31"/>
      <c r="U365" s="31"/>
      <c r="V365" s="31"/>
      <c r="W365" s="31"/>
      <c r="X365" s="32"/>
      <c r="Y365" s="32">
        <v>200</v>
      </c>
      <c r="Z365" s="32"/>
    </row>
    <row r="366" spans="1:26">
      <c r="A366" s="28">
        <v>21</v>
      </c>
      <c r="B366" s="17">
        <f t="shared" si="18"/>
        <v>46286</v>
      </c>
      <c r="C366" s="26">
        <f>I366+J366+K366+L366+M366+N366+O366+IF(P366="",0,P366*サマリー!$B$9)+IF(Q366="",0,IF(Q366=200,サマリー!$B$10,IF(Q366=100,サマリー!$B$11,0)))+IF(R366="",0,R366*サマリー!$B$12)</f>
        <v>0</v>
      </c>
      <c r="D366" s="26">
        <f>S366+T366+U366+V366+W366+IF(X366="",0,X366*サマリー!$B$9)+IF(Y366="",0,IF(Y366=200,サマリー!$B$10,IF(Y366=100,サマリー!$B$11,0)))+IF(Z366="",0,Z366*サマリー!$B$12)</f>
        <v>7274</v>
      </c>
      <c r="E366" s="26">
        <f t="shared" si="17"/>
        <v>7274</v>
      </c>
      <c r="I366" s="29"/>
      <c r="J366" s="29"/>
      <c r="K366" s="29"/>
      <c r="L366" s="29"/>
      <c r="M366" s="29"/>
      <c r="N366" s="29"/>
      <c r="O366" s="29"/>
      <c r="P366" s="30"/>
      <c r="Q366" s="30"/>
      <c r="R366" s="30"/>
      <c r="S366" s="31"/>
      <c r="T366" s="31">
        <v>7274</v>
      </c>
      <c r="U366" s="31"/>
      <c r="V366" s="31"/>
      <c r="W366" s="31"/>
      <c r="X366" s="32"/>
      <c r="Y366" s="32"/>
      <c r="Z366" s="32"/>
    </row>
    <row r="367" spans="1:26">
      <c r="A367" s="28">
        <v>22</v>
      </c>
      <c r="B367" s="17">
        <f t="shared" si="18"/>
        <v>46287</v>
      </c>
      <c r="C367" s="26">
        <f>I367+J367+K367+L367+M367+N367+O367+IF(P367="",0,P367*サマリー!$B$9)+IF(Q367="",0,IF(Q367=200,サマリー!$B$10,IF(Q367=100,サマリー!$B$11,0)))+IF(R367="",0,R367*サマリー!$B$12)</f>
        <v>35055</v>
      </c>
      <c r="D367" s="26">
        <f>S367+T367+U367+V367+W367+IF(X367="",0,X367*サマリー!$B$9)+IF(Y367="",0,IF(Y367=200,サマリー!$B$10,IF(Y367=100,サマリー!$B$11,0)))+IF(Z367="",0,Z367*サマリー!$B$12)</f>
        <v>3755</v>
      </c>
      <c r="E367" s="26">
        <f t="shared" si="17"/>
        <v>38810</v>
      </c>
      <c r="I367" s="29"/>
      <c r="J367" s="29">
        <v>35055</v>
      </c>
      <c r="K367" s="29"/>
      <c r="L367" s="29"/>
      <c r="M367" s="29"/>
      <c r="N367" s="29"/>
      <c r="O367" s="29"/>
      <c r="P367" s="30"/>
      <c r="Q367" s="30"/>
      <c r="R367" s="30"/>
      <c r="S367" s="31"/>
      <c r="T367" s="31">
        <v>3755</v>
      </c>
      <c r="U367" s="31"/>
      <c r="V367" s="31"/>
      <c r="W367" s="31"/>
      <c r="X367" s="32"/>
      <c r="Y367" s="32"/>
      <c r="Z367" s="32"/>
    </row>
    <row r="368" spans="1:26">
      <c r="A368" s="28">
        <v>22</v>
      </c>
      <c r="B368" s="17">
        <f t="shared" si="18"/>
        <v>46287</v>
      </c>
      <c r="C368" s="26">
        <f>I368+J368+K368+L368+M368+N368+O368+IF(P368="",0,P368*サマリー!$B$9)+IF(Q368="",0,IF(Q368=200,サマリー!$B$10,IF(Q368=100,サマリー!$B$11,0)))+IF(R368="",0,R368*サマリー!$B$12)</f>
        <v>1655</v>
      </c>
      <c r="D368" s="26">
        <f>S368+T368+U368+V368+W368+IF(X368="",0,X368*サマリー!$B$9)+IF(Y368="",0,IF(Y368=200,サマリー!$B$10,IF(Y368=100,サマリー!$B$11,0)))+IF(Z368="",0,Z368*サマリー!$B$12)</f>
        <v>0</v>
      </c>
      <c r="E368" s="26">
        <f t="shared" si="17"/>
        <v>1655</v>
      </c>
      <c r="I368" s="29"/>
      <c r="J368" s="29">
        <v>1655</v>
      </c>
      <c r="K368" s="29"/>
      <c r="L368" s="29"/>
      <c r="M368" s="29"/>
      <c r="N368" s="29"/>
      <c r="O368" s="29"/>
      <c r="P368" s="30"/>
      <c r="Q368" s="30"/>
      <c r="R368" s="30"/>
      <c r="S368" s="31"/>
      <c r="T368" s="31"/>
      <c r="U368" s="31"/>
      <c r="V368" s="31"/>
      <c r="W368" s="31"/>
      <c r="X368" s="32"/>
      <c r="Y368" s="32"/>
      <c r="Z368" s="32"/>
    </row>
    <row r="369" spans="1:26">
      <c r="A369" s="28">
        <v>22</v>
      </c>
      <c r="B369" s="17">
        <f t="shared" si="18"/>
        <v>46287</v>
      </c>
      <c r="C369" s="26">
        <f>I369+J369+K369+L369+M369+N369+O369+IF(P369="",0,P369*サマリー!$B$9)+IF(Q369="",0,IF(Q369=200,サマリー!$B$10,IF(Q369=100,サマリー!$B$11,0)))+IF(R369="",0,R369*サマリー!$B$12)</f>
        <v>54829</v>
      </c>
      <c r="D369" s="26">
        <f>S369+T369+U369+V369+W369+IF(X369="",0,X369*サマリー!$B$9)+IF(Y369="",0,IF(Y369=200,サマリー!$B$10,IF(Y369=100,サマリー!$B$11,0)))+IF(Z369="",0,Z369*サマリー!$B$12)</f>
        <v>0</v>
      </c>
      <c r="E369" s="26">
        <f t="shared" si="17"/>
        <v>54829</v>
      </c>
      <c r="I369" s="29">
        <v>47588</v>
      </c>
      <c r="J369" s="29"/>
      <c r="K369" s="29"/>
      <c r="L369" s="29"/>
      <c r="M369" s="29"/>
      <c r="N369" s="29"/>
      <c r="O369" s="29"/>
      <c r="P369" s="30"/>
      <c r="Q369" s="30">
        <v>200</v>
      </c>
      <c r="R369" s="30"/>
      <c r="S369" s="31"/>
      <c r="T369" s="31"/>
      <c r="U369" s="31"/>
      <c r="V369" s="31"/>
      <c r="W369" s="31"/>
      <c r="X369" s="32"/>
      <c r="Y369" s="32"/>
      <c r="Z369" s="32"/>
    </row>
    <row r="370" spans="1:26">
      <c r="A370" s="28">
        <v>22</v>
      </c>
      <c r="B370" s="17">
        <f t="shared" si="18"/>
        <v>46287</v>
      </c>
      <c r="C370" s="26">
        <f>I370+J370+K370+L370+M370+N370+O370+IF(P370="",0,P370*サマリー!$B$9)+IF(Q370="",0,IF(Q370=200,サマリー!$B$10,IF(Q370=100,サマリー!$B$11,0)))+IF(R370="",0,R370*サマリー!$B$12)</f>
        <v>1100</v>
      </c>
      <c r="D370" s="26">
        <f>S370+T370+U370+V370+W370+IF(X370="",0,X370*サマリー!$B$9)+IF(Y370="",0,IF(Y370=200,サマリー!$B$10,IF(Y370=100,サマリー!$B$11,0)))+IF(Z370="",0,Z370*サマリー!$B$12)</f>
        <v>0</v>
      </c>
      <c r="E370" s="26">
        <f t="shared" si="17"/>
        <v>1100</v>
      </c>
      <c r="I370" s="29"/>
      <c r="J370" s="29">
        <v>1100</v>
      </c>
      <c r="K370" s="29"/>
      <c r="L370" s="29"/>
      <c r="M370" s="29"/>
      <c r="N370" s="29"/>
      <c r="O370" s="29"/>
      <c r="P370" s="30"/>
      <c r="Q370" s="30"/>
      <c r="R370" s="30"/>
      <c r="S370" s="31"/>
      <c r="T370" s="31"/>
      <c r="U370" s="31"/>
      <c r="V370" s="31"/>
      <c r="W370" s="31"/>
      <c r="X370" s="32"/>
      <c r="Y370" s="32"/>
      <c r="Z370" s="32"/>
    </row>
    <row r="371" spans="1:26">
      <c r="A371" s="28">
        <v>22</v>
      </c>
      <c r="B371" s="17">
        <f t="shared" si="18"/>
        <v>46287</v>
      </c>
      <c r="C371" s="26">
        <f>I371+J371+K371+L371+M371+N371+O371+IF(P371="",0,P371*サマリー!$B$9)+IF(Q371="",0,IF(Q371=200,サマリー!$B$10,IF(Q371=100,サマリー!$B$11,0)))+IF(R371="",0,R371*サマリー!$B$12)</f>
        <v>47279</v>
      </c>
      <c r="D371" s="26">
        <f>S371+T371+U371+V371+W371+IF(X371="",0,X371*サマリー!$B$9)+IF(Y371="",0,IF(Y371=200,サマリー!$B$10,IF(Y371=100,サマリー!$B$11,0)))+IF(Z371="",0,Z371*サマリー!$B$12)</f>
        <v>0</v>
      </c>
      <c r="E371" s="26">
        <f t="shared" si="17"/>
        <v>47279</v>
      </c>
      <c r="I371" s="29">
        <v>40038</v>
      </c>
      <c r="J371" s="29"/>
      <c r="K371" s="29"/>
      <c r="L371" s="29"/>
      <c r="M371" s="29"/>
      <c r="N371" s="29"/>
      <c r="O371" s="29"/>
      <c r="P371" s="30"/>
      <c r="Q371" s="30">
        <v>200</v>
      </c>
      <c r="R371" s="30"/>
      <c r="S371" s="31"/>
      <c r="T371" s="31"/>
      <c r="U371" s="31"/>
      <c r="V371" s="31"/>
      <c r="W371" s="31"/>
      <c r="X371" s="32"/>
      <c r="Y371" s="32"/>
      <c r="Z371" s="32"/>
    </row>
    <row r="372" spans="1:26">
      <c r="A372" s="28">
        <v>23</v>
      </c>
      <c r="B372" s="17">
        <f t="shared" si="18"/>
        <v>46288</v>
      </c>
      <c r="C372" s="26">
        <f>I372+J372+K372+L372+M372+N372+O372+IF(P372="",0,P372*サマリー!$B$9)+IF(Q372="",0,IF(Q372=200,サマリー!$B$10,IF(Q372=100,サマリー!$B$11,0)))+IF(R372="",0,R372*サマリー!$B$12)</f>
        <v>47651</v>
      </c>
      <c r="D372" s="26">
        <f>S372+T372+U372+V372+W372+IF(X372="",0,X372*サマリー!$B$9)+IF(Y372="",0,IF(Y372=200,サマリー!$B$10,IF(Y372=100,サマリー!$B$11,0)))+IF(Z372="",0,Z372*サマリー!$B$12)</f>
        <v>0</v>
      </c>
      <c r="E372" s="26">
        <f t="shared" si="17"/>
        <v>47651</v>
      </c>
      <c r="I372" s="29">
        <v>40410</v>
      </c>
      <c r="J372" s="29"/>
      <c r="K372" s="29"/>
      <c r="L372" s="29"/>
      <c r="M372" s="29"/>
      <c r="N372" s="29"/>
      <c r="O372" s="29"/>
      <c r="P372" s="30"/>
      <c r="Q372" s="30">
        <v>200</v>
      </c>
      <c r="R372" s="30"/>
      <c r="S372" s="31"/>
      <c r="T372" s="31"/>
      <c r="U372" s="31"/>
      <c r="V372" s="31"/>
      <c r="W372" s="31"/>
      <c r="X372" s="32"/>
      <c r="Y372" s="32"/>
      <c r="Z372" s="32"/>
    </row>
    <row r="373" spans="1:26">
      <c r="A373" s="28">
        <v>23</v>
      </c>
      <c r="B373" s="17">
        <f t="shared" si="18"/>
        <v>46288</v>
      </c>
      <c r="C373" s="26">
        <f>I373+J373+K373+L373+M373+N373+O373+IF(P373="",0,P373*サマリー!$B$9)+IF(Q373="",0,IF(Q373=200,サマリー!$B$10,IF(Q373=100,サマリー!$B$11,0)))+IF(R373="",0,R373*サマリー!$B$12)</f>
        <v>4955</v>
      </c>
      <c r="D373" s="26">
        <f>S373+T373+U373+V373+W373+IF(X373="",0,X373*サマリー!$B$9)+IF(Y373="",0,IF(Y373=200,サマリー!$B$10,IF(Y373=100,サマリー!$B$11,0)))+IF(Z373="",0,Z373*サマリー!$B$12)</f>
        <v>0</v>
      </c>
      <c r="E373" s="26">
        <f t="shared" si="17"/>
        <v>4955</v>
      </c>
      <c r="I373" s="29"/>
      <c r="J373" s="29">
        <v>4955</v>
      </c>
      <c r="K373" s="29"/>
      <c r="L373" s="29"/>
      <c r="M373" s="29"/>
      <c r="N373" s="29"/>
      <c r="O373" s="29"/>
      <c r="P373" s="30"/>
      <c r="Q373" s="30"/>
      <c r="R373" s="30"/>
      <c r="S373" s="31"/>
      <c r="T373" s="31"/>
      <c r="U373" s="31"/>
      <c r="V373" s="31"/>
      <c r="W373" s="31"/>
      <c r="X373" s="32"/>
      <c r="Y373" s="32"/>
      <c r="Z373" s="32"/>
    </row>
    <row r="374" spans="1:26">
      <c r="A374" s="28">
        <v>23</v>
      </c>
      <c r="B374" s="17">
        <f t="shared" si="18"/>
        <v>46288</v>
      </c>
      <c r="C374" s="26">
        <f>I374+J374+K374+L374+M374+N374+O374+IF(P374="",0,P374*サマリー!$B$9)+IF(Q374="",0,IF(Q374=200,サマリー!$B$10,IF(Q374=100,サマリー!$B$11,0)))+IF(R374="",0,R374*サマリー!$B$12)</f>
        <v>37279</v>
      </c>
      <c r="D374" s="26">
        <f>S374+T374+U374+V374+W374+IF(X374="",0,X374*サマリー!$B$9)+IF(Y374="",0,IF(Y374=200,サマリー!$B$10,IF(Y374=100,サマリー!$B$11,0)))+IF(Z374="",0,Z374*サマリー!$B$12)</f>
        <v>0</v>
      </c>
      <c r="E374" s="26">
        <f t="shared" si="17"/>
        <v>37279</v>
      </c>
      <c r="I374" s="29">
        <v>30038</v>
      </c>
      <c r="J374" s="29"/>
      <c r="K374" s="29"/>
      <c r="L374" s="29"/>
      <c r="M374" s="29"/>
      <c r="N374" s="29"/>
      <c r="O374" s="29"/>
      <c r="P374" s="30"/>
      <c r="Q374" s="30">
        <v>200</v>
      </c>
      <c r="R374" s="30"/>
      <c r="S374" s="31"/>
      <c r="T374" s="31"/>
      <c r="U374" s="31"/>
      <c r="V374" s="31"/>
      <c r="W374" s="31"/>
      <c r="X374" s="32"/>
      <c r="Y374" s="32"/>
      <c r="Z374" s="32"/>
    </row>
    <row r="375" spans="1:26">
      <c r="A375" s="28">
        <v>23</v>
      </c>
      <c r="B375" s="17">
        <f t="shared" si="18"/>
        <v>46288</v>
      </c>
      <c r="C375" s="26">
        <f>I375+J375+K375+L375+M375+N375+O375+IF(P375="",0,P375*サマリー!$B$9)+IF(Q375="",0,IF(Q375=200,サマリー!$B$10,IF(Q375=100,サマリー!$B$11,0)))+IF(R375="",0,R375*サマリー!$B$12)</f>
        <v>23455</v>
      </c>
      <c r="D375" s="26">
        <f>S375+T375+U375+V375+W375+IF(X375="",0,X375*サマリー!$B$9)+IF(Y375="",0,IF(Y375=200,サマリー!$B$10,IF(Y375=100,サマリー!$B$11,0)))+IF(Z375="",0,Z375*サマリー!$B$12)</f>
        <v>0</v>
      </c>
      <c r="E375" s="26">
        <f t="shared" si="17"/>
        <v>23455</v>
      </c>
      <c r="I375" s="29"/>
      <c r="J375" s="29">
        <v>23455</v>
      </c>
      <c r="K375" s="29"/>
      <c r="L375" s="29"/>
      <c r="M375" s="29"/>
      <c r="N375" s="29"/>
      <c r="O375" s="29"/>
      <c r="P375" s="30"/>
      <c r="Q375" s="30"/>
      <c r="R375" s="30"/>
      <c r="S375" s="31"/>
      <c r="T375" s="31"/>
      <c r="U375" s="31"/>
      <c r="V375" s="31"/>
      <c r="W375" s="31"/>
      <c r="X375" s="32"/>
      <c r="Y375" s="32"/>
      <c r="Z375" s="32"/>
    </row>
    <row r="376" spans="1:26">
      <c r="A376" s="28">
        <v>24</v>
      </c>
      <c r="B376" s="17">
        <f t="shared" si="18"/>
        <v>46289</v>
      </c>
      <c r="C376" s="26">
        <f>I376+J376+K376+L376+M376+N376+O376+IF(P376="",0,P376*サマリー!$B$9)+IF(Q376="",0,IF(Q376=200,サマリー!$B$10,IF(Q376=100,サマリー!$B$11,0)))+IF(R376="",0,R376*サマリー!$B$12)</f>
        <v>46238</v>
      </c>
      <c r="D376" s="26">
        <f>S376+T376+U376+V376+W376+IF(X376="",0,X376*サマリー!$B$9)+IF(Y376="",0,IF(Y376=200,サマリー!$B$10,IF(Y376=100,サマリー!$B$11,0)))+IF(Z376="",0,Z376*サマリー!$B$12)</f>
        <v>7500</v>
      </c>
      <c r="E376" s="26">
        <f t="shared" si="17"/>
        <v>53738</v>
      </c>
      <c r="I376" s="29"/>
      <c r="J376" s="29"/>
      <c r="K376" s="29"/>
      <c r="L376" s="29">
        <v>46238</v>
      </c>
      <c r="M376" s="29"/>
      <c r="N376" s="29"/>
      <c r="O376" s="29"/>
      <c r="P376" s="30"/>
      <c r="Q376" s="30"/>
      <c r="R376" s="30"/>
      <c r="S376" s="31"/>
      <c r="T376" s="31">
        <v>7500</v>
      </c>
      <c r="U376" s="31"/>
      <c r="V376" s="31"/>
      <c r="W376" s="31"/>
      <c r="X376" s="32"/>
      <c r="Y376" s="32"/>
      <c r="Z376" s="32"/>
    </row>
    <row r="377" spans="1:26">
      <c r="A377" s="28">
        <v>24</v>
      </c>
      <c r="B377" s="17">
        <f t="shared" si="18"/>
        <v>46289</v>
      </c>
      <c r="C377" s="26">
        <f>I377+J377+K377+L377+M377+N377+O377+IF(P377="",0,P377*サマリー!$B$9)+IF(Q377="",0,IF(Q377=200,サマリー!$B$10,IF(Q377=100,サマリー!$B$11,0)))+IF(R377="",0,R377*サマリー!$B$12)</f>
        <v>38305</v>
      </c>
      <c r="D377" s="26">
        <f>S377+T377+U377+V377+W377+IF(X377="",0,X377*サマリー!$B$9)+IF(Y377="",0,IF(Y377=200,サマリー!$B$10,IF(Y377=100,サマリー!$B$11,0)))+IF(Z377="",0,Z377*サマリー!$B$12)</f>
        <v>-3200</v>
      </c>
      <c r="E377" s="26">
        <f t="shared" si="17"/>
        <v>35105</v>
      </c>
      <c r="I377" s="29"/>
      <c r="J377" s="29"/>
      <c r="K377" s="29"/>
      <c r="L377" s="29"/>
      <c r="M377" s="29">
        <v>38305</v>
      </c>
      <c r="N377" s="29"/>
      <c r="O377" s="29"/>
      <c r="P377" s="30"/>
      <c r="Q377" s="30"/>
      <c r="R377" s="30"/>
      <c r="S377" s="31">
        <v>-3200</v>
      </c>
      <c r="T377" s="31"/>
      <c r="U377" s="31"/>
      <c r="V377" s="31"/>
      <c r="W377" s="31"/>
      <c r="X377" s="32"/>
      <c r="Y377" s="32"/>
      <c r="Z377" s="32"/>
    </row>
    <row r="378" spans="1:26">
      <c r="A378" s="28">
        <v>24</v>
      </c>
      <c r="B378" s="17">
        <f t="shared" si="18"/>
        <v>46289</v>
      </c>
      <c r="C378" s="26">
        <f>I378+J378+K378+L378+M378+N378+O378+IF(P378="",0,P378*サマリー!$B$9)+IF(Q378="",0,IF(Q378=200,サマリー!$B$10,IF(Q378=100,サマリー!$B$11,0)))+IF(R378="",0,R378*サマリー!$B$12)</f>
        <v>50000</v>
      </c>
      <c r="D378" s="26">
        <f>S378+T378+U378+V378+W378+IF(X378="",0,X378*サマリー!$B$9)+IF(Y378="",0,IF(Y378=200,サマリー!$B$10,IF(Y378=100,サマリー!$B$11,0)))+IF(Z378="",0,Z378*サマリー!$B$12)</f>
        <v>7500</v>
      </c>
      <c r="E378" s="26">
        <f t="shared" si="17"/>
        <v>57500</v>
      </c>
      <c r="I378" s="29"/>
      <c r="J378" s="29"/>
      <c r="K378" s="29"/>
      <c r="L378" s="29"/>
      <c r="M378" s="29"/>
      <c r="N378" s="29"/>
      <c r="O378" s="29"/>
      <c r="P378" s="30">
        <v>2</v>
      </c>
      <c r="Q378" s="30"/>
      <c r="R378" s="30"/>
      <c r="S378" s="31"/>
      <c r="T378" s="31">
        <v>7500</v>
      </c>
      <c r="U378" s="31"/>
      <c r="V378" s="31"/>
      <c r="W378" s="31"/>
      <c r="X378" s="32"/>
      <c r="Y378" s="32"/>
      <c r="Z378" s="32"/>
    </row>
    <row r="379" spans="1:26">
      <c r="A379" s="28">
        <v>25</v>
      </c>
      <c r="B379" s="17">
        <f t="shared" si="18"/>
        <v>46290</v>
      </c>
      <c r="C379" s="26">
        <f>I379+J379+K379+L379+M379+N379+O379+IF(P379="",0,P379*サマリー!$B$9)+IF(Q379="",0,IF(Q379=200,サマリー!$B$10,IF(Q379=100,サマリー!$B$11,0)))+IF(R379="",0,R379*サマリー!$B$12)</f>
        <v>3755</v>
      </c>
      <c r="D379" s="26">
        <f>S379+T379+U379+V379+W379+IF(X379="",0,X379*サマリー!$B$9)+IF(Y379="",0,IF(Y379=200,サマリー!$B$10,IF(Y379=100,サマリー!$B$11,0)))+IF(Z379="",0,Z379*サマリー!$B$12)</f>
        <v>0</v>
      </c>
      <c r="E379" s="26">
        <f t="shared" si="17"/>
        <v>3755</v>
      </c>
      <c r="I379" s="29"/>
      <c r="J379" s="29">
        <v>3755</v>
      </c>
      <c r="K379" s="29"/>
      <c r="L379" s="29"/>
      <c r="M379" s="29"/>
      <c r="N379" s="29"/>
      <c r="O379" s="29"/>
      <c r="P379" s="30"/>
      <c r="Q379" s="30"/>
      <c r="R379" s="30"/>
      <c r="S379" s="31"/>
      <c r="T379" s="31"/>
      <c r="U379" s="31"/>
      <c r="V379" s="31"/>
      <c r="W379" s="31"/>
      <c r="X379" s="32"/>
      <c r="Y379" s="32"/>
      <c r="Z379" s="32"/>
    </row>
    <row r="380" spans="1:26">
      <c r="A380" s="28"/>
      <c r="B380" s="17">
        <f t="shared" si="18"/>
        <v>46290</v>
      </c>
      <c r="C380" s="26">
        <f>I380+J380+K380+L380+M380+N380+O380+IF(P380="",0,P380*サマリー!$B$9)+IF(Q380="",0,IF(Q380=200,サマリー!$B$10,IF(Q380=100,サマリー!$B$11,0)))+IF(R380="",0,R380*サマリー!$B$12)</f>
        <v>60798</v>
      </c>
      <c r="D380" s="26">
        <f>S380+T380+U380+V380+W380+IF(X380="",0,X380*サマリー!$B$9)+IF(Y380="",0,IF(Y380=200,サマリー!$B$10,IF(Y380=100,サマリー!$B$11,0)))+IF(Z380="",0,Z380*サマリー!$B$12)</f>
        <v>6355</v>
      </c>
      <c r="E380" s="26">
        <f t="shared" si="17"/>
        <v>67153</v>
      </c>
      <c r="I380" s="29">
        <v>53557</v>
      </c>
      <c r="J380" s="29"/>
      <c r="K380" s="29"/>
      <c r="L380" s="29"/>
      <c r="M380" s="29"/>
      <c r="N380" s="29"/>
      <c r="O380" s="29"/>
      <c r="P380" s="30"/>
      <c r="Q380" s="30">
        <v>200</v>
      </c>
      <c r="R380" s="30"/>
      <c r="S380" s="31"/>
      <c r="T380" s="31"/>
      <c r="U380" s="31"/>
      <c r="V380" s="31">
        <v>6355</v>
      </c>
      <c r="W380" s="31"/>
      <c r="X380" s="32"/>
      <c r="Y380" s="32"/>
      <c r="Z380" s="32"/>
    </row>
    <row r="381" spans="1:26">
      <c r="A381" s="28">
        <v>26</v>
      </c>
      <c r="B381" s="17">
        <f t="shared" si="18"/>
        <v>46291</v>
      </c>
      <c r="C381" s="26">
        <f>I381+J381+K381+L381+M381+N381+O381+IF(P381="",0,P381*サマリー!$B$9)+IF(Q381="",0,IF(Q381=200,サマリー!$B$10,IF(Q381=100,サマリー!$B$11,0)))+IF(R381="",0,R381*サマリー!$B$12)</f>
        <v>6400</v>
      </c>
      <c r="D381" s="26">
        <f>S381+T381+U381+V381+W381+IF(X381="",0,X381*サマリー!$B$9)+IF(Y381="",0,IF(Y381=200,サマリー!$B$10,IF(Y381=100,サマリー!$B$11,0)))+IF(Z381="",0,Z381*サマリー!$B$12)</f>
        <v>3755</v>
      </c>
      <c r="E381" s="26">
        <f t="shared" si="17"/>
        <v>10155</v>
      </c>
      <c r="I381" s="29"/>
      <c r="J381" s="29">
        <v>6400</v>
      </c>
      <c r="K381" s="29"/>
      <c r="L381" s="29"/>
      <c r="M381" s="29"/>
      <c r="N381" s="29"/>
      <c r="O381" s="29"/>
      <c r="P381" s="30"/>
      <c r="Q381" s="30"/>
      <c r="R381" s="30"/>
      <c r="S381" s="31"/>
      <c r="T381" s="31">
        <v>3755</v>
      </c>
      <c r="U381" s="31"/>
      <c r="V381" s="31"/>
      <c r="W381" s="31"/>
      <c r="X381" s="32"/>
      <c r="Y381" s="32"/>
      <c r="Z381" s="32"/>
    </row>
    <row r="382" spans="1:26">
      <c r="A382" s="28"/>
      <c r="B382" s="17">
        <f t="shared" si="18"/>
        <v>46291</v>
      </c>
      <c r="C382" s="26">
        <f>I382+J382+K382+L382+M382+N382+O382+IF(P382="",0,P382*サマリー!$B$9)+IF(Q382="",0,IF(Q382=200,サマリー!$B$10,IF(Q382=100,サマリー!$B$11,0)))+IF(R382="",0,R382*サマリー!$B$12)</f>
        <v>0</v>
      </c>
      <c r="D382" s="26">
        <f>S382+T382+U382+V382+W382+IF(X382="",0,X382*サマリー!$B$9)+IF(Y382="",0,IF(Y382=200,サマリー!$B$10,IF(Y382=100,サマリー!$B$11,0)))+IF(Z382="",0,Z382*サマリー!$B$12)</f>
        <v>6400</v>
      </c>
      <c r="E382" s="26">
        <f t="shared" si="17"/>
        <v>6400</v>
      </c>
      <c r="I382" s="29"/>
      <c r="J382" s="29"/>
      <c r="K382" s="29"/>
      <c r="L382" s="29"/>
      <c r="M382" s="29"/>
      <c r="N382" s="29"/>
      <c r="O382" s="29"/>
      <c r="P382" s="30"/>
      <c r="Q382" s="30"/>
      <c r="R382" s="30"/>
      <c r="S382" s="31"/>
      <c r="T382" s="31">
        <v>6400</v>
      </c>
      <c r="U382" s="31"/>
      <c r="V382" s="31"/>
      <c r="W382" s="31"/>
      <c r="X382" s="32"/>
      <c r="Y382" s="32"/>
      <c r="Z382" s="32"/>
    </row>
    <row r="383" spans="1:26">
      <c r="A383" s="28"/>
      <c r="B383" s="17">
        <f t="shared" si="18"/>
        <v>46291</v>
      </c>
      <c r="C383" s="26">
        <f>I383+J383+K383+L383+M383+N383+O383+IF(P383="",0,P383*サマリー!$B$9)+IF(Q383="",0,IF(Q383=200,サマリー!$B$10,IF(Q383=100,サマリー!$B$11,0)))+IF(R383="",0,R383*サマリー!$B$12)</f>
        <v>0</v>
      </c>
      <c r="D383" s="26">
        <f>S383+T383+U383+V383+W383+IF(X383="",0,X383*サマリー!$B$9)+IF(Y383="",0,IF(Y383=200,サマリー!$B$10,IF(Y383=100,サマリー!$B$11,0)))+IF(Z383="",0,Z383*サマリー!$B$12)</f>
        <v>43931</v>
      </c>
      <c r="E383" s="26">
        <f t="shared" si="17"/>
        <v>43931</v>
      </c>
      <c r="I383" s="29"/>
      <c r="J383" s="29"/>
      <c r="K383" s="29"/>
      <c r="L383" s="29"/>
      <c r="M383" s="29"/>
      <c r="N383" s="29"/>
      <c r="O383" s="29"/>
      <c r="P383" s="30"/>
      <c r="Q383" s="30"/>
      <c r="R383" s="30"/>
      <c r="S383" s="31">
        <v>25750</v>
      </c>
      <c r="T383" s="31"/>
      <c r="U383" s="31">
        <v>18181</v>
      </c>
      <c r="V383" s="31"/>
      <c r="W383" s="31"/>
      <c r="X383" s="32"/>
      <c r="Y383" s="32"/>
      <c r="Z383" s="32"/>
    </row>
    <row r="384" spans="1:26">
      <c r="A384" s="28">
        <v>27</v>
      </c>
      <c r="B384" s="17">
        <f t="shared" si="18"/>
        <v>46292</v>
      </c>
      <c r="C384" s="26">
        <f>I384+J384+K384+L384+M384+N384+O384+IF(P384="",0,P384*サマリー!$B$9)+IF(Q384="",0,IF(Q384=200,サマリー!$B$10,IF(Q384=100,サマリー!$B$11,0)))+IF(R384="",0,R384*サマリー!$B$12)</f>
        <v>37279</v>
      </c>
      <c r="D384" s="26">
        <f>S384+T384+U384+V384+W384+IF(X384="",0,X384*サマリー!$B$9)+IF(Y384="",0,IF(Y384=200,サマリー!$B$10,IF(Y384=100,サマリー!$B$11,0)))+IF(Z384="",0,Z384*サマリー!$B$12)</f>
        <v>42760</v>
      </c>
      <c r="E384" s="26">
        <f t="shared" si="17"/>
        <v>80039</v>
      </c>
      <c r="I384" s="29">
        <v>30038</v>
      </c>
      <c r="J384" s="29"/>
      <c r="K384" s="29"/>
      <c r="L384" s="29"/>
      <c r="M384" s="29"/>
      <c r="N384" s="29"/>
      <c r="O384" s="29"/>
      <c r="P384" s="30"/>
      <c r="Q384" s="30">
        <v>200</v>
      </c>
      <c r="R384" s="30"/>
      <c r="S384" s="31">
        <v>35519</v>
      </c>
      <c r="T384" s="31"/>
      <c r="U384" s="31"/>
      <c r="V384" s="31"/>
      <c r="W384" s="31"/>
      <c r="X384" s="32"/>
      <c r="Y384" s="32">
        <v>200</v>
      </c>
      <c r="Z384" s="32"/>
    </row>
    <row r="385" spans="1:26">
      <c r="A385" s="28"/>
      <c r="B385" s="17">
        <f t="shared" si="18"/>
        <v>46292</v>
      </c>
      <c r="C385" s="26">
        <f>I385+J385+K385+L385+M385+N385+O385+IF(P385="",0,P385*サマリー!$B$9)+IF(Q385="",0,IF(Q385=200,サマリー!$B$10,IF(Q385=100,サマリー!$B$11,0)))+IF(R385="",0,R385*サマリー!$B$12)</f>
        <v>14110</v>
      </c>
      <c r="D385" s="26">
        <f>S385+T385+U385+V385+W385+IF(X385="",0,X385*サマリー!$B$9)+IF(Y385="",0,IF(Y385=200,サマリー!$B$10,IF(Y385=100,サマリー!$B$11,0)))+IF(Z385="",0,Z385*サマリー!$B$12)</f>
        <v>8579</v>
      </c>
      <c r="E385" s="26">
        <f t="shared" si="17"/>
        <v>22689</v>
      </c>
      <c r="I385" s="29"/>
      <c r="J385" s="29">
        <v>14110</v>
      </c>
      <c r="K385" s="29"/>
      <c r="L385" s="29"/>
      <c r="M385" s="29"/>
      <c r="N385" s="29"/>
      <c r="O385" s="29"/>
      <c r="P385" s="30"/>
      <c r="Q385" s="30"/>
      <c r="R385" s="30"/>
      <c r="S385" s="31"/>
      <c r="T385" s="31">
        <v>4200</v>
      </c>
      <c r="U385" s="31"/>
      <c r="V385" s="31"/>
      <c r="W385" s="31"/>
      <c r="X385" s="32"/>
      <c r="Y385" s="32">
        <v>100</v>
      </c>
      <c r="Z385" s="32"/>
    </row>
    <row r="386" spans="1:26">
      <c r="A386" s="28"/>
      <c r="B386" s="17">
        <f t="shared" si="18"/>
        <v>46292</v>
      </c>
      <c r="C386" s="26">
        <f>I386+J386+K386+L386+M386+N386+O386+IF(P386="",0,P386*サマリー!$B$9)+IF(Q386="",0,IF(Q386=200,サマリー!$B$10,IF(Q386=100,サマリー!$B$11,0)))+IF(R386="",0,R386*サマリー!$B$12)</f>
        <v>33960</v>
      </c>
      <c r="D386" s="26">
        <f>S386+T386+U386+V386+W386+IF(X386="",0,X386*サマリー!$B$9)+IF(Y386="",0,IF(Y386=200,サマリー!$B$10,IF(Y386=100,サマリー!$B$11,0)))+IF(Z386="",0,Z386*サマリー!$B$12)</f>
        <v>0</v>
      </c>
      <c r="E386" s="26">
        <f t="shared" si="17"/>
        <v>33960</v>
      </c>
      <c r="I386" s="29">
        <v>26719</v>
      </c>
      <c r="J386" s="29"/>
      <c r="K386" s="29"/>
      <c r="L386" s="29"/>
      <c r="M386" s="29"/>
      <c r="N386" s="29"/>
      <c r="O386" s="29"/>
      <c r="P386" s="30"/>
      <c r="Q386" s="30">
        <v>200</v>
      </c>
      <c r="R386" s="30"/>
      <c r="S386" s="31"/>
      <c r="T386" s="31"/>
      <c r="U386" s="31"/>
      <c r="V386" s="31"/>
      <c r="W386" s="31"/>
      <c r="X386" s="32"/>
      <c r="Y386" s="32"/>
      <c r="Z386" s="32"/>
    </row>
    <row r="387" spans="1:26">
      <c r="A387" s="28"/>
      <c r="B387" s="17">
        <f t="shared" si="18"/>
        <v>46292</v>
      </c>
      <c r="C387" s="26">
        <f>I387+J387+K387+L387+M387+N387+O387+IF(P387="",0,P387*サマリー!$B$9)+IF(Q387="",0,IF(Q387=200,サマリー!$B$10,IF(Q387=100,サマリー!$B$11,0)))+IF(R387="",0,R387*サマリー!$B$12)</f>
        <v>4200</v>
      </c>
      <c r="D387" s="26">
        <f>S387+T387+U387+V387+W387+IF(X387="",0,X387*サマリー!$B$9)+IF(Y387="",0,IF(Y387=200,サマリー!$B$10,IF(Y387=100,サマリー!$B$11,0)))+IF(Z387="",0,Z387*サマリー!$B$12)</f>
        <v>0</v>
      </c>
      <c r="E387" s="26">
        <f t="shared" si="17"/>
        <v>4200</v>
      </c>
      <c r="I387" s="29"/>
      <c r="J387" s="29">
        <v>4200</v>
      </c>
      <c r="K387" s="29"/>
      <c r="L387" s="29"/>
      <c r="M387" s="29"/>
      <c r="N387" s="29"/>
      <c r="O387" s="29"/>
      <c r="P387" s="30"/>
      <c r="Q387" s="30"/>
      <c r="R387" s="30"/>
      <c r="S387" s="31"/>
      <c r="T387" s="31"/>
      <c r="U387" s="31"/>
      <c r="V387" s="31"/>
      <c r="W387" s="31"/>
      <c r="X387" s="32"/>
      <c r="Y387" s="32"/>
      <c r="Z387" s="32"/>
    </row>
    <row r="388" spans="1:26">
      <c r="A388" s="28">
        <v>28</v>
      </c>
      <c r="B388" s="17">
        <f t="shared" si="18"/>
        <v>46293</v>
      </c>
      <c r="C388" s="26">
        <f>I388+J388+K388+L388+M388+N388+O388+IF(P388="",0,P388*サマリー!$B$9)+IF(Q388="",0,IF(Q388=200,サマリー!$B$10,IF(Q388=100,サマリー!$B$11,0)))+IF(R388="",0,R388*サマリー!$B$12)</f>
        <v>0</v>
      </c>
      <c r="D388" s="26">
        <f>S388+T388+U388+V388+W388+IF(X388="",0,X388*サマリー!$B$9)+IF(Y388="",0,IF(Y388=200,サマリー!$B$10,IF(Y388=100,サマリー!$B$11,0)))+IF(Z388="",0,Z388*サマリー!$B$12)</f>
        <v>48753</v>
      </c>
      <c r="E388" s="26">
        <f t="shared" si="17"/>
        <v>48753</v>
      </c>
      <c r="I388" s="29"/>
      <c r="J388" s="29"/>
      <c r="K388" s="29"/>
      <c r="L388" s="29"/>
      <c r="M388" s="29"/>
      <c r="N388" s="29"/>
      <c r="O388" s="29"/>
      <c r="P388" s="30"/>
      <c r="Q388" s="30"/>
      <c r="R388" s="30"/>
      <c r="S388" s="31">
        <v>41512</v>
      </c>
      <c r="T388" s="31"/>
      <c r="U388" s="31"/>
      <c r="V388" s="31"/>
      <c r="W388" s="31"/>
      <c r="X388" s="32"/>
      <c r="Y388" s="32">
        <v>200</v>
      </c>
      <c r="Z388" s="32"/>
    </row>
    <row r="389" spans="1:26">
      <c r="A389" s="28"/>
      <c r="B389" s="17">
        <f t="shared" si="18"/>
        <v>46293</v>
      </c>
      <c r="C389" s="26">
        <f>I389+J389+K389+L389+M389+N389+O389+IF(P389="",0,P389*サマリー!$B$9)+IF(Q389="",0,IF(Q389=200,サマリー!$B$10,IF(Q389=100,サマリー!$B$11,0)))+IF(R389="",0,R389*サマリー!$B$12)</f>
        <v>0</v>
      </c>
      <c r="D389" s="26">
        <f>S389+T389+U389+V389+W389+IF(X389="",0,X389*サマリー!$B$9)+IF(Y389="",0,IF(Y389=200,サマリー!$B$10,IF(Y389=100,サマリー!$B$11,0)))+IF(Z389="",0,Z389*サマリー!$B$12)</f>
        <v>3755</v>
      </c>
      <c r="E389" s="26">
        <f t="shared" si="17"/>
        <v>3755</v>
      </c>
      <c r="I389" s="29"/>
      <c r="J389" s="29"/>
      <c r="K389" s="29"/>
      <c r="L389" s="29"/>
      <c r="M389" s="29"/>
      <c r="N389" s="29"/>
      <c r="O389" s="29"/>
      <c r="P389" s="30"/>
      <c r="Q389" s="30"/>
      <c r="R389" s="30"/>
      <c r="S389" s="31"/>
      <c r="T389" s="31">
        <v>3755</v>
      </c>
      <c r="U389" s="31"/>
      <c r="V389" s="31"/>
      <c r="W389" s="31"/>
      <c r="X389" s="32"/>
      <c r="Y389" s="32"/>
      <c r="Z389" s="32"/>
    </row>
    <row r="390" spans="1:26">
      <c r="A390" s="28">
        <v>29</v>
      </c>
      <c r="B390" s="17">
        <f t="shared" si="18"/>
        <v>46294</v>
      </c>
      <c r="C390" s="26">
        <f>I390+J390+K390+L390+M390+N390+O390+IF(P390="",0,P390*サマリー!$B$9)+IF(Q390="",0,IF(Q390=200,サマリー!$B$10,IF(Q390=100,サマリー!$B$11,0)))+IF(R390="",0,R390*サマリー!$B$12)</f>
        <v>75000</v>
      </c>
      <c r="D390" s="26">
        <f>S390+T390+U390+V390+W390+IF(X390="",0,X390*サマリー!$B$9)+IF(Y390="",0,IF(Y390=200,サマリー!$B$10,IF(Y390=100,サマリー!$B$11,0)))+IF(Z390="",0,Z390*サマリー!$B$12)</f>
        <v>10255</v>
      </c>
      <c r="E390" s="26">
        <f t="shared" si="17"/>
        <v>85255</v>
      </c>
      <c r="I390" s="29"/>
      <c r="J390" s="29"/>
      <c r="K390" s="29"/>
      <c r="L390" s="29"/>
      <c r="M390" s="29"/>
      <c r="N390" s="29"/>
      <c r="O390" s="29"/>
      <c r="P390" s="30">
        <v>3</v>
      </c>
      <c r="Q390" s="30"/>
      <c r="R390" s="30"/>
      <c r="S390" s="31"/>
      <c r="T390" s="31">
        <v>10255</v>
      </c>
      <c r="U390" s="31"/>
      <c r="V390" s="31"/>
      <c r="W390" s="31"/>
      <c r="X390" s="32"/>
      <c r="Y390" s="32"/>
      <c r="Z390" s="32"/>
    </row>
    <row r="391" spans="1:26">
      <c r="A391" s="28">
        <v>30</v>
      </c>
      <c r="B391" s="17">
        <f t="shared" si="18"/>
        <v>46295</v>
      </c>
      <c r="C391" s="26">
        <f>I391+J391+K391+L391+M391+N391+O391+IF(P391="",0,P391*サマリー!$B$9)+IF(Q391="",0,IF(Q391=200,サマリー!$B$10,IF(Q391=100,サマリー!$B$11,0)))+IF(R391="",0,R391*サマリー!$B$12)</f>
        <v>0</v>
      </c>
      <c r="D391" s="26">
        <f>S391+T391+U391+V391+W391+IF(X391="",0,X391*サマリー!$B$9)+IF(Y391="",0,IF(Y391=200,サマリー!$B$10,IF(Y391=100,サマリー!$B$11,0)))+IF(Z391="",0,Z391*サマリー!$B$12)</f>
        <v>0</v>
      </c>
      <c r="E391" s="26">
        <f t="shared" si="17"/>
        <v>0</v>
      </c>
      <c r="I391" s="29">
        <v>0</v>
      </c>
      <c r="J391" s="29"/>
      <c r="K391" s="29"/>
      <c r="L391" s="29"/>
      <c r="M391" s="29"/>
      <c r="N391" s="29"/>
      <c r="O391" s="29"/>
      <c r="P391" s="30"/>
      <c r="Q391" s="30"/>
      <c r="R391" s="30"/>
      <c r="S391" s="31"/>
      <c r="T391" s="31"/>
      <c r="U391" s="31"/>
      <c r="V391" s="31"/>
      <c r="W391" s="31"/>
      <c r="X391" s="32"/>
      <c r="Y391" s="32"/>
      <c r="Z391" s="32"/>
    </row>
    <row r="392" spans="1:26">
      <c r="A392" s="28">
        <v>1</v>
      </c>
      <c r="B392" s="17">
        <f t="shared" si="18"/>
        <v>46296</v>
      </c>
      <c r="C392" s="26">
        <f>I392+J392+K392+L392+M392+N392+O392+IF(P392="",0,P392*サマリー!$B$9)+IF(Q392="",0,IF(Q392=200,サマリー!$B$10,IF(Q392=100,サマリー!$B$11,0)))+IF(R392="",0,R392*サマリー!$B$12)</f>
        <v>40998</v>
      </c>
      <c r="D392" s="26">
        <f>S392+T392+U392+V392+W392+IF(X392="",0,X392*サマリー!$B$9)+IF(Y392="",0,IF(Y392=200,サマリー!$B$10,IF(Y392=100,サマリー!$B$11,0)))+IF(Z392="",0,Z392*サマリー!$B$12)</f>
        <v>4955</v>
      </c>
      <c r="E392" s="26">
        <f t="shared" si="17"/>
        <v>45953</v>
      </c>
      <c r="I392" s="29"/>
      <c r="J392" s="29"/>
      <c r="K392" s="29"/>
      <c r="L392" s="29">
        <v>33757</v>
      </c>
      <c r="M392" s="29"/>
      <c r="N392" s="29"/>
      <c r="O392" s="29"/>
      <c r="P392" s="30"/>
      <c r="Q392" s="30">
        <v>200</v>
      </c>
      <c r="R392" s="30"/>
      <c r="S392" s="31"/>
      <c r="T392" s="31">
        <v>4955</v>
      </c>
      <c r="U392" s="31"/>
      <c r="V392" s="31"/>
      <c r="W392" s="31"/>
      <c r="X392" s="32"/>
      <c r="Y392" s="32"/>
      <c r="Z392" s="32"/>
    </row>
    <row r="393" spans="1:26">
      <c r="A393" s="28"/>
      <c r="B393" s="17">
        <f t="shared" si="18"/>
        <v>46296</v>
      </c>
      <c r="C393" s="26">
        <f>I393+J393+K393+L393+M393+N393+O393+IF(P393="",0,P393*サマリー!$B$9)+IF(Q393="",0,IF(Q393=200,サマリー!$B$10,IF(Q393=100,サマリー!$B$11,0)))+IF(R393="",0,R393*サマリー!$B$12)</f>
        <v>0</v>
      </c>
      <c r="D393" s="26">
        <f>S393+T393+U393+V393+W393+IF(X393="",0,X393*サマリー!$B$9)+IF(Y393="",0,IF(Y393=200,サマリー!$B$10,IF(Y393=100,サマリー!$B$11,0)))+IF(Z393="",0,Z393*サマリー!$B$12)</f>
        <v>4200</v>
      </c>
      <c r="E393" s="26">
        <f t="shared" si="17"/>
        <v>4200</v>
      </c>
      <c r="I393" s="29"/>
      <c r="J393" s="29"/>
      <c r="K393" s="29"/>
      <c r="L393" s="29"/>
      <c r="M393" s="29"/>
      <c r="N393" s="29"/>
      <c r="O393" s="29"/>
      <c r="P393" s="30"/>
      <c r="Q393" s="30"/>
      <c r="R393" s="30"/>
      <c r="S393" s="31"/>
      <c r="T393" s="31">
        <v>4200</v>
      </c>
      <c r="U393" s="31"/>
      <c r="V393" s="31"/>
      <c r="W393" s="31"/>
      <c r="X393" s="32"/>
      <c r="Y393" s="32"/>
      <c r="Z393" s="32"/>
    </row>
    <row r="394" spans="1:26">
      <c r="A394" s="28"/>
      <c r="B394" s="17">
        <f t="shared" si="18"/>
        <v>46296</v>
      </c>
      <c r="C394" s="26">
        <f>I394+J394+K394+L394+M394+N394+O394+IF(P394="",0,P394*サマリー!$B$9)+IF(Q394="",0,IF(Q394=200,サマリー!$B$10,IF(Q394=100,サマリー!$B$11,0)))+IF(R394="",0,R394*サマリー!$B$12)</f>
        <v>0</v>
      </c>
      <c r="D394" s="26">
        <f>S394+T394+U394+V394+W394+IF(X394="",0,X394*サマリー!$B$9)+IF(Y394="",0,IF(Y394=200,サマリー!$B$10,IF(Y394=100,サマリー!$B$11,0)))+IF(Z394="",0,Z394*サマリー!$B$12)</f>
        <v>7500</v>
      </c>
      <c r="E394" s="26">
        <f t="shared" si="17"/>
        <v>7500</v>
      </c>
      <c r="I394" s="29"/>
      <c r="J394" s="29"/>
      <c r="K394" s="29"/>
      <c r="L394" s="29"/>
      <c r="M394" s="29"/>
      <c r="N394" s="29"/>
      <c r="O394" s="29"/>
      <c r="P394" s="30"/>
      <c r="Q394" s="30"/>
      <c r="R394" s="30"/>
      <c r="S394" s="31"/>
      <c r="T394" s="31">
        <v>7500</v>
      </c>
      <c r="U394" s="31"/>
      <c r="V394" s="31"/>
      <c r="W394" s="31"/>
      <c r="X394" s="32"/>
      <c r="Y394" s="32"/>
      <c r="Z394" s="32"/>
    </row>
    <row r="395" spans="1:26">
      <c r="A395" s="28">
        <v>2</v>
      </c>
      <c r="B395" s="17">
        <f t="shared" si="18"/>
        <v>46297</v>
      </c>
      <c r="C395" s="26">
        <f>I395+J395+K395+L395+M395+N395+O395+IF(P395="",0,P395*サマリー!$B$9)+IF(Q395="",0,IF(Q395=200,サマリー!$B$10,IF(Q395=100,サマリー!$B$11,0)))+IF(R395="",0,R395*サマリー!$B$12)</f>
        <v>28840</v>
      </c>
      <c r="D395" s="26">
        <f>S395+T395+U395+V395+W395+IF(X395="",0,X395*サマリー!$B$9)+IF(Y395="",0,IF(Y395=200,サマリー!$B$10,IF(Y395=100,サマリー!$B$11,0)))+IF(Z395="",0,Z395*サマリー!$B$12)</f>
        <v>20910</v>
      </c>
      <c r="E395" s="26">
        <f t="shared" si="17"/>
        <v>49750</v>
      </c>
      <c r="I395" s="29"/>
      <c r="J395" s="29">
        <v>28840</v>
      </c>
      <c r="K395" s="29"/>
      <c r="L395" s="29"/>
      <c r="M395" s="29"/>
      <c r="N395" s="29"/>
      <c r="O395" s="29"/>
      <c r="P395" s="30"/>
      <c r="Q395" s="30"/>
      <c r="R395" s="30"/>
      <c r="S395" s="31"/>
      <c r="T395" s="31"/>
      <c r="U395" s="31"/>
      <c r="V395" s="31">
        <v>20910</v>
      </c>
      <c r="W395" s="31"/>
      <c r="X395" s="32"/>
      <c r="Y395" s="32"/>
      <c r="Z395" s="32"/>
    </row>
    <row r="396" spans="1:26">
      <c r="A396" s="28"/>
      <c r="B396" s="17">
        <f t="shared" si="18"/>
        <v>46297</v>
      </c>
      <c r="C396" s="26">
        <f>I396+J396+K396+L396+M396+N396+O396+IF(P396="",0,P396*サマリー!$B$9)+IF(Q396="",0,IF(Q396=200,サマリー!$B$10,IF(Q396=100,サマリー!$B$11,0)))+IF(R396="",0,R396*サマリー!$B$12)</f>
        <v>5519</v>
      </c>
      <c r="D396" s="26">
        <f>S396+T396+U396+V396+W396+IF(X396="",0,X396*サマリー!$B$9)+IF(Y396="",0,IF(Y396=200,サマリー!$B$10,IF(Y396=100,サマリー!$B$11,0)))+IF(Z396="",0,Z396*サマリー!$B$12)</f>
        <v>0</v>
      </c>
      <c r="E396" s="26">
        <f t="shared" si="17"/>
        <v>5519</v>
      </c>
      <c r="I396" s="29"/>
      <c r="J396" s="29">
        <v>5519</v>
      </c>
      <c r="K396" s="29"/>
      <c r="L396" s="29"/>
      <c r="M396" s="29"/>
      <c r="N396" s="29"/>
      <c r="O396" s="29"/>
      <c r="P396" s="30"/>
      <c r="Q396" s="30"/>
      <c r="R396" s="30"/>
      <c r="S396" s="31"/>
      <c r="T396" s="31"/>
      <c r="U396" s="31"/>
      <c r="V396" s="31"/>
      <c r="W396" s="31"/>
      <c r="X396" s="32"/>
      <c r="Y396" s="32"/>
      <c r="Z396" s="32"/>
    </row>
    <row r="397" spans="1:26">
      <c r="A397" s="28"/>
      <c r="B397" s="17">
        <f t="shared" si="18"/>
        <v>46297</v>
      </c>
      <c r="C397" s="26">
        <f>I397+J397+K397+L397+M397+N397+O397+IF(P397="",0,P397*サマリー!$B$9)+IF(Q397="",0,IF(Q397=200,サマリー!$B$10,IF(Q397=100,サマリー!$B$11,0)))+IF(R397="",0,R397*サマリー!$B$12)</f>
        <v>7510</v>
      </c>
      <c r="D397" s="26">
        <f>S397+T397+U397+V397+W397+IF(X397="",0,X397*サマリー!$B$9)+IF(Y397="",0,IF(Y397=200,サマリー!$B$10,IF(Y397=100,サマリー!$B$11,0)))+IF(Z397="",0,Z397*サマリー!$B$12)</f>
        <v>0</v>
      </c>
      <c r="E397" s="26">
        <f t="shared" si="17"/>
        <v>7510</v>
      </c>
      <c r="I397" s="29"/>
      <c r="J397" s="29">
        <v>7510</v>
      </c>
      <c r="K397" s="29"/>
      <c r="L397" s="29"/>
      <c r="M397" s="29"/>
      <c r="N397" s="29"/>
      <c r="O397" s="29"/>
      <c r="P397" s="30"/>
      <c r="Q397" s="30"/>
      <c r="R397" s="30"/>
      <c r="S397" s="31"/>
      <c r="T397" s="31"/>
      <c r="U397" s="31"/>
      <c r="V397" s="31"/>
      <c r="W397" s="31"/>
      <c r="X397" s="32"/>
      <c r="Y397" s="32"/>
      <c r="Z397" s="32"/>
    </row>
    <row r="398" spans="1:26">
      <c r="A398" s="28"/>
      <c r="B398" s="17">
        <f t="shared" si="18"/>
        <v>46297</v>
      </c>
      <c r="C398" s="26">
        <f>I398+J398+K398+L398+M398+N398+O398+IF(P398="",0,P398*サマリー!$B$9)+IF(Q398="",0,IF(Q398=200,サマリー!$B$10,IF(Q398=100,サマリー!$B$11,0)))+IF(R398="",0,R398*サマリー!$B$12)</f>
        <v>17410</v>
      </c>
      <c r="D398" s="26">
        <f>S398+T398+U398+V398+W398+IF(X398="",0,X398*サマリー!$B$9)+IF(Y398="",0,IF(Y398=200,サマリー!$B$10,IF(Y398=100,サマリー!$B$11,0)))+IF(Z398="",0,Z398*サマリー!$B$12)</f>
        <v>0</v>
      </c>
      <c r="E398" s="26">
        <f t="shared" si="17"/>
        <v>17410</v>
      </c>
      <c r="I398" s="29"/>
      <c r="J398" s="29">
        <v>17410</v>
      </c>
      <c r="K398" s="29"/>
      <c r="L398" s="29"/>
      <c r="M398" s="29"/>
      <c r="N398" s="29"/>
      <c r="O398" s="29"/>
      <c r="P398" s="30"/>
      <c r="Q398" s="30"/>
      <c r="R398" s="30"/>
      <c r="S398" s="31"/>
      <c r="T398" s="31"/>
      <c r="U398" s="31"/>
      <c r="V398" s="31"/>
      <c r="W398" s="31"/>
      <c r="X398" s="32"/>
      <c r="Y398" s="32"/>
      <c r="Z398" s="32"/>
    </row>
    <row r="399" spans="1:26">
      <c r="A399" s="28"/>
      <c r="B399" s="17">
        <f t="shared" si="18"/>
        <v>46297</v>
      </c>
      <c r="C399" s="26">
        <f>I399+J399+K399+L399+M399+N399+O399+IF(P399="",0,P399*サマリー!$B$9)+IF(Q399="",0,IF(Q399=200,サマリー!$B$10,IF(Q399=100,サマリー!$B$11,0)))+IF(R399="",0,R399*サマリー!$B$12)</f>
        <v>4400</v>
      </c>
      <c r="D399" s="26">
        <f>S399+T399+U399+V399+W399+IF(X399="",0,X399*サマリー!$B$9)+IF(Y399="",0,IF(Y399=200,サマリー!$B$10,IF(Y399=100,サマリー!$B$11,0)))+IF(Z399="",0,Z399*サマリー!$B$12)</f>
        <v>0</v>
      </c>
      <c r="E399" s="26">
        <f t="shared" si="17"/>
        <v>4400</v>
      </c>
      <c r="I399" s="29"/>
      <c r="J399" s="29">
        <v>4400</v>
      </c>
      <c r="K399" s="29"/>
      <c r="L399" s="29"/>
      <c r="M399" s="29"/>
      <c r="N399" s="29"/>
      <c r="O399" s="29"/>
      <c r="P399" s="30"/>
      <c r="Q399" s="30"/>
      <c r="R399" s="30"/>
      <c r="S399" s="31"/>
      <c r="T399" s="31"/>
      <c r="U399" s="31"/>
      <c r="V399" s="31"/>
      <c r="W399" s="31"/>
      <c r="X399" s="32"/>
      <c r="Y399" s="32"/>
      <c r="Z399" s="32"/>
    </row>
    <row r="400" spans="1:26">
      <c r="A400" s="28">
        <v>3</v>
      </c>
      <c r="B400" s="17">
        <f t="shared" si="18"/>
        <v>46298</v>
      </c>
      <c r="C400" s="26">
        <f>I400+J400+K400+L400+M400+N400+O400+IF(P400="",0,P400*サマリー!$B$9)+IF(Q400="",0,IF(Q400=200,サマリー!$B$10,IF(Q400=100,サマリー!$B$11,0)))+IF(R400="",0,R400*サマリー!$B$12)</f>
        <v>5082</v>
      </c>
      <c r="D400" s="26">
        <f>S400+T400+U400+V400+W400+IF(X400="",0,X400*サマリー!$B$9)+IF(Y400="",0,IF(Y400=200,サマリー!$B$10,IF(Y400=100,サマリー!$B$11,0)))+IF(Z400="",0,Z400*サマリー!$B$12)</f>
        <v>4400</v>
      </c>
      <c r="E400" s="26">
        <f t="shared" si="17"/>
        <v>9482</v>
      </c>
      <c r="I400" s="29"/>
      <c r="J400" s="29">
        <v>5082</v>
      </c>
      <c r="K400" s="29"/>
      <c r="L400" s="29"/>
      <c r="M400" s="29"/>
      <c r="N400" s="29"/>
      <c r="O400" s="29"/>
      <c r="P400" s="30"/>
      <c r="Q400" s="30"/>
      <c r="R400" s="30"/>
      <c r="S400" s="31"/>
      <c r="T400" s="31">
        <v>4400</v>
      </c>
      <c r="U400" s="31"/>
      <c r="V400" s="31"/>
      <c r="W400" s="31"/>
      <c r="X400" s="32"/>
      <c r="Y400" s="32"/>
      <c r="Z400" s="32"/>
    </row>
    <row r="401" spans="1:26">
      <c r="A401" s="28"/>
      <c r="B401" s="17">
        <f t="shared" si="18"/>
        <v>46298</v>
      </c>
      <c r="C401" s="26">
        <f>I401+J401+K401+L401+M401+N401+O401+IF(P401="",0,P401*サマリー!$B$9)+IF(Q401="",0,IF(Q401=200,サマリー!$B$10,IF(Q401=100,サマリー!$B$11,0)))+IF(R401="",0,R401*サマリー!$B$12)</f>
        <v>1655</v>
      </c>
      <c r="D401" s="26">
        <f>S401+T401+U401+V401+W401+IF(X401="",0,X401*サマリー!$B$9)+IF(Y401="",0,IF(Y401=200,サマリー!$B$10,IF(Y401=100,サマリー!$B$11,0)))+IF(Z401="",0,Z401*サマリー!$B$12)</f>
        <v>0</v>
      </c>
      <c r="E401" s="26">
        <f t="shared" si="17"/>
        <v>1655</v>
      </c>
      <c r="I401" s="29"/>
      <c r="J401" s="29">
        <v>1655</v>
      </c>
      <c r="K401" s="29"/>
      <c r="L401" s="29"/>
      <c r="M401" s="29"/>
      <c r="N401" s="29"/>
      <c r="O401" s="29"/>
      <c r="P401" s="30"/>
      <c r="Q401" s="30"/>
      <c r="R401" s="30"/>
      <c r="S401" s="31"/>
      <c r="T401" s="31"/>
      <c r="U401" s="31"/>
      <c r="V401" s="31"/>
      <c r="W401" s="31"/>
      <c r="X401" s="32"/>
      <c r="Y401" s="32"/>
      <c r="Z401" s="32"/>
    </row>
    <row r="402" spans="1:26">
      <c r="A402" s="28"/>
      <c r="B402" s="17">
        <f t="shared" si="18"/>
        <v>46298</v>
      </c>
      <c r="C402" s="26">
        <f>I402+J402+K402+L402+M402+N402+O402+IF(P402="",0,P402*サマリー!$B$9)+IF(Q402="",0,IF(Q402=200,サマリー!$B$10,IF(Q402=100,サマリー!$B$11,0)))+IF(R402="",0,R402*サマリー!$B$12)</f>
        <v>51424</v>
      </c>
      <c r="D402" s="26">
        <f>S402+T402+U402+V402+W402+IF(X402="",0,X402*サマリー!$B$9)+IF(Y402="",0,IF(Y402=200,サマリー!$B$10,IF(Y402=100,サマリー!$B$11,0)))+IF(Z402="",0,Z402*サマリー!$B$12)</f>
        <v>0</v>
      </c>
      <c r="E402" s="26">
        <f t="shared" si="17"/>
        <v>51424</v>
      </c>
      <c r="I402" s="29"/>
      <c r="J402" s="29">
        <v>19720</v>
      </c>
      <c r="K402" s="29">
        <v>31704</v>
      </c>
      <c r="L402" s="29"/>
      <c r="M402" s="29"/>
      <c r="N402" s="29"/>
      <c r="O402" s="29"/>
      <c r="P402" s="30"/>
      <c r="Q402" s="30"/>
      <c r="R402" s="30"/>
      <c r="S402" s="31"/>
      <c r="T402" s="31"/>
      <c r="U402" s="31"/>
      <c r="V402" s="31"/>
      <c r="W402" s="31"/>
      <c r="X402" s="32"/>
      <c r="Y402" s="32"/>
      <c r="Z402" s="32"/>
    </row>
    <row r="403" spans="1:26">
      <c r="A403" s="28">
        <v>4</v>
      </c>
      <c r="B403" s="17">
        <f t="shared" si="18"/>
        <v>46299</v>
      </c>
      <c r="C403" s="26">
        <f>I403+J403+K403+L403+M403+N403+O403+IF(P403="",0,P403*サマリー!$B$9)+IF(Q403="",0,IF(Q403=200,サマリー!$B$10,IF(Q403=100,サマリー!$B$11,0)))+IF(R403="",0,R403*サマリー!$B$12)</f>
        <v>0</v>
      </c>
      <c r="D403" s="26">
        <f>S403+T403+U403+V403+W403+IF(X403="",0,X403*サマリー!$B$9)+IF(Y403="",0,IF(Y403=200,サマリー!$B$10,IF(Y403=100,サマリー!$B$11,0)))+IF(Z403="",0,Z403*サマリー!$B$12)</f>
        <v>16519</v>
      </c>
      <c r="E403" s="26">
        <f t="shared" si="17"/>
        <v>16519</v>
      </c>
      <c r="I403" s="29"/>
      <c r="J403" s="29"/>
      <c r="K403" s="29"/>
      <c r="L403" s="29"/>
      <c r="M403" s="29"/>
      <c r="N403" s="29"/>
      <c r="O403" s="29"/>
      <c r="P403" s="30"/>
      <c r="Q403" s="30"/>
      <c r="R403" s="30"/>
      <c r="S403" s="31"/>
      <c r="T403" s="31">
        <v>16519</v>
      </c>
      <c r="U403" s="31"/>
      <c r="V403" s="31"/>
      <c r="W403" s="31"/>
      <c r="X403" s="32"/>
      <c r="Y403" s="32"/>
      <c r="Z403" s="32"/>
    </row>
    <row r="404" spans="1:26">
      <c r="A404" s="28"/>
      <c r="B404" s="17">
        <f t="shared" si="18"/>
        <v>46299</v>
      </c>
      <c r="C404" s="26">
        <f>I404+J404+K404+L404+M404+N404+O404+IF(P404="",0,P404*サマリー!$B$9)+IF(Q404="",0,IF(Q404=200,サマリー!$B$10,IF(Q404=100,サマリー!$B$11,0)))+IF(R404="",0,R404*サマリー!$B$12)</f>
        <v>0</v>
      </c>
      <c r="D404" s="26">
        <f>S404+T404+U404+V404+W404+IF(X404="",0,X404*サマリー!$B$9)+IF(Y404="",0,IF(Y404=200,サマリー!$B$10,IF(Y404=100,サマリー!$B$11,0)))+IF(Z404="",0,Z404*サマリー!$B$12)</f>
        <v>4200</v>
      </c>
      <c r="E404" s="26">
        <f t="shared" si="17"/>
        <v>4200</v>
      </c>
      <c r="I404" s="29"/>
      <c r="J404" s="29"/>
      <c r="K404" s="29"/>
      <c r="L404" s="29"/>
      <c r="M404" s="29"/>
      <c r="N404" s="29"/>
      <c r="O404" s="29"/>
      <c r="P404" s="30"/>
      <c r="Q404" s="30"/>
      <c r="R404" s="30"/>
      <c r="S404" s="31"/>
      <c r="T404" s="31">
        <v>4200</v>
      </c>
      <c r="U404" s="31"/>
      <c r="V404" s="31"/>
      <c r="W404" s="31"/>
      <c r="X404" s="32"/>
      <c r="Y404" s="32"/>
      <c r="Z404" s="32"/>
    </row>
    <row r="405" spans="1:26">
      <c r="A405" s="28"/>
      <c r="B405" s="17">
        <f t="shared" si="18"/>
        <v>46299</v>
      </c>
      <c r="C405" s="26">
        <f>I405+J405+K405+L405+M405+N405+O405+IF(P405="",0,P405*サマリー!$B$9)+IF(Q405="",0,IF(Q405=200,サマリー!$B$10,IF(Q405=100,サマリー!$B$11,0)))+IF(R405="",0,R405*サマリー!$B$12)</f>
        <v>0</v>
      </c>
      <c r="D405" s="26">
        <f>S405+T405+U405+V405+W405+IF(X405="",0,X405*サマリー!$B$9)+IF(Y405="",0,IF(Y405=200,サマリー!$B$10,IF(Y405=100,サマリー!$B$11,0)))+IF(Z405="",0,Z405*サマリー!$B$12)</f>
        <v>3755</v>
      </c>
      <c r="E405" s="26">
        <f t="shared" si="17"/>
        <v>3755</v>
      </c>
      <c r="I405" s="29"/>
      <c r="J405" s="29"/>
      <c r="K405" s="29"/>
      <c r="L405" s="29"/>
      <c r="M405" s="29"/>
      <c r="N405" s="29"/>
      <c r="O405" s="29"/>
      <c r="P405" s="30"/>
      <c r="Q405" s="30"/>
      <c r="R405" s="30"/>
      <c r="S405" s="31"/>
      <c r="T405" s="31">
        <v>3755</v>
      </c>
      <c r="U405" s="31"/>
      <c r="V405" s="31"/>
      <c r="W405" s="31"/>
      <c r="X405" s="32"/>
      <c r="Y405" s="32"/>
      <c r="Z405" s="32"/>
    </row>
    <row r="406" spans="1:26">
      <c r="A406" s="28"/>
      <c r="B406" s="17">
        <f t="shared" si="18"/>
        <v>46299</v>
      </c>
      <c r="C406" s="26">
        <f>I406+J406+K406+L406+M406+N406+O406+IF(P406="",0,P406*サマリー!$B$9)+IF(Q406="",0,IF(Q406=200,サマリー!$B$10,IF(Q406=100,サマリー!$B$11,0)))+IF(R406="",0,R406*サマリー!$B$12)</f>
        <v>0</v>
      </c>
      <c r="D406" s="26">
        <f>S406+T406+U406+V406+W406+IF(X406="",0,X406*サマリー!$B$9)+IF(Y406="",0,IF(Y406=200,サマリー!$B$10,IF(Y406=100,サマリー!$B$11,0)))+IF(Z406="",0,Z406*サマリー!$B$12)</f>
        <v>10793</v>
      </c>
      <c r="E406" s="26">
        <f t="shared" si="17"/>
        <v>10793</v>
      </c>
      <c r="I406" s="29"/>
      <c r="J406" s="29"/>
      <c r="K406" s="29"/>
      <c r="L406" s="29"/>
      <c r="M406" s="29"/>
      <c r="N406" s="29"/>
      <c r="O406" s="29"/>
      <c r="P406" s="30"/>
      <c r="Q406" s="30"/>
      <c r="R406" s="30"/>
      <c r="S406" s="31"/>
      <c r="T406" s="31">
        <v>2200</v>
      </c>
      <c r="U406" s="31">
        <v>8593</v>
      </c>
      <c r="V406" s="31"/>
      <c r="W406" s="31"/>
      <c r="X406" s="32"/>
      <c r="Y406" s="32"/>
      <c r="Z406" s="32"/>
    </row>
    <row r="407" spans="1:26">
      <c r="A407" s="28"/>
      <c r="B407" s="17">
        <f t="shared" si="18"/>
        <v>46299</v>
      </c>
      <c r="C407" s="26">
        <f>I407+J407+K407+L407+M407+N407+O407+IF(P407="",0,P407*サマリー!$B$9)+IF(Q407="",0,IF(Q407=200,サマリー!$B$10,IF(Q407=100,サマリー!$B$11,0)))+IF(R407="",0,R407*サマリー!$B$12)</f>
        <v>0</v>
      </c>
      <c r="D407" s="26">
        <f>S407+T407+U407+V407+W407+IF(X407="",0,X407*サマリー!$B$9)+IF(Y407="",0,IF(Y407=200,サマリー!$B$10,IF(Y407=100,サマリー!$B$11,0)))+IF(Z407="",0,Z407*サマリー!$B$12)</f>
        <v>1755</v>
      </c>
      <c r="E407" s="26">
        <f t="shared" si="17"/>
        <v>1755</v>
      </c>
      <c r="I407" s="29"/>
      <c r="J407" s="29"/>
      <c r="K407" s="29"/>
      <c r="L407" s="29"/>
      <c r="M407" s="29"/>
      <c r="N407" s="29"/>
      <c r="O407" s="29"/>
      <c r="P407" s="30"/>
      <c r="Q407" s="30"/>
      <c r="R407" s="30"/>
      <c r="S407" s="31"/>
      <c r="T407" s="31">
        <v>1755</v>
      </c>
      <c r="U407" s="31"/>
      <c r="V407" s="31"/>
      <c r="W407" s="31"/>
      <c r="X407" s="32"/>
      <c r="Y407" s="32"/>
      <c r="Z407" s="32"/>
    </row>
    <row r="408" spans="1:26">
      <c r="A408" s="28"/>
      <c r="B408" s="17">
        <f t="shared" si="18"/>
        <v>46299</v>
      </c>
      <c r="C408" s="26">
        <f>I408+J408+K408+L408+M408+N408+O408+IF(P408="",0,P408*サマリー!$B$9)+IF(Q408="",0,IF(Q408=200,サマリー!$B$10,IF(Q408=100,サマリー!$B$11,0)))+IF(R408="",0,R408*サマリー!$B$12)</f>
        <v>0</v>
      </c>
      <c r="D408" s="26">
        <f>S408+T408+U408+V408+W408+IF(X408="",0,X408*サマリー!$B$9)+IF(Y408="",0,IF(Y408=200,サマリー!$B$10,IF(Y408=100,サマリー!$B$11,0)))+IF(Z408="",0,Z408*サマリー!$B$12)</f>
        <v>5082</v>
      </c>
      <c r="E408" s="26">
        <f t="shared" si="17"/>
        <v>5082</v>
      </c>
      <c r="I408" s="29"/>
      <c r="J408" s="29"/>
      <c r="K408" s="29"/>
      <c r="L408" s="29"/>
      <c r="M408" s="29"/>
      <c r="N408" s="29"/>
      <c r="O408" s="29"/>
      <c r="P408" s="30"/>
      <c r="Q408" s="30"/>
      <c r="R408" s="30"/>
      <c r="S408" s="31"/>
      <c r="T408" s="31">
        <v>5082</v>
      </c>
      <c r="U408" s="31"/>
      <c r="V408" s="31"/>
      <c r="W408" s="31"/>
      <c r="X408" s="32"/>
      <c r="Y408" s="32"/>
      <c r="Z408" s="32"/>
    </row>
    <row r="409" spans="1:26">
      <c r="A409" s="28">
        <v>5</v>
      </c>
      <c r="B409" s="17">
        <f t="shared" si="18"/>
        <v>46300</v>
      </c>
      <c r="C409" s="26">
        <f>I409+J409+K409+L409+M409+N409+O409+IF(P409="",0,P409*サマリー!$B$9)+IF(Q409="",0,IF(Q409=200,サマリー!$B$10,IF(Q409=100,サマリー!$B$11,0)))+IF(R409="",0,R409*サマリー!$B$12)</f>
        <v>0</v>
      </c>
      <c r="D409" s="26">
        <f>S409+T409+U409+V409+W409+IF(X409="",0,X409*サマリー!$B$9)+IF(Y409="",0,IF(Y409=200,サマリー!$B$10,IF(Y409=100,サマリー!$B$11,0)))+IF(Z409="",0,Z409*サマリー!$B$12)</f>
        <v>555</v>
      </c>
      <c r="E409" s="26">
        <f t="shared" si="17"/>
        <v>555</v>
      </c>
      <c r="I409" s="29"/>
      <c r="J409" s="29"/>
      <c r="K409" s="29"/>
      <c r="L409" s="29"/>
      <c r="M409" s="29"/>
      <c r="N409" s="29"/>
      <c r="O409" s="29"/>
      <c r="P409" s="30"/>
      <c r="Q409" s="30"/>
      <c r="R409" s="30"/>
      <c r="S409" s="31"/>
      <c r="T409" s="31">
        <v>555</v>
      </c>
      <c r="U409" s="31"/>
      <c r="V409" s="31"/>
      <c r="W409" s="31"/>
      <c r="X409" s="32"/>
      <c r="Y409" s="32"/>
      <c r="Z409" s="32"/>
    </row>
    <row r="410" spans="1:26">
      <c r="A410" s="28">
        <v>6</v>
      </c>
      <c r="B410" s="17">
        <f t="shared" si="18"/>
        <v>46301</v>
      </c>
      <c r="C410" s="26">
        <f>I410+J410+K410+L410+M410+N410+O410+IF(P410="",0,P410*サマリー!$B$9)+IF(Q410="",0,IF(Q410=200,サマリー!$B$10,IF(Q410=100,サマリー!$B$11,0)))+IF(R410="",0,R410*サマリー!$B$12)</f>
        <v>75000</v>
      </c>
      <c r="D410" s="26">
        <f>S410+T410+U410+V410+W410+IF(X410="",0,X410*サマリー!$B$9)+IF(Y410="",0,IF(Y410=200,サマリー!$B$10,IF(Y410=100,サマリー!$B$11,0)))+IF(Z410="",0,Z410*サマリー!$B$12)</f>
        <v>25655</v>
      </c>
      <c r="E410" s="26">
        <f t="shared" si="17"/>
        <v>100655</v>
      </c>
      <c r="I410" s="29"/>
      <c r="J410" s="29"/>
      <c r="K410" s="29"/>
      <c r="L410" s="29"/>
      <c r="M410" s="29"/>
      <c r="N410" s="29"/>
      <c r="O410" s="29"/>
      <c r="P410" s="30">
        <v>3</v>
      </c>
      <c r="Q410" s="30"/>
      <c r="R410" s="30"/>
      <c r="S410" s="31"/>
      <c r="T410" s="31">
        <v>25655</v>
      </c>
      <c r="U410" s="31"/>
      <c r="V410" s="31"/>
      <c r="W410" s="31"/>
      <c r="X410" s="32"/>
      <c r="Y410" s="32"/>
      <c r="Z410" s="32"/>
    </row>
    <row r="411" spans="1:26">
      <c r="A411" s="28"/>
      <c r="B411" s="17">
        <f t="shared" si="18"/>
        <v>46301</v>
      </c>
      <c r="C411" s="26">
        <f>I411+J411+K411+L411+M411+N411+O411+IF(P411="",0,P411*サマリー!$B$9)+IF(Q411="",0,IF(Q411=200,サマリー!$B$10,IF(Q411=100,サマリー!$B$11,0)))+IF(R411="",0,R411*サマリー!$B$12)</f>
        <v>0</v>
      </c>
      <c r="D411" s="26">
        <f>S411+T411+U411+V411+W411+IF(X411="",0,X411*サマリー!$B$9)+IF(Y411="",0,IF(Y411=200,サマリー!$B$10,IF(Y411=100,サマリー!$B$11,0)))+IF(Z411="",0,Z411*サマリー!$B$12)</f>
        <v>4200</v>
      </c>
      <c r="E411" s="26">
        <f t="shared" si="17"/>
        <v>4200</v>
      </c>
      <c r="I411" s="29"/>
      <c r="J411" s="29"/>
      <c r="K411" s="29"/>
      <c r="L411" s="29"/>
      <c r="M411" s="29"/>
      <c r="N411" s="29"/>
      <c r="O411" s="29"/>
      <c r="P411" s="30"/>
      <c r="Q411" s="30"/>
      <c r="R411" s="30"/>
      <c r="S411" s="31"/>
      <c r="T411" s="31">
        <v>4200</v>
      </c>
      <c r="U411" s="31"/>
      <c r="V411" s="31"/>
      <c r="W411" s="31"/>
      <c r="X411" s="32"/>
      <c r="Y411" s="32"/>
      <c r="Z411" s="32"/>
    </row>
    <row r="412" spans="1:26">
      <c r="A412" s="28">
        <v>7</v>
      </c>
      <c r="B412" s="17">
        <f t="shared" si="18"/>
        <v>46302</v>
      </c>
      <c r="C412" s="26">
        <f>I412+J412+K412+L412+M412+N412+O412+IF(P412="",0,P412*サマリー!$B$9)+IF(Q412="",0,IF(Q412=200,サマリー!$B$10,IF(Q412=100,サマリー!$B$11,0)))+IF(R412="",0,R412*サマリー!$B$12)</f>
        <v>38317</v>
      </c>
      <c r="D412" s="26">
        <f>S412+T412+U412+V412+W412+IF(X412="",0,X412*サマリー!$B$9)+IF(Y412="",0,IF(Y412=200,サマリー!$B$10,IF(Y412=100,サマリー!$B$11,0)))+IF(Z412="",0,Z412*サマリー!$B$12)</f>
        <v>0</v>
      </c>
      <c r="E412" s="26">
        <f t="shared" si="17"/>
        <v>38317</v>
      </c>
      <c r="I412" s="29">
        <v>27780</v>
      </c>
      <c r="J412" s="29"/>
      <c r="K412" s="29">
        <v>10537</v>
      </c>
      <c r="L412" s="29"/>
      <c r="M412" s="29"/>
      <c r="N412" s="29"/>
      <c r="O412" s="29"/>
      <c r="P412" s="30"/>
      <c r="Q412" s="30"/>
      <c r="R412" s="30"/>
      <c r="S412" s="31"/>
      <c r="T412" s="31"/>
      <c r="U412" s="31"/>
      <c r="V412" s="31"/>
      <c r="W412" s="31"/>
      <c r="X412" s="32"/>
      <c r="Y412" s="32"/>
      <c r="Z412" s="32"/>
    </row>
    <row r="413" spans="1:26">
      <c r="A413" s="28"/>
      <c r="B413" s="17">
        <f t="shared" si="18"/>
        <v>46302</v>
      </c>
      <c r="C413" s="26">
        <f>I413+J413+K413+L413+M413+N413+O413+IF(P413="",0,P413*サマリー!$B$9)+IF(Q413="",0,IF(Q413=200,サマリー!$B$10,IF(Q413=100,サマリー!$B$11,0)))+IF(R413="",0,R413*サマリー!$B$12)</f>
        <v>1655</v>
      </c>
      <c r="D413" s="26">
        <f>S413+T413+U413+V413+W413+IF(X413="",0,X413*サマリー!$B$9)+IF(Y413="",0,IF(Y413=200,サマリー!$B$10,IF(Y413=100,サマリー!$B$11,0)))+IF(Z413="",0,Z413*サマリー!$B$12)</f>
        <v>0</v>
      </c>
      <c r="E413" s="26">
        <f t="shared" si="17"/>
        <v>1655</v>
      </c>
      <c r="I413" s="29"/>
      <c r="J413" s="29">
        <v>1655</v>
      </c>
      <c r="K413" s="29"/>
      <c r="L413" s="29"/>
      <c r="M413" s="29"/>
      <c r="N413" s="29"/>
      <c r="O413" s="29"/>
      <c r="P413" s="30"/>
      <c r="Q413" s="30"/>
      <c r="R413" s="30"/>
      <c r="S413" s="31"/>
      <c r="T413" s="31"/>
      <c r="U413" s="31"/>
      <c r="V413" s="31"/>
      <c r="W413" s="31"/>
      <c r="X413" s="32"/>
      <c r="Y413" s="32"/>
      <c r="Z413" s="32"/>
    </row>
    <row r="414" spans="1:26">
      <c r="A414" s="28">
        <v>8</v>
      </c>
      <c r="B414" s="17">
        <f t="shared" si="18"/>
        <v>46303</v>
      </c>
      <c r="C414" s="26">
        <f>I414+J414+K414+L414+M414+N414+O414+IF(P414="",0,P414*サマリー!$B$9)+IF(Q414="",0,IF(Q414=200,サマリー!$B$10,IF(Q414=100,サマリー!$B$11,0)))+IF(R414="",0,R414*サマリー!$B$12)</f>
        <v>0</v>
      </c>
      <c r="D414" s="26">
        <f>S414+T414+U414+V414+W414+IF(X414="",0,X414*サマリー!$B$9)+IF(Y414="",0,IF(Y414=200,サマリー!$B$10,IF(Y414=100,サマリー!$B$11,0)))+IF(Z414="",0,Z414*サマリー!$B$12)</f>
        <v>5855</v>
      </c>
      <c r="E414" s="26">
        <f t="shared" si="17"/>
        <v>5855</v>
      </c>
      <c r="I414" s="29"/>
      <c r="J414" s="29"/>
      <c r="K414" s="29"/>
      <c r="L414" s="29"/>
      <c r="M414" s="29"/>
      <c r="N414" s="29"/>
      <c r="O414" s="29"/>
      <c r="P414" s="30"/>
      <c r="Q414" s="30"/>
      <c r="R414" s="30"/>
      <c r="S414" s="31"/>
      <c r="T414" s="31">
        <v>5855</v>
      </c>
      <c r="U414" s="31"/>
      <c r="V414" s="31"/>
      <c r="W414" s="31"/>
      <c r="X414" s="32"/>
      <c r="Y414" s="32"/>
      <c r="Z414" s="32"/>
    </row>
    <row r="415" spans="1:26">
      <c r="A415" s="28"/>
      <c r="B415" s="17">
        <f t="shared" si="18"/>
        <v>46303</v>
      </c>
      <c r="C415" s="26">
        <f>I415+J415+K415+L415+M415+N415+O415+IF(P415="",0,P415*サマリー!$B$9)+IF(Q415="",0,IF(Q415=200,サマリー!$B$10,IF(Q415=100,サマリー!$B$11,0)))+IF(R415="",0,R415*サマリー!$B$12)</f>
        <v>0</v>
      </c>
      <c r="D415" s="26">
        <f>S415+T415+U415+V415+W415+IF(X415="",0,X415*サマリー!$B$9)+IF(Y415="",0,IF(Y415=200,サマリー!$B$10,IF(Y415=100,サマリー!$B$11,0)))+IF(Z415="",0,Z415*サマリー!$B$12)</f>
        <v>1517</v>
      </c>
      <c r="E415" s="26">
        <f t="shared" si="17"/>
        <v>1517</v>
      </c>
      <c r="I415" s="29"/>
      <c r="J415" s="29"/>
      <c r="K415" s="29"/>
      <c r="L415" s="29"/>
      <c r="M415" s="29"/>
      <c r="N415" s="29"/>
      <c r="O415" s="29"/>
      <c r="P415" s="30"/>
      <c r="Q415" s="30"/>
      <c r="R415" s="30"/>
      <c r="S415" s="31"/>
      <c r="T415" s="31">
        <v>1100</v>
      </c>
      <c r="U415" s="31">
        <v>417</v>
      </c>
      <c r="V415" s="31"/>
      <c r="W415" s="31"/>
      <c r="X415" s="32"/>
      <c r="Y415" s="32"/>
      <c r="Z415" s="32"/>
    </row>
    <row r="416" spans="1:26">
      <c r="A416" s="28"/>
      <c r="B416" s="17">
        <f t="shared" si="18"/>
        <v>46303</v>
      </c>
      <c r="C416" s="26">
        <f>I416+J416+K416+L416+M416+N416+O416+IF(P416="",0,P416*サマリー!$B$9)+IF(Q416="",0,IF(Q416=200,サマリー!$B$10,IF(Q416=100,サマリー!$B$11,0)))+IF(R416="",0,R416*サマリー!$B$12)</f>
        <v>3300</v>
      </c>
      <c r="D416" s="26">
        <f>S416+T416+U416+V416+W416+IF(X416="",0,X416*サマリー!$B$9)+IF(Y416="",0,IF(Y416=200,サマリー!$B$10,IF(Y416=100,サマリー!$B$11,0)))+IF(Z416="",0,Z416*サマリー!$B$12)</f>
        <v>44634</v>
      </c>
      <c r="E416" s="26">
        <f t="shared" si="17"/>
        <v>47934</v>
      </c>
      <c r="I416" s="29"/>
      <c r="J416" s="29"/>
      <c r="K416" s="29"/>
      <c r="L416" s="29"/>
      <c r="M416" s="29">
        <v>3300</v>
      </c>
      <c r="N416" s="29"/>
      <c r="O416" s="29"/>
      <c r="P416" s="30"/>
      <c r="Q416" s="30"/>
      <c r="R416" s="30"/>
      <c r="S416" s="31">
        <v>37393</v>
      </c>
      <c r="T416" s="31"/>
      <c r="U416" s="31"/>
      <c r="V416" s="31"/>
      <c r="W416" s="31"/>
      <c r="X416" s="32"/>
      <c r="Y416" s="32">
        <v>200</v>
      </c>
      <c r="Z416" s="32"/>
    </row>
    <row r="417" spans="1:26">
      <c r="A417" s="28"/>
      <c r="B417" s="17">
        <f t="shared" si="18"/>
        <v>46303</v>
      </c>
      <c r="C417" s="26">
        <f>I417+J417+K417+L417+M417+N417+O417+IF(P417="",0,P417*サマリー!$B$9)+IF(Q417="",0,IF(Q417=200,サマリー!$B$10,IF(Q417=100,サマリー!$B$11,0)))+IF(R417="",0,R417*サマリー!$B$12)</f>
        <v>50476</v>
      </c>
      <c r="D417" s="26">
        <f>S417+T417+U417+V417+W417+IF(X417="",0,X417*サマリー!$B$9)+IF(Y417="",0,IF(Y417=200,サマリー!$B$10,IF(Y417=100,サマリー!$B$11,0)))+IF(Z417="",0,Z417*サマリー!$B$12)</f>
        <v>0</v>
      </c>
      <c r="E417" s="26">
        <f t="shared" si="17"/>
        <v>50476</v>
      </c>
      <c r="I417" s="29"/>
      <c r="J417" s="29"/>
      <c r="K417" s="29"/>
      <c r="L417" s="29">
        <v>50476</v>
      </c>
      <c r="M417" s="29"/>
      <c r="N417" s="29"/>
      <c r="O417" s="29"/>
      <c r="P417" s="30"/>
      <c r="Q417" s="30"/>
      <c r="R417" s="30"/>
      <c r="S417" s="31"/>
      <c r="T417" s="31"/>
      <c r="U417" s="31"/>
      <c r="V417" s="31"/>
      <c r="W417" s="31"/>
      <c r="X417" s="32"/>
      <c r="Y417" s="32"/>
      <c r="Z417" s="32"/>
    </row>
    <row r="418" spans="1:26">
      <c r="A418" s="28"/>
      <c r="B418" s="17">
        <f t="shared" si="18"/>
        <v>46303</v>
      </c>
      <c r="C418" s="26">
        <f>I418+J418+K418+L418+M418+N418+O418+IF(P418="",0,P418*サマリー!$B$9)+IF(Q418="",0,IF(Q418=200,サマリー!$B$10,IF(Q418=100,サマリー!$B$11,0)))+IF(R418="",0,R418*サマリー!$B$12)</f>
        <v>33079</v>
      </c>
      <c r="D418" s="26">
        <f>S418+T418+U418+V418+W418+IF(X418="",0,X418*サマリー!$B$9)+IF(Y418="",0,IF(Y418=200,サマリー!$B$10,IF(Y418=100,サマリー!$B$11,0)))+IF(Z418="",0,Z418*サマリー!$B$12)</f>
        <v>0</v>
      </c>
      <c r="E418" s="26">
        <f t="shared" si="17"/>
        <v>33079</v>
      </c>
      <c r="I418" s="29"/>
      <c r="J418" s="29"/>
      <c r="K418" s="29"/>
      <c r="L418" s="29">
        <v>25838</v>
      </c>
      <c r="M418" s="29"/>
      <c r="N418" s="29"/>
      <c r="O418" s="29"/>
      <c r="P418" s="30"/>
      <c r="Q418" s="30">
        <v>200</v>
      </c>
      <c r="R418" s="30"/>
      <c r="S418" s="31"/>
      <c r="T418" s="31"/>
      <c r="U418" s="31"/>
      <c r="V418" s="31"/>
      <c r="W418" s="31"/>
      <c r="X418" s="32"/>
      <c r="Y418" s="32"/>
      <c r="Z418" s="32"/>
    </row>
    <row r="419" spans="1:26">
      <c r="A419" s="28"/>
      <c r="B419" s="17">
        <f t="shared" si="18"/>
        <v>46303</v>
      </c>
      <c r="C419" s="26">
        <f>I419+J419+K419+L419+M419+N419+O419+IF(P419="",0,P419*サマリー!$B$9)+IF(Q419="",0,IF(Q419=200,サマリー!$B$10,IF(Q419=100,サマリー!$B$11,0)))+IF(R419="",0,R419*サマリー!$B$12)</f>
        <v>25000</v>
      </c>
      <c r="D419" s="26">
        <f>S419+T419+U419+V419+W419+IF(X419="",0,X419*サマリー!$B$9)+IF(Y419="",0,IF(Y419=200,サマリー!$B$10,IF(Y419=100,サマリー!$B$11,0)))+IF(Z419="",0,Z419*サマリー!$B$12)</f>
        <v>0</v>
      </c>
      <c r="E419" s="26">
        <f t="shared" si="17"/>
        <v>25000</v>
      </c>
      <c r="I419" s="29"/>
      <c r="J419" s="29"/>
      <c r="K419" s="29"/>
      <c r="L419" s="29"/>
      <c r="M419" s="29"/>
      <c r="N419" s="29"/>
      <c r="O419" s="29"/>
      <c r="P419" s="30">
        <v>1</v>
      </c>
      <c r="Q419" s="30"/>
      <c r="R419" s="30"/>
      <c r="S419" s="31"/>
      <c r="T419" s="31"/>
      <c r="U419" s="31"/>
      <c r="V419" s="31"/>
      <c r="W419" s="31"/>
      <c r="X419" s="32"/>
      <c r="Y419" s="32"/>
      <c r="Z419" s="32"/>
    </row>
    <row r="420" spans="1:26">
      <c r="A420" s="28">
        <v>9</v>
      </c>
      <c r="B420" s="17">
        <f t="shared" si="18"/>
        <v>46304</v>
      </c>
      <c r="C420" s="26">
        <f>I420+J420+K420+L420+M420+N420+O420+IF(P420="",0,P420*サマリー!$B$9)+IF(Q420="",0,IF(Q420=200,サマリー!$B$10,IF(Q420=100,サマリー!$B$11,0)))+IF(R420="",0,R420*サマリー!$B$12)</f>
        <v>20720</v>
      </c>
      <c r="D420" s="26">
        <f>S420+T420+U420+V420+W420+IF(X420="",0,X420*サマリー!$B$9)+IF(Y420="",0,IF(Y420=200,サマリー!$B$10,IF(Y420=100,サマリー!$B$11,0)))+IF(Z420="",0,Z420*サマリー!$B$12)</f>
        <v>5519</v>
      </c>
      <c r="E420" s="26">
        <f t="shared" si="17"/>
        <v>26239</v>
      </c>
      <c r="I420" s="29"/>
      <c r="J420" s="29">
        <v>20720</v>
      </c>
      <c r="K420" s="29"/>
      <c r="L420" s="29"/>
      <c r="M420" s="29"/>
      <c r="N420" s="29"/>
      <c r="O420" s="29"/>
      <c r="P420" s="30"/>
      <c r="Q420" s="30"/>
      <c r="R420" s="30"/>
      <c r="S420" s="31"/>
      <c r="T420" s="31"/>
      <c r="U420" s="31"/>
      <c r="V420" s="31">
        <v>5519</v>
      </c>
      <c r="W420" s="31"/>
      <c r="X420" s="32"/>
      <c r="Y420" s="32"/>
      <c r="Z420" s="32"/>
    </row>
    <row r="421" spans="1:26">
      <c r="A421" s="28"/>
      <c r="B421" s="17">
        <f t="shared" si="18"/>
        <v>46304</v>
      </c>
      <c r="C421" s="26">
        <f>I421+J421+K421+L421+M421+N421+O421+IF(P421="",0,P421*サマリー!$B$9)+IF(Q421="",0,IF(Q421=200,サマリー!$B$10,IF(Q421=100,サマリー!$B$11,0)))+IF(R421="",0,R421*サマリー!$B$12)</f>
        <v>4755</v>
      </c>
      <c r="D421" s="26">
        <f>S421+T421+U421+V421+W421+IF(X421="",0,X421*サマリー!$B$9)+IF(Y421="",0,IF(Y421=200,サマリー!$B$10,IF(Y421=100,サマリー!$B$11,0)))+IF(Z421="",0,Z421*サマリー!$B$12)</f>
        <v>0</v>
      </c>
      <c r="E421" s="26">
        <f t="shared" si="17"/>
        <v>4755</v>
      </c>
      <c r="I421" s="29"/>
      <c r="J421" s="29">
        <v>4755</v>
      </c>
      <c r="K421" s="29"/>
      <c r="L421" s="29"/>
      <c r="M421" s="29"/>
      <c r="N421" s="29"/>
      <c r="O421" s="29"/>
      <c r="P421" s="30"/>
      <c r="Q421" s="30"/>
      <c r="R421" s="30"/>
      <c r="S421" s="31"/>
      <c r="T421" s="31"/>
      <c r="U421" s="31"/>
      <c r="V421" s="31"/>
      <c r="W421" s="31"/>
      <c r="X421" s="32"/>
      <c r="Y421" s="32"/>
      <c r="Z421" s="32"/>
    </row>
    <row r="422" spans="1:26">
      <c r="A422" s="28"/>
      <c r="B422" s="17">
        <f t="shared" si="18"/>
        <v>46304</v>
      </c>
      <c r="C422" s="26">
        <f>I422+J422+K422+L422+M422+N422+O422+IF(P422="",0,P422*サマリー!$B$9)+IF(Q422="",0,IF(Q422=200,サマリー!$B$10,IF(Q422=100,サマリー!$B$11,0)))+IF(R422="",0,R422*サマリー!$B$12)</f>
        <v>47279</v>
      </c>
      <c r="D422" s="26">
        <f>S422+T422+U422+V422+W422+IF(X422="",0,X422*サマリー!$B$9)+IF(Y422="",0,IF(Y422=200,サマリー!$B$10,IF(Y422=100,サマリー!$B$11,0)))+IF(Z422="",0,Z422*サマリー!$B$12)</f>
        <v>0</v>
      </c>
      <c r="E422" s="26">
        <f t="shared" ref="E422:E482" si="19">C422+D422</f>
        <v>47279</v>
      </c>
      <c r="I422" s="29">
        <v>40038</v>
      </c>
      <c r="J422" s="29"/>
      <c r="K422" s="29"/>
      <c r="L422" s="29"/>
      <c r="M422" s="29"/>
      <c r="N422" s="29"/>
      <c r="O422" s="29"/>
      <c r="P422" s="30"/>
      <c r="Q422" s="30">
        <v>200</v>
      </c>
      <c r="R422" s="30"/>
      <c r="S422" s="31"/>
      <c r="T422" s="31"/>
      <c r="U422" s="31"/>
      <c r="V422" s="31"/>
      <c r="W422" s="31"/>
      <c r="X422" s="32"/>
      <c r="Y422" s="32"/>
      <c r="Z422" s="32"/>
    </row>
    <row r="423" spans="1:26">
      <c r="A423" s="28">
        <v>10</v>
      </c>
      <c r="B423" s="17">
        <f t="shared" ref="B423" si="20">IF(A423="",B422,IF(A423&lt;DAY(B422),DATE(YEAR(B422),MONTH(B422)+1,A423),DATE(YEAR(B422),MONTH(B422),A423)))</f>
        <v>46305</v>
      </c>
      <c r="C423" s="26">
        <f>I423+J423+K423+L423+M423+N423+O423+IF(P423="",0,P423*サマリー!$B$9)+IF(Q423="",0,IF(Q423=200,サマリー!$B$10,IF(Q423=100,サマリー!$B$11,0)))+IF(R423="",0,R423*サマリー!$B$12)</f>
        <v>4955</v>
      </c>
      <c r="D423" s="26">
        <f>S423+T423+U423+V423+W423+IF(X423="",0,X423*サマリー!$B$9)+IF(Y423="",0,IF(Y423=200,サマリー!$B$10,IF(Y423=100,サマリー!$B$11,0)))+IF(Z423="",0,Z423*サマリー!$B$12)</f>
        <v>19600</v>
      </c>
      <c r="E423" s="26">
        <f t="shared" si="19"/>
        <v>24555</v>
      </c>
      <c r="I423" s="29"/>
      <c r="J423" s="29">
        <v>4955</v>
      </c>
      <c r="K423" s="29"/>
      <c r="L423" s="29"/>
      <c r="M423" s="29"/>
      <c r="N423" s="29"/>
      <c r="O423" s="29"/>
      <c r="P423" s="30"/>
      <c r="Q423" s="30"/>
      <c r="R423" s="30"/>
      <c r="S423" s="31"/>
      <c r="T423" s="31">
        <v>19600</v>
      </c>
      <c r="U423" s="31"/>
      <c r="V423" s="31"/>
      <c r="W423" s="31"/>
      <c r="X423" s="32"/>
      <c r="Y423" s="32"/>
      <c r="Z423" s="32"/>
    </row>
    <row r="424" spans="1:26">
      <c r="A424" s="28"/>
      <c r="B424" s="17">
        <f t="shared" ref="B424:B427" si="21">IF(A424="",B423,IF(A424&lt;DAY(B423),DATE(YEAR(B423),MONTH(B423)+1,A424),DATE(YEAR(B423),MONTH(B423),A424)))</f>
        <v>46305</v>
      </c>
      <c r="C424" s="26">
        <f>I424+J424+K424+L424+M424+N424+O424+IF(P424="",0,P424*サマリー!$B$9)+IF(Q424="",0,IF(Q424=200,サマリー!$B$10,IF(Q424=100,サマリー!$B$11,0)))+IF(R424="",0,R424*サマリー!$B$12)</f>
        <v>2200</v>
      </c>
      <c r="D424" s="26">
        <f>S424+T424+U424+V424+W424+IF(X424="",0,X424*サマリー!$B$9)+IF(Y424="",0,IF(Y424=200,サマリー!$B$10,IF(Y424=100,サマリー!$B$11,0)))+IF(Z424="",0,Z424*サマリー!$B$12)</f>
        <v>0</v>
      </c>
      <c r="E424" s="26">
        <f t="shared" si="19"/>
        <v>2200</v>
      </c>
      <c r="I424" s="29"/>
      <c r="J424" s="29">
        <v>2200</v>
      </c>
      <c r="K424" s="29"/>
      <c r="L424" s="29"/>
      <c r="M424" s="29"/>
      <c r="N424" s="29"/>
      <c r="O424" s="29"/>
      <c r="P424" s="30"/>
      <c r="Q424" s="30"/>
      <c r="R424" s="30"/>
      <c r="S424" s="31"/>
      <c r="T424" s="31"/>
      <c r="U424" s="31"/>
      <c r="V424" s="31"/>
      <c r="W424" s="31"/>
      <c r="X424" s="32"/>
      <c r="Y424" s="32"/>
      <c r="Z424" s="32"/>
    </row>
    <row r="425" spans="1:26">
      <c r="A425" s="28"/>
      <c r="B425" s="17">
        <f t="shared" si="21"/>
        <v>46305</v>
      </c>
      <c r="C425" s="26">
        <f>I425+J425+K425+L425+M425+N425+O425+IF(P425="",0,P425*サマリー!$B$9)+IF(Q425="",0,IF(Q425=200,サマリー!$B$10,IF(Q425=100,サマリー!$B$11,0)))+IF(R425="",0,R425*サマリー!$B$12)</f>
        <v>5519</v>
      </c>
      <c r="D425" s="26">
        <f>S425+T425+U425+V425+W425+IF(X425="",0,X425*サマリー!$B$9)+IF(Y425="",0,IF(Y425=200,サマリー!$B$10,IF(Y425=100,サマリー!$B$11,0)))+IF(Z425="",0,Z425*サマリー!$B$12)</f>
        <v>0</v>
      </c>
      <c r="E425" s="26">
        <f t="shared" si="19"/>
        <v>5519</v>
      </c>
      <c r="I425" s="29"/>
      <c r="J425" s="29">
        <v>5519</v>
      </c>
      <c r="K425" s="29"/>
      <c r="L425" s="29"/>
      <c r="M425" s="29"/>
      <c r="N425" s="29"/>
      <c r="O425" s="29"/>
      <c r="P425" s="30"/>
      <c r="Q425" s="30"/>
      <c r="R425" s="30"/>
      <c r="S425" s="31"/>
      <c r="T425" s="31"/>
      <c r="U425" s="31"/>
      <c r="V425" s="31"/>
      <c r="W425" s="31"/>
      <c r="X425" s="32"/>
      <c r="Y425" s="32"/>
      <c r="Z425" s="32"/>
    </row>
    <row r="426" spans="1:26">
      <c r="A426" s="28">
        <v>11</v>
      </c>
      <c r="B426" s="17">
        <f t="shared" si="21"/>
        <v>46306</v>
      </c>
      <c r="C426" s="26">
        <f>I426+J426+K426+L426+M426+N426+O426+IF(P426="",0,P426*サマリー!$B$9)+IF(Q426="",0,IF(Q426=200,サマリー!$B$10,IF(Q426=100,サマリー!$B$11,0)))+IF(R426="",0,R426*サマリー!$B$12)</f>
        <v>0</v>
      </c>
      <c r="D426" s="26">
        <f>S426+T426+U426+V426+W426+IF(X426="",0,X426*サマリー!$B$9)+IF(Y426="",0,IF(Y426=200,サマリー!$B$10,IF(Y426=100,サマリー!$B$11,0)))+IF(Z426="",0,Z426*サマリー!$B$12)</f>
        <v>65636</v>
      </c>
      <c r="E426" s="26">
        <f t="shared" si="19"/>
        <v>65636</v>
      </c>
      <c r="I426" s="29"/>
      <c r="J426" s="29"/>
      <c r="K426" s="29"/>
      <c r="L426" s="29"/>
      <c r="M426" s="29"/>
      <c r="N426" s="29"/>
      <c r="O426" s="29"/>
      <c r="P426" s="30"/>
      <c r="Q426" s="30"/>
      <c r="R426" s="30"/>
      <c r="S426" s="31">
        <v>58395</v>
      </c>
      <c r="T426" s="31"/>
      <c r="U426" s="31"/>
      <c r="V426" s="31"/>
      <c r="W426" s="31"/>
      <c r="X426" s="32"/>
      <c r="Y426" s="32">
        <v>200</v>
      </c>
      <c r="Z426" s="32"/>
    </row>
    <row r="427" spans="1:26">
      <c r="A427" s="28"/>
      <c r="B427" s="17">
        <f t="shared" si="21"/>
        <v>46306</v>
      </c>
      <c r="C427" s="26">
        <f>I427+J427+K427+L427+M427+N427+O427+IF(P427="",0,P427*サマリー!$B$9)+IF(Q427="",0,IF(Q427=200,サマリー!$B$10,IF(Q427=100,サマリー!$B$11,0)))+IF(R427="",0,R427*サマリー!$B$12)</f>
        <v>1655</v>
      </c>
      <c r="D427" s="26">
        <f>S427+T427+U427+V427+W427+IF(X427="",0,X427*サマリー!$B$9)+IF(Y427="",0,IF(Y427=200,サマリー!$B$10,IF(Y427=100,サマリー!$B$11,0)))+IF(Z427="",0,Z427*サマリー!$B$12)</f>
        <v>0</v>
      </c>
      <c r="E427" s="26">
        <f t="shared" si="19"/>
        <v>1655</v>
      </c>
      <c r="I427" s="29"/>
      <c r="J427" s="29">
        <v>1655</v>
      </c>
      <c r="K427" s="29"/>
      <c r="L427" s="29"/>
      <c r="M427" s="29"/>
      <c r="N427" s="29"/>
      <c r="O427" s="29"/>
      <c r="P427" s="30"/>
      <c r="Q427" s="30"/>
      <c r="R427" s="30"/>
      <c r="S427" s="31"/>
      <c r="T427" s="31"/>
      <c r="U427" s="31"/>
      <c r="V427" s="31"/>
      <c r="W427" s="31"/>
      <c r="X427" s="32"/>
      <c r="Y427" s="32"/>
      <c r="Z427" s="32"/>
    </row>
    <row r="428" spans="1:26">
      <c r="A428" s="28"/>
      <c r="B428" s="17">
        <f t="shared" ref="B428:B458" si="22">IF(A428="",B427,IF(A428&lt;DAY(B427),DATE(YEAR(B427),MONTH(B427)+1,A428),DATE(YEAR(B427),MONTH(B427),A428)))</f>
        <v>46306</v>
      </c>
      <c r="C428" s="26">
        <f>I428+J428+K428+L428+M428+N428+O428+IF(P428="",0,P428*サマリー!$B$9)+IF(Q428="",0,IF(Q428=200,サマリー!$B$10,IF(Q428=100,サマリー!$B$11,0)))+IF(R428="",0,R428*サマリー!$B$12)</f>
        <v>4400</v>
      </c>
      <c r="D428" s="26">
        <f>S428+T428+U428+V428+W428+IF(X428="",0,X428*サマリー!$B$9)+IF(Y428="",0,IF(Y428=200,サマリー!$B$10,IF(Y428=100,サマリー!$B$11,0)))+IF(Z428="",0,Z428*サマリー!$B$12)</f>
        <v>0</v>
      </c>
      <c r="E428" s="26">
        <f t="shared" si="19"/>
        <v>4400</v>
      </c>
      <c r="I428" s="29"/>
      <c r="J428" s="29">
        <v>4400</v>
      </c>
      <c r="K428" s="29"/>
      <c r="L428" s="29"/>
      <c r="M428" s="29"/>
      <c r="N428" s="29"/>
      <c r="O428" s="29"/>
      <c r="P428" s="30"/>
      <c r="Q428" s="30"/>
      <c r="R428" s="30"/>
      <c r="S428" s="31"/>
      <c r="T428" s="31"/>
      <c r="U428" s="31"/>
      <c r="V428" s="31"/>
      <c r="W428" s="31"/>
      <c r="X428" s="32"/>
      <c r="Y428" s="32"/>
      <c r="Z428" s="32"/>
    </row>
    <row r="429" spans="1:26">
      <c r="A429" s="28"/>
      <c r="B429" s="17">
        <f t="shared" si="22"/>
        <v>46306</v>
      </c>
      <c r="C429" s="26">
        <f>I429+J429+K429+L429+M429+N429+O429+IF(P429="",0,P429*サマリー!$B$9)+IF(Q429="",0,IF(Q429=200,サマリー!$B$10,IF(Q429=100,サマリー!$B$11,0)))+IF(R429="",0,R429*サマリー!$B$12)</f>
        <v>37916</v>
      </c>
      <c r="D429" s="26">
        <f>S429+T429+U429+V429+W429+IF(X429="",0,X429*サマリー!$B$9)+IF(Y429="",0,IF(Y429=200,サマリー!$B$10,IF(Y429=100,サマリー!$B$11,0)))+IF(Z429="",0,Z429*サマリー!$B$12)</f>
        <v>0</v>
      </c>
      <c r="E429" s="26">
        <f t="shared" si="19"/>
        <v>37916</v>
      </c>
      <c r="I429" s="29">
        <v>30675</v>
      </c>
      <c r="J429" s="29"/>
      <c r="K429" s="29"/>
      <c r="L429" s="29"/>
      <c r="M429" s="29"/>
      <c r="N429" s="29"/>
      <c r="O429" s="29"/>
      <c r="P429" s="30"/>
      <c r="Q429" s="30">
        <v>200</v>
      </c>
      <c r="R429" s="30"/>
      <c r="S429" s="31"/>
      <c r="T429" s="31"/>
      <c r="U429" s="31"/>
      <c r="V429" s="31"/>
      <c r="W429" s="31"/>
      <c r="X429" s="32"/>
      <c r="Y429" s="32"/>
      <c r="Z429" s="32"/>
    </row>
    <row r="430" spans="1:26">
      <c r="A430" s="28">
        <v>12</v>
      </c>
      <c r="B430" s="17">
        <f t="shared" si="22"/>
        <v>46307</v>
      </c>
      <c r="C430" s="26">
        <f>I430+J430+K430+L430+M430+N430+O430+IF(P430="",0,P430*サマリー!$B$9)+IF(Q430="",0,IF(Q430=200,サマリー!$B$10,IF(Q430=100,サマリー!$B$11,0)))+IF(R430="",0,R430*サマリー!$B$12)</f>
        <v>0</v>
      </c>
      <c r="D430" s="26">
        <f>S430+T430+U430+V430+W430+IF(X430="",0,X430*サマリー!$B$9)+IF(Y430="",0,IF(Y430=200,サマリー!$B$10,IF(Y430=100,サマリー!$B$11,0)))+IF(Z430="",0,Z430*サマリー!$B$12)</f>
        <v>5455</v>
      </c>
      <c r="E430" s="26">
        <f t="shared" si="19"/>
        <v>5455</v>
      </c>
      <c r="I430" s="29"/>
      <c r="J430" s="29"/>
      <c r="K430" s="29"/>
      <c r="L430" s="29"/>
      <c r="M430" s="29"/>
      <c r="N430" s="29"/>
      <c r="O430" s="29"/>
      <c r="P430" s="30"/>
      <c r="Q430" s="30"/>
      <c r="R430" s="30"/>
      <c r="S430" s="31"/>
      <c r="T430" s="31">
        <v>5455</v>
      </c>
      <c r="U430" s="31"/>
      <c r="V430" s="31"/>
      <c r="W430" s="31"/>
      <c r="X430" s="32"/>
      <c r="Y430" s="32"/>
      <c r="Z430" s="32"/>
    </row>
    <row r="431" spans="1:26">
      <c r="A431" s="28">
        <v>13</v>
      </c>
      <c r="B431" s="17">
        <f t="shared" si="22"/>
        <v>46308</v>
      </c>
      <c r="C431" s="26">
        <f>I431+J431+K431+L431+M431+N431+O431+IF(P431="",0,P431*サマリー!$B$9)+IF(Q431="",0,IF(Q431=200,サマリー!$B$10,IF(Q431=100,サマリー!$B$11,0)))+IF(R431="",0,R431*サマリー!$B$12)</f>
        <v>75000</v>
      </c>
      <c r="D431" s="26">
        <f>S431+T431+U431+V431+W431+IF(X431="",0,X431*サマリー!$B$9)+IF(Y431="",0,IF(Y431=200,サマリー!$B$10,IF(Y431=100,サマリー!$B$11,0)))+IF(Z431="",0,Z431*サマリー!$B$12)</f>
        <v>14196</v>
      </c>
      <c r="E431" s="26">
        <f t="shared" si="19"/>
        <v>89196</v>
      </c>
      <c r="I431" s="29"/>
      <c r="J431" s="29"/>
      <c r="K431" s="29"/>
      <c r="L431" s="29"/>
      <c r="M431" s="29"/>
      <c r="N431" s="29"/>
      <c r="O431" s="29"/>
      <c r="P431" s="30">
        <v>3</v>
      </c>
      <c r="Q431" s="30"/>
      <c r="R431" s="30"/>
      <c r="S431" s="31"/>
      <c r="T431" s="31">
        <v>6955</v>
      </c>
      <c r="U431" s="31"/>
      <c r="V431" s="31"/>
      <c r="W431" s="31"/>
      <c r="X431" s="32"/>
      <c r="Y431" s="32">
        <v>200</v>
      </c>
      <c r="Z431" s="32"/>
    </row>
    <row r="432" spans="1:26">
      <c r="A432" s="28">
        <v>14</v>
      </c>
      <c r="B432" s="17">
        <f t="shared" si="22"/>
        <v>46309</v>
      </c>
      <c r="C432" s="26">
        <f>I432+J432+K432+L432+M432+N432+O432+IF(P432="",0,P432*サマリー!$B$9)+IF(Q432="",0,IF(Q432=200,サマリー!$B$10,IF(Q432=100,サマリー!$B$11,0)))+IF(R432="",0,R432*サマリー!$B$12)</f>
        <v>555</v>
      </c>
      <c r="D432" s="26">
        <f>S432+T432+U432+V432+W432+IF(X432="",0,X432*サマリー!$B$9)+IF(Y432="",0,IF(Y432=200,サマリー!$B$10,IF(Y432=100,サマリー!$B$11,0)))+IF(Z432="",0,Z432*サマリー!$B$12)</f>
        <v>0</v>
      </c>
      <c r="E432" s="26">
        <f t="shared" si="19"/>
        <v>555</v>
      </c>
      <c r="I432" s="29"/>
      <c r="J432" s="29">
        <v>555</v>
      </c>
      <c r="K432" s="29"/>
      <c r="L432" s="29"/>
      <c r="M432" s="29"/>
      <c r="N432" s="29"/>
      <c r="O432" s="29"/>
      <c r="P432" s="30"/>
      <c r="Q432" s="30"/>
      <c r="R432" s="30"/>
      <c r="S432" s="31"/>
      <c r="T432" s="31"/>
      <c r="U432" s="31"/>
      <c r="V432" s="31"/>
      <c r="W432" s="31"/>
      <c r="X432" s="32"/>
      <c r="Y432" s="32"/>
      <c r="Z432" s="32"/>
    </row>
    <row r="433" spans="1:26">
      <c r="A433" s="28">
        <v>15</v>
      </c>
      <c r="B433" s="17">
        <f t="shared" si="22"/>
        <v>46310</v>
      </c>
      <c r="C433" s="26">
        <f>I433+J433+K433+L433+M433+N433+O433+IF(P433="",0,P433*サマリー!$B$9)+IF(Q433="",0,IF(Q433=200,サマリー!$B$10,IF(Q433=100,サマリー!$B$11,0)))+IF(R433="",0,R433*サマリー!$B$12)</f>
        <v>25000</v>
      </c>
      <c r="D433" s="26">
        <f>S433+T433+U433+V433+W433+IF(X433="",0,X433*サマリー!$B$9)+IF(Y433="",0,IF(Y433=200,サマリー!$B$10,IF(Y433=100,サマリー!$B$11,0)))+IF(Z433="",0,Z433*サマリー!$B$12)</f>
        <v>0</v>
      </c>
      <c r="E433" s="26">
        <f t="shared" si="19"/>
        <v>25000</v>
      </c>
      <c r="I433" s="29"/>
      <c r="J433" s="29"/>
      <c r="K433" s="29"/>
      <c r="L433" s="29"/>
      <c r="M433" s="29"/>
      <c r="N433" s="29"/>
      <c r="O433" s="29"/>
      <c r="P433" s="30">
        <v>1</v>
      </c>
      <c r="Q433" s="30"/>
      <c r="R433" s="30"/>
      <c r="S433" s="31"/>
      <c r="T433" s="31"/>
      <c r="U433" s="31"/>
      <c r="V433" s="31"/>
      <c r="W433" s="31"/>
      <c r="X433" s="32"/>
      <c r="Y433" s="32"/>
      <c r="Z433" s="32"/>
    </row>
    <row r="434" spans="1:26">
      <c r="A434" s="28"/>
      <c r="B434" s="17">
        <f t="shared" si="22"/>
        <v>46310</v>
      </c>
      <c r="C434" s="26">
        <f>I434+J434+K434+L434+M434+N434+O434+IF(P434="",0,P434*サマリー!$B$9)+IF(Q434="",0,IF(Q434=200,サマリー!$B$10,IF(Q434=100,サマリー!$B$11,0)))+IF(R434="",0,R434*サマリー!$B$12)</f>
        <v>28960</v>
      </c>
      <c r="D434" s="26">
        <f>S434+T434+U434+V434+W434+IF(X434="",0,X434*サマリー!$B$9)+IF(Y434="",0,IF(Y434=200,サマリー!$B$10,IF(Y434=100,サマリー!$B$11,0)))+IF(Z434="",0,Z434*サマリー!$B$12)</f>
        <v>33079</v>
      </c>
      <c r="E434" s="26">
        <f t="shared" si="19"/>
        <v>62039</v>
      </c>
      <c r="I434" s="29"/>
      <c r="J434" s="29"/>
      <c r="K434" s="29"/>
      <c r="L434" s="29"/>
      <c r="M434" s="29"/>
      <c r="N434" s="29">
        <v>28960</v>
      </c>
      <c r="O434" s="29"/>
      <c r="P434" s="30"/>
      <c r="Q434" s="30"/>
      <c r="R434" s="30"/>
      <c r="S434" s="31">
        <v>25838</v>
      </c>
      <c r="T434" s="31"/>
      <c r="U434" s="31"/>
      <c r="V434" s="31"/>
      <c r="W434" s="31"/>
      <c r="X434" s="32"/>
      <c r="Y434" s="32">
        <v>200</v>
      </c>
      <c r="Z434" s="32"/>
    </row>
    <row r="435" spans="1:26">
      <c r="A435" s="28"/>
      <c r="B435" s="17">
        <f t="shared" si="22"/>
        <v>46310</v>
      </c>
      <c r="C435" s="26">
        <f>I435+J435+K435+L435+M435+N435+O435+IF(P435="",0,P435*サマリー!$B$9)+IF(Q435="",0,IF(Q435=200,サマリー!$B$10,IF(Q435=100,サマリー!$B$11,0)))+IF(R435="",0,R435*サマリー!$B$12)</f>
        <v>0</v>
      </c>
      <c r="D435" s="26">
        <f>S435+T435+U435+V435+W435+IF(X435="",0,X435*サマリー!$B$9)+IF(Y435="",0,IF(Y435=200,サマリー!$B$10,IF(Y435=100,サマリー!$B$11,0)))+IF(Z435="",0,Z435*サマリー!$B$12)</f>
        <v>6441</v>
      </c>
      <c r="E435" s="26">
        <f t="shared" si="19"/>
        <v>6441</v>
      </c>
      <c r="I435" s="29"/>
      <c r="J435" s="29"/>
      <c r="K435" s="29"/>
      <c r="L435" s="29"/>
      <c r="M435" s="29"/>
      <c r="N435" s="29"/>
      <c r="O435" s="29"/>
      <c r="P435" s="30"/>
      <c r="Q435" s="30"/>
      <c r="R435" s="30"/>
      <c r="S435" s="31"/>
      <c r="T435" s="31">
        <v>4670</v>
      </c>
      <c r="U435" s="31">
        <v>1771</v>
      </c>
      <c r="V435" s="31"/>
      <c r="W435" s="31"/>
      <c r="X435" s="32"/>
      <c r="Y435" s="32"/>
      <c r="Z435" s="32"/>
    </row>
    <row r="436" spans="1:26">
      <c r="A436" s="28"/>
      <c r="B436" s="17">
        <f t="shared" si="22"/>
        <v>46310</v>
      </c>
      <c r="C436" s="26">
        <f>I436+J436+K436+L436+M436+N436+O436+IF(P436="",0,P436*サマリー!$B$9)+IF(Q436="",0,IF(Q436=200,サマリー!$B$10,IF(Q436=100,サマリー!$B$11,0)))+IF(R436="",0,R436*サマリー!$B$12)</f>
        <v>5455</v>
      </c>
      <c r="D436" s="26">
        <f>S436+T436+U436+V436+W436+IF(X436="",0,X436*サマリー!$B$9)+IF(Y436="",0,IF(Y436=200,サマリー!$B$10,IF(Y436=100,サマリー!$B$11,0)))+IF(Z436="",0,Z436*サマリー!$B$12)</f>
        <v>0</v>
      </c>
      <c r="E436" s="26">
        <f t="shared" si="19"/>
        <v>5455</v>
      </c>
      <c r="I436" s="29"/>
      <c r="J436" s="29"/>
      <c r="K436" s="29"/>
      <c r="L436" s="29">
        <v>5455</v>
      </c>
      <c r="M436" s="29"/>
      <c r="N436" s="29"/>
      <c r="O436" s="29"/>
      <c r="P436" s="30"/>
      <c r="Q436" s="30"/>
      <c r="R436" s="30"/>
      <c r="S436" s="31"/>
      <c r="T436" s="31"/>
      <c r="U436" s="31"/>
      <c r="V436" s="31"/>
      <c r="W436" s="31"/>
      <c r="X436" s="32"/>
      <c r="Y436" s="32"/>
      <c r="Z436" s="32"/>
    </row>
    <row r="437" spans="1:26">
      <c r="A437" s="28">
        <v>16</v>
      </c>
      <c r="B437" s="17">
        <f t="shared" si="22"/>
        <v>46311</v>
      </c>
      <c r="C437" s="26">
        <f>I437+J437+K437+L437+M437+N437+O437+IF(P437="",0,P437*サマリー!$B$9)+IF(Q437="",0,IF(Q437=200,サマリー!$B$10,IF(Q437=100,サマリー!$B$11,0)))+IF(R437="",0,R437*サマリー!$B$12)</f>
        <v>0</v>
      </c>
      <c r="D437" s="26">
        <f>S437+T437+U437+V437+W437+IF(X437="",0,X437*サマリー!$B$9)+IF(Y437="",0,IF(Y437=200,サマリー!$B$10,IF(Y437=100,サマリー!$B$11,0)))+IF(Z437="",0,Z437*サマリー!$B$12)</f>
        <v>23474</v>
      </c>
      <c r="E437" s="26">
        <f t="shared" si="19"/>
        <v>23474</v>
      </c>
      <c r="I437" s="29">
        <v>0</v>
      </c>
      <c r="J437" s="29"/>
      <c r="K437" s="29"/>
      <c r="L437" s="29"/>
      <c r="M437" s="29"/>
      <c r="N437" s="29"/>
      <c r="O437" s="29"/>
      <c r="P437" s="30"/>
      <c r="Q437" s="30"/>
      <c r="R437" s="30"/>
      <c r="S437" s="31"/>
      <c r="T437" s="31"/>
      <c r="U437" s="31"/>
      <c r="V437" s="31">
        <v>23474</v>
      </c>
      <c r="W437" s="31"/>
      <c r="X437" s="32"/>
      <c r="Y437" s="32"/>
      <c r="Z437" s="32"/>
    </row>
    <row r="438" spans="1:26">
      <c r="A438" s="28">
        <v>17</v>
      </c>
      <c r="B438" s="17">
        <f t="shared" si="22"/>
        <v>46312</v>
      </c>
      <c r="C438" s="26">
        <f>I438+J438+K438+L438+M438+N438+O438+IF(P438="",0,P438*サマリー!$B$9)+IF(Q438="",0,IF(Q438=200,サマリー!$B$10,IF(Q438=100,サマリー!$B$11,0)))+IF(R438="",0,R438*サマリー!$B$12)</f>
        <v>2755</v>
      </c>
      <c r="D438" s="26">
        <f>S438+T438+U438+V438+W438+IF(X438="",0,X438*サマリー!$B$9)+IF(Y438="",0,IF(Y438=200,サマリー!$B$10,IF(Y438=100,サマリー!$B$11,0)))+IF(Z438="",0,Z438*サマリー!$B$12)</f>
        <v>4955</v>
      </c>
      <c r="E438" s="26">
        <f t="shared" si="19"/>
        <v>7710</v>
      </c>
      <c r="I438" s="29"/>
      <c r="J438" s="29">
        <v>2755</v>
      </c>
      <c r="K438" s="29"/>
      <c r="L438" s="29"/>
      <c r="M438" s="29"/>
      <c r="N438" s="29"/>
      <c r="O438" s="29"/>
      <c r="P438" s="30"/>
      <c r="Q438" s="30"/>
      <c r="R438" s="30"/>
      <c r="S438" s="31"/>
      <c r="T438" s="31">
        <v>4955</v>
      </c>
      <c r="U438" s="31"/>
      <c r="V438" s="31"/>
      <c r="W438" s="31"/>
      <c r="X438" s="32"/>
      <c r="Y438" s="32"/>
      <c r="Z438" s="32"/>
    </row>
    <row r="439" spans="1:26">
      <c r="A439" s="28"/>
      <c r="B439" s="17">
        <f t="shared" si="22"/>
        <v>46312</v>
      </c>
      <c r="C439" s="26">
        <f>I439+J439+K439+L439+M439+N439+O439+IF(P439="",0,P439*サマリー!$B$9)+IF(Q439="",0,IF(Q439=200,サマリー!$B$10,IF(Q439=100,サマリー!$B$11,0)))+IF(R439="",0,R439*サマリー!$B$12)</f>
        <v>2755</v>
      </c>
      <c r="D439" s="26">
        <f>S439+T439+U439+V439+W439+IF(X439="",0,X439*サマリー!$B$9)+IF(Y439="",0,IF(Y439=200,サマリー!$B$10,IF(Y439=100,サマリー!$B$11,0)))+IF(Z439="",0,Z439*サマリー!$B$12)</f>
        <v>0</v>
      </c>
      <c r="E439" s="26">
        <f t="shared" si="19"/>
        <v>2755</v>
      </c>
      <c r="I439" s="29"/>
      <c r="J439" s="29">
        <v>2755</v>
      </c>
      <c r="K439" s="29"/>
      <c r="L439" s="29"/>
      <c r="M439" s="29"/>
      <c r="N439" s="29"/>
      <c r="O439" s="29"/>
      <c r="P439" s="30"/>
      <c r="Q439" s="30"/>
      <c r="R439" s="30"/>
      <c r="S439" s="31"/>
      <c r="T439" s="31"/>
      <c r="U439" s="31"/>
      <c r="V439" s="31"/>
      <c r="W439" s="31"/>
      <c r="X439" s="32"/>
      <c r="Y439" s="32"/>
      <c r="Z439" s="32"/>
    </row>
    <row r="440" spans="1:26">
      <c r="A440" s="28"/>
      <c r="B440" s="17">
        <f t="shared" si="22"/>
        <v>46312</v>
      </c>
      <c r="C440" s="26">
        <f>I440+J440+K440+L440+M440+N440+O440+IF(P440="",0,P440*サマリー!$B$9)+IF(Q440="",0,IF(Q440=200,サマリー!$B$10,IF(Q440=100,サマリー!$B$11,0)))+IF(R440="",0,R440*サマリー!$B$12)</f>
        <v>21843</v>
      </c>
      <c r="D440" s="26">
        <f>S440+T440+U440+V440+W440+IF(X440="",0,X440*サマリー!$B$9)+IF(Y440="",0,IF(Y440=200,サマリー!$B$10,IF(Y440=100,サマリー!$B$11,0)))+IF(Z440="",0,Z440*サマリー!$B$12)</f>
        <v>0</v>
      </c>
      <c r="E440" s="26">
        <f t="shared" si="19"/>
        <v>21843</v>
      </c>
      <c r="I440" s="29"/>
      <c r="J440" s="29">
        <v>2200</v>
      </c>
      <c r="K440" s="29">
        <v>843</v>
      </c>
      <c r="L440" s="29"/>
      <c r="M440" s="29"/>
      <c r="N440" s="29">
        <v>18800</v>
      </c>
      <c r="O440" s="29"/>
      <c r="P440" s="30"/>
      <c r="Q440" s="30"/>
      <c r="R440" s="30"/>
      <c r="S440" s="31"/>
      <c r="T440" s="31"/>
      <c r="U440" s="31"/>
      <c r="V440" s="31"/>
      <c r="W440" s="31"/>
      <c r="X440" s="32"/>
      <c r="Y440" s="32"/>
      <c r="Z440" s="32"/>
    </row>
    <row r="441" spans="1:26">
      <c r="A441" s="28">
        <v>18</v>
      </c>
      <c r="B441" s="17">
        <f t="shared" si="22"/>
        <v>46313</v>
      </c>
      <c r="C441" s="26">
        <f>I441+J441+K441+L441+M441+N441+O441+IF(P441="",0,P441*[1]サマリー!$B$9)+IF(Q441="",0,IF(Q441=200,[1]サマリー!$B$10,IF(Q441=100,[1]サマリー!$B$11,0)))+IF(R441="",0,R441*[1]サマリー!$B$12)</f>
        <v>0</v>
      </c>
      <c r="D441" s="26">
        <f>S441+T441+U441+V441+W441+IF(X441="",0,X441*[1]サマリー!$B$9)+IF(Y441="",0,IF(Y441=200,[1]サマリー!$B$10,IF(Y441=100,[1]サマリー!$B$11,0)))+IF(Z441="",0,Z441*[1]サマリー!$B$12)</f>
        <v>38360</v>
      </c>
      <c r="E441" s="26">
        <f t="shared" si="19"/>
        <v>38360</v>
      </c>
      <c r="I441" s="29"/>
      <c r="J441" s="29"/>
      <c r="K441" s="29"/>
      <c r="L441" s="29"/>
      <c r="M441" s="29"/>
      <c r="N441" s="29"/>
      <c r="O441" s="29"/>
      <c r="P441" s="30"/>
      <c r="Q441" s="30"/>
      <c r="R441" s="30"/>
      <c r="S441" s="31">
        <v>31119</v>
      </c>
      <c r="T441" s="31"/>
      <c r="U441" s="31"/>
      <c r="V441" s="31"/>
      <c r="W441" s="31"/>
      <c r="X441" s="32"/>
      <c r="Y441" s="32">
        <v>200</v>
      </c>
      <c r="Z441" s="32"/>
    </row>
    <row r="442" spans="1:26">
      <c r="A442" s="28">
        <v>19</v>
      </c>
      <c r="B442" s="17">
        <f t="shared" si="22"/>
        <v>46314</v>
      </c>
      <c r="C442" s="26">
        <f>I442+J442+K442+L442+M442+N442+O442+IF(P442="",0,P442*[1]サマリー!$B$9)+IF(Q442="",0,IF(Q442=200,[1]サマリー!$B$10,IF(Q442=100,[1]サマリー!$B$11,0)))+IF(R442="",0,R442*[1]サマリー!$B$12)</f>
        <v>0</v>
      </c>
      <c r="D442" s="26">
        <f>S442+T442+U442+V442+W442+IF(X442="",0,X442*[1]サマリー!$B$9)+IF(Y442="",0,IF(Y442=200,[1]サマリー!$B$10,IF(Y442=100,[1]サマリー!$B$11,0)))+IF(Z442="",0,Z442*[1]サマリー!$B$12)</f>
        <v>7586</v>
      </c>
      <c r="E442" s="26">
        <f t="shared" si="19"/>
        <v>7586</v>
      </c>
      <c r="I442" s="29"/>
      <c r="J442" s="29"/>
      <c r="K442" s="29"/>
      <c r="L442" s="29"/>
      <c r="M442" s="29"/>
      <c r="N442" s="29"/>
      <c r="O442" s="29"/>
      <c r="P442" s="30"/>
      <c r="Q442" s="30"/>
      <c r="R442" s="30"/>
      <c r="S442" s="31"/>
      <c r="T442" s="31">
        <v>5500</v>
      </c>
      <c r="U442" s="31">
        <v>2086</v>
      </c>
      <c r="V442" s="31"/>
      <c r="W442" s="31"/>
      <c r="X442" s="32"/>
      <c r="Y442" s="32"/>
      <c r="Z442" s="32"/>
    </row>
    <row r="443" spans="1:26">
      <c r="A443" s="28"/>
      <c r="B443" s="17">
        <f t="shared" si="22"/>
        <v>46314</v>
      </c>
      <c r="C443" s="26">
        <f>I443+J443+K443+L443+M443+N443+O443+IF(P443="",0,P443*[1]サマリー!$B$9)+IF(Q443="",0,IF(Q443=200,[1]サマリー!$B$10,IF(Q443=100,[1]サマリー!$B$11,0)))+IF(R443="",0,R443*[1]サマリー!$B$12)</f>
        <v>0</v>
      </c>
      <c r="D443" s="26">
        <f>S443+T443+U443+V443+W443+IF(X443="",0,X443*[1]サマリー!$B$9)+IF(Y443="",0,IF(Y443=200,[1]サマリー!$B$10,IF(Y443=100,[1]サマリー!$B$11,0)))+IF(Z443="",0,Z443*[1]サマリー!$B$12)</f>
        <v>5500</v>
      </c>
      <c r="E443" s="26">
        <f t="shared" si="19"/>
        <v>5500</v>
      </c>
      <c r="I443" s="29"/>
      <c r="J443" s="29"/>
      <c r="K443" s="29"/>
      <c r="L443" s="29"/>
      <c r="M443" s="29"/>
      <c r="N443" s="29"/>
      <c r="O443" s="29"/>
      <c r="P443" s="30"/>
      <c r="Q443" s="30"/>
      <c r="R443" s="30"/>
      <c r="S443" s="31"/>
      <c r="T443" s="31">
        <v>5500</v>
      </c>
      <c r="U443" s="31"/>
      <c r="V443" s="31"/>
      <c r="W443" s="31"/>
      <c r="X443" s="32"/>
      <c r="Y443" s="32"/>
      <c r="Z443" s="32"/>
    </row>
    <row r="444" spans="1:26">
      <c r="A444" s="28">
        <v>20</v>
      </c>
      <c r="B444" s="17">
        <f t="shared" si="22"/>
        <v>46315</v>
      </c>
      <c r="C444" s="26">
        <f>I444+J444+K444+L444+M444+N444+O444+IF(P444="",0,P444*[1]サマリー!$B$9)+IF(Q444="",0,IF(Q444=200,[1]サマリー!$B$10,IF(Q444=100,[1]サマリー!$B$11,0)))+IF(R444="",0,R444*[1]サマリー!$B$12)</f>
        <v>75000</v>
      </c>
      <c r="D444" s="26">
        <f>S444+T444+U444+V444+W444+IF(X444="",0,X444*[1]サマリー!$B$9)+IF(Y444="",0,IF(Y444=200,[1]サマリー!$B$10,IF(Y444=100,[1]サマリー!$B$11,0)))+IF(Z444="",0,Z444*[1]サマリー!$B$12)</f>
        <v>33079</v>
      </c>
      <c r="E444" s="26">
        <f t="shared" si="19"/>
        <v>108079</v>
      </c>
      <c r="I444" s="29"/>
      <c r="J444" s="29"/>
      <c r="K444" s="29"/>
      <c r="L444" s="29"/>
      <c r="M444" s="29"/>
      <c r="N444" s="29"/>
      <c r="O444" s="29"/>
      <c r="P444" s="30">
        <v>3</v>
      </c>
      <c r="Q444" s="30"/>
      <c r="R444" s="30"/>
      <c r="S444" s="31">
        <v>25838</v>
      </c>
      <c r="T444" s="31"/>
      <c r="U444" s="31"/>
      <c r="V444" s="31"/>
      <c r="W444" s="31"/>
      <c r="X444" s="32"/>
      <c r="Y444" s="32">
        <v>200</v>
      </c>
      <c r="Z444" s="32"/>
    </row>
    <row r="445" spans="1:26">
      <c r="A445" s="28">
        <v>21</v>
      </c>
      <c r="B445" s="17">
        <f t="shared" si="22"/>
        <v>46316</v>
      </c>
      <c r="C445" s="26">
        <f>I445+J445+K445+L445+M445+N445+O445+IF(P445="",0,P445*[1]サマリー!$B$9)+IF(Q445="",0,IF(Q445=200,[1]サマリー!$B$10,IF(Q445=100,[1]サマリー!$B$11,0)))+IF(R445="",0,R445*[1]サマリー!$B$12)</f>
        <v>27210</v>
      </c>
      <c r="D445" s="26">
        <f>S445+T445+U445+V445+W445+IF(X445="",0,X445*[1]サマリー!$B$9)+IF(Y445="",0,IF(Y445=200,[1]サマリー!$B$10,IF(Y445=100,[1]サマリー!$B$11,0)))+IF(Z445="",0,Z445*[1]サマリー!$B$12)</f>
        <v>0</v>
      </c>
      <c r="E445" s="26">
        <f t="shared" si="19"/>
        <v>27210</v>
      </c>
      <c r="I445" s="29"/>
      <c r="J445" s="29">
        <v>2210</v>
      </c>
      <c r="K445" s="29"/>
      <c r="L445" s="29"/>
      <c r="M445" s="29"/>
      <c r="N445" s="29"/>
      <c r="O445" s="29"/>
      <c r="P445" s="30">
        <v>1</v>
      </c>
      <c r="Q445" s="30"/>
      <c r="R445" s="30"/>
      <c r="S445" s="31"/>
      <c r="T445" s="31"/>
      <c r="U445" s="31"/>
      <c r="V445" s="31"/>
      <c r="W445" s="31"/>
      <c r="X445" s="32"/>
      <c r="Y445" s="32"/>
      <c r="Z445" s="32"/>
    </row>
    <row r="446" spans="1:26">
      <c r="A446" s="28"/>
      <c r="B446" s="17">
        <f t="shared" si="22"/>
        <v>46316</v>
      </c>
      <c r="C446" s="26">
        <f>I446+J446+K446+L446+M446+N446+O446+IF(P446="",0,P446*[1]サマリー!$B$9)+IF(Q446="",0,IF(Q446=200,[1]サマリー!$B$10,IF(Q446=100,[1]サマリー!$B$11,0)))+IF(R446="",0,R446*[1]サマリー!$B$12)</f>
        <v>2648</v>
      </c>
      <c r="D446" s="26">
        <f>S446+T446+U446+V446+W446+IF(X446="",0,X446*[1]サマリー!$B$9)+IF(Y446="",0,IF(Y446=200,[1]サマリー!$B$10,IF(Y446=100,[1]サマリー!$B$11,0)))+IF(Z446="",0,Z446*[1]サマリー!$B$12)</f>
        <v>0</v>
      </c>
      <c r="E446" s="26">
        <f t="shared" si="19"/>
        <v>2648</v>
      </c>
      <c r="H446" t="s">
        <v>102</v>
      </c>
      <c r="I446" s="29"/>
      <c r="J446" s="29">
        <v>1920</v>
      </c>
      <c r="K446" s="29">
        <v>728</v>
      </c>
      <c r="L446" s="29"/>
      <c r="M446" s="29"/>
      <c r="N446" s="29"/>
      <c r="O446" s="29"/>
      <c r="P446" s="30"/>
      <c r="Q446" s="30"/>
      <c r="R446" s="30"/>
      <c r="S446" s="31"/>
      <c r="T446" s="31"/>
      <c r="U446" s="31"/>
      <c r="V446" s="31"/>
      <c r="W446" s="31"/>
      <c r="X446" s="32"/>
      <c r="Y446" s="32"/>
      <c r="Z446" s="32"/>
    </row>
    <row r="447" spans="1:26">
      <c r="A447" s="28">
        <v>22</v>
      </c>
      <c r="B447" s="17">
        <f t="shared" si="22"/>
        <v>46317</v>
      </c>
      <c r="C447" s="26">
        <f>I447+J447+K447+L447+M447+N447+O447+IF(P447="",0,P447*[1]サマリー!$B$9)+IF(Q447="",0,IF(Q447=200,[1]サマリー!$B$10,IF(Q447=100,[1]サマリー!$B$11,0)))+IF(R447="",0,R447*[1]サマリー!$B$12)</f>
        <v>25000</v>
      </c>
      <c r="D447" s="26">
        <f>S447+T447+U447+V447+W447+IF(X447="",0,X447*[1]サマリー!$B$9)+IF(Y447="",0,IF(Y447=200,[1]サマリー!$B$10,IF(Y447=100,[1]サマリー!$B$11,0)))+IF(Z447="",0,Z447*[1]サマリー!$B$12)</f>
        <v>13000</v>
      </c>
      <c r="E447" s="26">
        <f t="shared" si="19"/>
        <v>38000</v>
      </c>
      <c r="I447" s="29"/>
      <c r="J447" s="29"/>
      <c r="K447" s="29"/>
      <c r="L447" s="29"/>
      <c r="M447" s="29"/>
      <c r="N447" s="29"/>
      <c r="O447" s="29"/>
      <c r="P447" s="30">
        <v>1</v>
      </c>
      <c r="Q447" s="30"/>
      <c r="R447" s="30"/>
      <c r="S447" s="31"/>
      <c r="T447" s="31">
        <v>13000</v>
      </c>
      <c r="U447" s="31"/>
      <c r="V447" s="31"/>
      <c r="W447" s="31"/>
      <c r="X447" s="32"/>
      <c r="Y447" s="32"/>
      <c r="Z447" s="32"/>
    </row>
    <row r="448" spans="1:26">
      <c r="A448" s="28"/>
      <c r="B448" s="17">
        <f t="shared" si="22"/>
        <v>46317</v>
      </c>
      <c r="C448" s="26">
        <f>I448+J448+K448+L448+M448+N448+O448+IF(P448="",0,P448*[1]サマリー!$B$9)+IF(Q448="",0,IF(Q448=200,[1]サマリー!$B$10,IF(Q448=100,[1]サマリー!$B$11,0)))+IF(R448="",0,R448*[1]サマリー!$B$12)</f>
        <v>27500</v>
      </c>
      <c r="D448" s="26">
        <f>S448+T448+U448+V448+W448+IF(X448="",0,X448*[1]サマリー!$B$9)+IF(Y448="",0,IF(Y448=200,[1]サマリー!$B$10,IF(Y448=100,[1]サマリー!$B$11,0)))+IF(Z448="",0,Z448*[1]サマリー!$B$12)</f>
        <v>5455</v>
      </c>
      <c r="E448" s="26">
        <f t="shared" si="19"/>
        <v>32955</v>
      </c>
      <c r="I448" s="29"/>
      <c r="J448" s="29">
        <v>27500</v>
      </c>
      <c r="K448" s="29"/>
      <c r="L448" s="29"/>
      <c r="M448" s="29"/>
      <c r="N448" s="29"/>
      <c r="O448" s="29"/>
      <c r="P448" s="30"/>
      <c r="Q448" s="30"/>
      <c r="R448" s="30"/>
      <c r="S448" s="31"/>
      <c r="T448" s="31">
        <v>5455</v>
      </c>
      <c r="U448" s="31"/>
      <c r="V448" s="31"/>
      <c r="W448" s="31"/>
      <c r="X448" s="32"/>
      <c r="Y448" s="32"/>
      <c r="Z448" s="32"/>
    </row>
    <row r="449" spans="1:26">
      <c r="A449" s="28"/>
      <c r="B449" s="17">
        <f t="shared" si="22"/>
        <v>46317</v>
      </c>
      <c r="C449" s="26">
        <f>I449+J449+K449+L449+M449+N449+O449+IF(P449="",0,P449*[1]サマリー!$B$9)+IF(Q449="",0,IF(Q449=200,[1]サマリー!$B$10,IF(Q449=100,[1]サマリー!$B$11,0)))+IF(R449="",0,R449*[1]サマリー!$B$12)</f>
        <v>0</v>
      </c>
      <c r="D449" s="26">
        <f>S449+T449+U449+V449+W449+IF(X449="",0,X449*[1]サマリー!$B$9)+IF(Y449="",0,IF(Y449=200,[1]サマリー!$B$10,IF(Y449=100,[1]サマリー!$B$11,0)))+IF(Z449="",0,Z449*[1]サマリー!$B$12)</f>
        <v>3755</v>
      </c>
      <c r="E449" s="26">
        <f t="shared" si="19"/>
        <v>3755</v>
      </c>
      <c r="I449" s="29"/>
      <c r="J449" s="29"/>
      <c r="K449" s="29"/>
      <c r="L449" s="29"/>
      <c r="M449" s="29"/>
      <c r="N449" s="29"/>
      <c r="O449" s="29"/>
      <c r="P449" s="30"/>
      <c r="Q449" s="30"/>
      <c r="R449" s="30"/>
      <c r="S449" s="31"/>
      <c r="T449" s="31">
        <v>3755</v>
      </c>
      <c r="U449" s="31"/>
      <c r="V449" s="31"/>
      <c r="W449" s="31"/>
      <c r="X449" s="32"/>
      <c r="Y449" s="32"/>
      <c r="Z449" s="32"/>
    </row>
    <row r="450" spans="1:26">
      <c r="A450" s="28">
        <v>23</v>
      </c>
      <c r="B450" s="17">
        <f t="shared" si="22"/>
        <v>46318</v>
      </c>
      <c r="C450" s="26">
        <f>I450+J450+K450+L450+M450+N450+O450+IF(P450="",0,P450*[1]サマリー!$B$9)+IF(Q450="",0,IF(Q450=200,[1]サマリー!$B$10,IF(Q450=100,[1]サマリー!$B$11,0)))+IF(R450="",0,R450*[1]サマリー!$B$12)</f>
        <v>25000</v>
      </c>
      <c r="D450" s="26">
        <f>S450+T450+U450+V450+W450+IF(X450="",0,X450*[1]サマリー!$B$9)+IF(Y450="",0,IF(Y450=200,[1]サマリー!$B$10,IF(Y450=100,[1]サマリー!$B$11,0)))+IF(Z450="",0,Z450*[1]サマリー!$B$12)</f>
        <v>0</v>
      </c>
      <c r="E450" s="26">
        <f t="shared" si="19"/>
        <v>25000</v>
      </c>
      <c r="I450" s="29"/>
      <c r="J450" s="29"/>
      <c r="K450" s="29"/>
      <c r="L450" s="29"/>
      <c r="M450" s="29"/>
      <c r="N450" s="29"/>
      <c r="O450" s="29"/>
      <c r="P450" s="30">
        <v>1</v>
      </c>
      <c r="Q450" s="30"/>
      <c r="R450" s="30"/>
      <c r="S450" s="31"/>
      <c r="T450" s="31"/>
      <c r="U450" s="31"/>
      <c r="V450" s="31"/>
      <c r="W450" s="31"/>
      <c r="X450" s="32"/>
      <c r="Y450" s="32"/>
      <c r="Z450" s="32"/>
    </row>
    <row r="451" spans="1:26">
      <c r="A451" s="28"/>
      <c r="B451" s="17">
        <f t="shared" si="22"/>
        <v>46318</v>
      </c>
      <c r="C451" s="26">
        <f>I451+J451+K451+L451+M451+N451+O451+IF(P451="",0,P451*[1]サマリー!$B$9)+IF(Q451="",0,IF(Q451=200,[1]サマリー!$B$10,IF(Q451=100,[1]サマリー!$B$11,0)))+IF(R451="",0,R451*[1]サマリー!$B$12)</f>
        <v>0</v>
      </c>
      <c r="D451" s="26">
        <f>S451+T451+U451+V451+W451+IF(X451="",0,X451*[1]サマリー!$B$9)+IF(Y451="",0,IF(Y451=200,[1]サマリー!$B$10,IF(Y451=100,[1]サマリー!$B$11,0)))+IF(Z451="",0,Z451*[1]サマリー!$B$12)</f>
        <v>33079</v>
      </c>
      <c r="E451" s="26">
        <f t="shared" si="19"/>
        <v>33079</v>
      </c>
      <c r="I451" s="29"/>
      <c r="J451" s="29"/>
      <c r="K451" s="29"/>
      <c r="L451" s="29"/>
      <c r="M451" s="29"/>
      <c r="N451" s="29"/>
      <c r="O451" s="29"/>
      <c r="P451" s="30"/>
      <c r="Q451" s="30"/>
      <c r="R451" s="30"/>
      <c r="S451" s="31">
        <v>25838</v>
      </c>
      <c r="T451" s="31"/>
      <c r="U451" s="31"/>
      <c r="V451" s="31"/>
      <c r="W451" s="31"/>
      <c r="X451" s="32"/>
      <c r="Y451" s="32">
        <v>200</v>
      </c>
      <c r="Z451" s="32"/>
    </row>
    <row r="452" spans="1:26">
      <c r="A452" s="28"/>
      <c r="B452" s="17">
        <f t="shared" si="22"/>
        <v>46318</v>
      </c>
      <c r="C452" s="26">
        <f>I452+J452+K452+L452+M452+N452+O452+IF(P452="",0,P452*[1]サマリー!$B$9)+IF(Q452="",0,IF(Q452=200,[1]サマリー!$B$10,IF(Q452=100,[1]サマリー!$B$11,0)))+IF(R452="",0,R452*[1]サマリー!$B$12)</f>
        <v>13096</v>
      </c>
      <c r="D452" s="26">
        <f>S452+T452+U452+V452+W452+IF(X452="",0,X452*[1]サマリー!$B$9)+IF(Y452="",0,IF(Y452=200,[1]サマリー!$B$10,IF(Y452=100,[1]サマリー!$B$11,0)))+IF(Z452="",0,Z452*[1]サマリー!$B$12)</f>
        <v>0</v>
      </c>
      <c r="E452" s="26">
        <f t="shared" si="19"/>
        <v>13096</v>
      </c>
      <c r="I452" s="29"/>
      <c r="J452" s="29">
        <v>5855</v>
      </c>
      <c r="K452" s="29"/>
      <c r="L452" s="29"/>
      <c r="M452" s="29"/>
      <c r="N452" s="29"/>
      <c r="O452" s="29"/>
      <c r="P452" s="30"/>
      <c r="Q452" s="30">
        <v>200</v>
      </c>
      <c r="R452" s="30"/>
      <c r="S452" s="31"/>
      <c r="T452" s="31"/>
      <c r="U452" s="31"/>
      <c r="V452" s="31"/>
      <c r="W452" s="31"/>
      <c r="X452" s="32"/>
      <c r="Y452" s="32"/>
      <c r="Z452" s="32"/>
    </row>
    <row r="453" spans="1:26">
      <c r="A453" s="28">
        <v>24</v>
      </c>
      <c r="B453" s="17">
        <f t="shared" si="22"/>
        <v>46319</v>
      </c>
      <c r="C453" s="26">
        <f>I453+J453+K453+L453+M453+N453+O453+IF(P453="",0,P453*[1]サマリー!$B$9)+IF(Q453="",0,IF(Q453=200,[1]サマリー!$B$10,IF(Q453=100,[1]サマリー!$B$11,0)))+IF(R453="",0,R453*[1]サマリー!$B$12)</f>
        <v>7241</v>
      </c>
      <c r="D453" s="26">
        <f>S453+T453+U453+V453+W453+IF(X453="",0,X453*[1]サマリー!$B$9)+IF(Y453="",0,IF(Y453=200,[1]サマリー!$B$10,IF(Y453=100,[1]サマリー!$B$11,0)))+IF(Z453="",0,Z453*[1]サマリー!$B$12)</f>
        <v>0</v>
      </c>
      <c r="E453" s="26">
        <f t="shared" si="19"/>
        <v>7241</v>
      </c>
      <c r="I453" s="29"/>
      <c r="J453" s="29"/>
      <c r="K453" s="29"/>
      <c r="L453" s="29"/>
      <c r="M453" s="29"/>
      <c r="N453" s="29"/>
      <c r="O453" s="29"/>
      <c r="P453" s="30"/>
      <c r="Q453" s="30">
        <v>200</v>
      </c>
      <c r="R453" s="30"/>
      <c r="S453" s="31"/>
      <c r="T453" s="31"/>
      <c r="U453" s="31"/>
      <c r="V453" s="31"/>
      <c r="W453" s="31"/>
      <c r="X453" s="32"/>
      <c r="Y453" s="32"/>
      <c r="Z453" s="32"/>
    </row>
    <row r="454" spans="1:26">
      <c r="A454" s="28"/>
      <c r="B454" s="17">
        <f t="shared" si="22"/>
        <v>46319</v>
      </c>
      <c r="C454" s="26">
        <f>I454+J454+K454+L454+M454+N454+O454+IF(P454="",0,P454*[1]サマリー!$B$9)+IF(Q454="",0,IF(Q454=200,[1]サマリー!$B$10,IF(Q454=100,[1]サマリー!$B$11,0)))+IF(R454="",0,R454*[1]サマリー!$B$12)</f>
        <v>17614</v>
      </c>
      <c r="D454" s="26">
        <f>S454+T454+U454+V454+W454+IF(X454="",0,X454*[1]サマリー!$B$9)+IF(Y454="",0,IF(Y454=200,[1]サマリー!$B$10,IF(Y454=100,[1]サマリー!$B$11,0)))+IF(Z454="",0,Z454*[1]サマリー!$B$12)</f>
        <v>1110</v>
      </c>
      <c r="E454" s="26">
        <f t="shared" si="19"/>
        <v>18724</v>
      </c>
      <c r="I454" s="29"/>
      <c r="J454" s="29">
        <v>5770</v>
      </c>
      <c r="K454" s="29">
        <v>11844</v>
      </c>
      <c r="L454" s="29"/>
      <c r="M454" s="29"/>
      <c r="N454" s="29"/>
      <c r="O454" s="29"/>
      <c r="P454" s="30"/>
      <c r="Q454" s="30"/>
      <c r="R454" s="30"/>
      <c r="S454" s="31">
        <v>1110</v>
      </c>
      <c r="T454" s="31"/>
      <c r="U454" s="31"/>
      <c r="V454" s="31"/>
      <c r="W454" s="31"/>
      <c r="X454" s="32"/>
      <c r="Y454" s="32"/>
      <c r="Z454" s="32"/>
    </row>
    <row r="455" spans="1:26">
      <c r="A455" s="28"/>
      <c r="B455" s="17">
        <f t="shared" si="22"/>
        <v>46319</v>
      </c>
      <c r="C455" s="26">
        <f>I455+J455+K455+L455+M455+N455+O455+IF(P455="",0,P455*[1]サマリー!$B$9)+IF(Q455="",0,IF(Q455=200,[1]サマリー!$B$10,IF(Q455=100,[1]サマリー!$B$11,0)))+IF(R455="",0,R455*[1]サマリー!$B$12)</f>
        <v>0</v>
      </c>
      <c r="D455" s="26">
        <f>S455+T455+U455+V455+W455+IF(X455="",0,X455*[1]サマリー!$B$9)+IF(Y455="",0,IF(Y455=200,[1]サマリー!$B$10,IF(Y455=100,[1]サマリー!$B$11,0)))+IF(Z455="",0,Z455*[1]サマリー!$B$12)</f>
        <v>33079</v>
      </c>
      <c r="E455" s="26">
        <f t="shared" si="19"/>
        <v>33079</v>
      </c>
      <c r="I455" s="29"/>
      <c r="J455" s="29"/>
      <c r="K455" s="29"/>
      <c r="L455" s="29"/>
      <c r="M455" s="29"/>
      <c r="N455" s="29"/>
      <c r="O455" s="29"/>
      <c r="P455" s="30"/>
      <c r="Q455" s="30"/>
      <c r="R455" s="30"/>
      <c r="S455" s="31">
        <v>25838</v>
      </c>
      <c r="T455" s="31"/>
      <c r="U455" s="31"/>
      <c r="V455" s="31"/>
      <c r="W455" s="31"/>
      <c r="X455" s="32"/>
      <c r="Y455" s="32">
        <v>200</v>
      </c>
      <c r="Z455" s="32"/>
    </row>
    <row r="456" spans="1:26">
      <c r="A456" s="28"/>
      <c r="B456" s="17">
        <f t="shared" si="22"/>
        <v>46319</v>
      </c>
      <c r="C456" s="26">
        <f>I456+J456+K456+L456+M456+N456+O456+IF(P456="",0,P456*[1]サマリー!$B$9)+IF(Q456="",0,IF(Q456=200,[1]サマリー!$B$10,IF(Q456=100,[1]サマリー!$B$11,0)))+IF(R456="",0,R456*[1]サマリー!$B$12)</f>
        <v>0</v>
      </c>
      <c r="D456" s="26">
        <f>S456+T456+U456+V456+W456+IF(X456="",0,X456*[1]サマリー!$B$9)+IF(Y456="",0,IF(Y456=200,[1]サマリー!$B$10,IF(Y456=100,[1]サマリー!$B$11,0)))+IF(Z456="",0,Z456*[1]サマリー!$B$12)</f>
        <v>43479</v>
      </c>
      <c r="E456" s="26">
        <f t="shared" si="19"/>
        <v>43479</v>
      </c>
      <c r="I456" s="29"/>
      <c r="J456" s="29"/>
      <c r="K456" s="29"/>
      <c r="L456" s="29"/>
      <c r="M456" s="29"/>
      <c r="N456" s="29"/>
      <c r="O456" s="29"/>
      <c r="P456" s="30"/>
      <c r="Q456" s="30"/>
      <c r="R456" s="30"/>
      <c r="S456" s="31">
        <v>36238</v>
      </c>
      <c r="T456" s="31"/>
      <c r="U456" s="31"/>
      <c r="V456" s="31"/>
      <c r="W456" s="31"/>
      <c r="X456" s="32"/>
      <c r="Y456" s="32">
        <v>200</v>
      </c>
      <c r="Z456" s="32"/>
    </row>
    <row r="457" spans="1:26">
      <c r="A457" s="28"/>
      <c r="B457" s="17">
        <f t="shared" si="22"/>
        <v>46319</v>
      </c>
      <c r="C457" s="26">
        <f>I457+J457+K457+L457+M457+N457+O457+IF(P457="",0,P457*[1]サマリー!$B$9)+IF(Q457="",0,IF(Q457=200,[1]サマリー!$B$10,IF(Q457=100,[1]サマリー!$B$11,0)))+IF(R457="",0,R457*[1]サマリー!$B$12)</f>
        <v>0</v>
      </c>
      <c r="D457" s="26">
        <f>S457+T457+U457+V457+W457+IF(X457="",0,X457*[1]サマリー!$B$9)+IF(Y457="",0,IF(Y457=200,[1]サマリー!$B$10,IF(Y457=100,[1]サマリー!$B$11,0)))+IF(Z457="",0,Z457*[1]サマリー!$B$12)</f>
        <v>19600</v>
      </c>
      <c r="E457" s="26">
        <f t="shared" si="19"/>
        <v>19600</v>
      </c>
      <c r="I457" s="29"/>
      <c r="J457" s="29"/>
      <c r="K457" s="29"/>
      <c r="L457" s="29"/>
      <c r="M457" s="29"/>
      <c r="N457" s="29"/>
      <c r="O457" s="29"/>
      <c r="P457" s="30"/>
      <c r="Q457" s="30"/>
      <c r="R457" s="30"/>
      <c r="S457" s="31"/>
      <c r="T457" s="31">
        <v>19600</v>
      </c>
      <c r="U457" s="31"/>
      <c r="V457" s="31"/>
      <c r="W457" s="31"/>
      <c r="X457" s="32"/>
      <c r="Y457" s="32"/>
      <c r="Z457" s="32"/>
    </row>
    <row r="458" spans="1:26">
      <c r="A458" s="28"/>
      <c r="B458" s="17">
        <f t="shared" si="22"/>
        <v>46319</v>
      </c>
      <c r="C458" s="26">
        <f>I458+J458+K458+L458+M458+N458+O458+IF(P458="",0,P458*[1]サマリー!$B$9)+IF(Q458="",0,IF(Q458=200,[1]サマリー!$B$10,IF(Q458=100,[1]サマリー!$B$11,0)))+IF(R458="",0,R458*[1]サマリー!$B$12)</f>
        <v>37950</v>
      </c>
      <c r="D458" s="26">
        <f>S458+T458+U458+V458+W458+IF(X458="",0,X458*[1]サマリー!$B$9)+IF(Y458="",0,IF(Y458=200,[1]サマリー!$B$10,IF(Y458=100,[1]サマリー!$B$11,0)))+IF(Z458="",0,Z458*[1]サマリー!$B$12)</f>
        <v>0</v>
      </c>
      <c r="E458" s="26">
        <f t="shared" si="19"/>
        <v>37950</v>
      </c>
      <c r="I458" s="29"/>
      <c r="J458" s="29">
        <v>37950</v>
      </c>
      <c r="K458" s="29"/>
      <c r="L458" s="29"/>
      <c r="M458" s="29"/>
      <c r="N458" s="29"/>
      <c r="O458" s="29"/>
      <c r="P458" s="30"/>
      <c r="Q458" s="30"/>
      <c r="R458" s="30"/>
      <c r="S458" s="31"/>
      <c r="T458" s="31"/>
      <c r="U458" s="31"/>
      <c r="V458" s="31"/>
      <c r="W458" s="31"/>
      <c r="X458" s="32"/>
      <c r="Y458" s="32"/>
      <c r="Z458" s="32"/>
    </row>
    <row r="459" spans="1:26">
      <c r="A459" s="28"/>
      <c r="B459" s="17">
        <f t="shared" ref="B449:B512" si="23">IF(A459="",B458,IF(A459&lt;DAY(B458),DATE(YEAR(B458),MONTH(B458)+1,A459),DATE(YEAR(B458),MONTH(B458),A459)))</f>
        <v>46319</v>
      </c>
      <c r="C459" s="26">
        <f>I459+J459+K459+L459+M459+N459+O459+IF(P459="",0,P459*サマリー!$B$9)+IF(Q459="",0,IF(Q459=200,サマリー!$B$10,IF(Q459=100,サマリー!$B$11,0)))+IF(R459="",0,R459*サマリー!$B$12)</f>
        <v>0</v>
      </c>
      <c r="D459" s="26">
        <f>S459+T459+U459+V459+W459+IF(X459="",0,X459*サマリー!$B$9)+IF(Y459="",0,IF(Y459=200,サマリー!$B$10,IF(Y459=100,サマリー!$B$11,0)))+IF(Z459="",0,Z459*サマリー!$B$12)</f>
        <v>0</v>
      </c>
      <c r="E459" s="26">
        <f t="shared" si="19"/>
        <v>0</v>
      </c>
      <c r="I459" s="29"/>
      <c r="J459" s="29"/>
      <c r="K459" s="29"/>
      <c r="L459" s="29"/>
      <c r="M459" s="29"/>
      <c r="N459" s="29"/>
      <c r="O459" s="29"/>
      <c r="P459" s="30"/>
      <c r="Q459" s="30"/>
      <c r="R459" s="30"/>
      <c r="S459" s="31"/>
      <c r="T459" s="31"/>
      <c r="U459" s="31"/>
      <c r="V459" s="31"/>
      <c r="W459" s="31"/>
      <c r="X459" s="32"/>
      <c r="Y459" s="32"/>
      <c r="Z459" s="32"/>
    </row>
    <row r="460" spans="1:26">
      <c r="A460" s="28"/>
      <c r="B460" s="17">
        <f t="shared" si="23"/>
        <v>46319</v>
      </c>
      <c r="C460" s="26">
        <f>I460+J460+K460+L460+M460+N460+O460+IF(P460="",0,P460*サマリー!$B$9)+IF(Q460="",0,IF(Q460=200,サマリー!$B$10,IF(Q460=100,サマリー!$B$11,0)))+IF(R460="",0,R460*サマリー!$B$12)</f>
        <v>0</v>
      </c>
      <c r="D460" s="26">
        <f>S460+T460+U460+V460+W460+IF(X460="",0,X460*サマリー!$B$9)+IF(Y460="",0,IF(Y460=200,サマリー!$B$10,IF(Y460=100,サマリー!$B$11,0)))+IF(Z460="",0,Z460*サマリー!$B$12)</f>
        <v>0</v>
      </c>
      <c r="E460" s="26">
        <f t="shared" si="19"/>
        <v>0</v>
      </c>
      <c r="I460" s="29"/>
      <c r="J460" s="29"/>
      <c r="K460" s="29"/>
      <c r="L460" s="29"/>
      <c r="M460" s="29"/>
      <c r="N460" s="29"/>
      <c r="O460" s="29"/>
      <c r="P460" s="30"/>
      <c r="Q460" s="30"/>
      <c r="R460" s="30"/>
      <c r="S460" s="31"/>
      <c r="T460" s="31"/>
      <c r="U460" s="31"/>
      <c r="V460" s="31"/>
      <c r="W460" s="31"/>
      <c r="X460" s="32"/>
      <c r="Y460" s="32"/>
      <c r="Z460" s="32"/>
    </row>
    <row r="461" spans="1:26">
      <c r="A461" s="28"/>
      <c r="B461" s="17">
        <f t="shared" si="23"/>
        <v>46319</v>
      </c>
      <c r="C461" s="26">
        <f>I461+J461+K461+L461+M461+N461+O461+IF(P461="",0,P461*サマリー!$B$9)+IF(Q461="",0,IF(Q461=200,サマリー!$B$10,IF(Q461=100,サマリー!$B$11,0)))+IF(R461="",0,R461*サマリー!$B$12)</f>
        <v>0</v>
      </c>
      <c r="D461" s="26">
        <f>S461+T461+U461+V461+W461+IF(X461="",0,X461*サマリー!$B$9)+IF(Y461="",0,IF(Y461=200,サマリー!$B$10,IF(Y461=100,サマリー!$B$11,0)))+IF(Z461="",0,Z461*サマリー!$B$12)</f>
        <v>0</v>
      </c>
      <c r="E461" s="26">
        <f t="shared" si="19"/>
        <v>0</v>
      </c>
      <c r="I461" s="29"/>
      <c r="J461" s="29"/>
      <c r="K461" s="29"/>
      <c r="L461" s="29"/>
      <c r="M461" s="29"/>
      <c r="N461" s="29"/>
      <c r="O461" s="29"/>
      <c r="P461" s="30"/>
      <c r="Q461" s="30"/>
      <c r="R461" s="30"/>
      <c r="S461" s="31"/>
      <c r="T461" s="31"/>
      <c r="U461" s="31"/>
      <c r="V461" s="31"/>
      <c r="W461" s="31"/>
      <c r="X461" s="32"/>
      <c r="Y461" s="32"/>
      <c r="Z461" s="32"/>
    </row>
    <row r="462" spans="1:26">
      <c r="A462" s="28"/>
      <c r="B462" s="17">
        <f t="shared" si="23"/>
        <v>46319</v>
      </c>
      <c r="C462" s="26">
        <f>I462+J462+K462+L462+M462+N462+O462+IF(P462="",0,P462*サマリー!$B$9)+IF(Q462="",0,IF(Q462=200,サマリー!$B$10,IF(Q462=100,サマリー!$B$11,0)))+IF(R462="",0,R462*サマリー!$B$12)</f>
        <v>0</v>
      </c>
      <c r="D462" s="26">
        <f>S462+T462+U462+V462+W462+IF(X462="",0,X462*サマリー!$B$9)+IF(Y462="",0,IF(Y462=200,サマリー!$B$10,IF(Y462=100,サマリー!$B$11,0)))+IF(Z462="",0,Z462*サマリー!$B$12)</f>
        <v>0</v>
      </c>
      <c r="E462" s="26">
        <f t="shared" si="19"/>
        <v>0</v>
      </c>
      <c r="I462" s="29"/>
      <c r="J462" s="29"/>
      <c r="K462" s="29"/>
      <c r="L462" s="29"/>
      <c r="M462" s="29"/>
      <c r="N462" s="29"/>
      <c r="O462" s="29"/>
      <c r="P462" s="30"/>
      <c r="Q462" s="30"/>
      <c r="R462" s="30"/>
      <c r="S462" s="31"/>
      <c r="T462" s="31"/>
      <c r="U462" s="31"/>
      <c r="V462" s="31"/>
      <c r="W462" s="31"/>
      <c r="X462" s="32"/>
      <c r="Y462" s="32"/>
      <c r="Z462" s="32"/>
    </row>
    <row r="463" spans="1:26">
      <c r="A463" s="28"/>
      <c r="B463" s="17">
        <f t="shared" si="23"/>
        <v>46319</v>
      </c>
      <c r="C463" s="26">
        <f>I463+J463+K463+L463+M463+N463+O463+IF(P463="",0,P463*サマリー!$B$9)+IF(Q463="",0,IF(Q463=200,サマリー!$B$10,IF(Q463=100,サマリー!$B$11,0)))+IF(R463="",0,R463*サマリー!$B$12)</f>
        <v>0</v>
      </c>
      <c r="D463" s="26">
        <f>S463+T463+U463+V463+W463+IF(X463="",0,X463*サマリー!$B$9)+IF(Y463="",0,IF(Y463=200,サマリー!$B$10,IF(Y463=100,サマリー!$B$11,0)))+IF(Z463="",0,Z463*サマリー!$B$12)</f>
        <v>0</v>
      </c>
      <c r="E463" s="26">
        <f t="shared" si="19"/>
        <v>0</v>
      </c>
      <c r="I463" s="29"/>
      <c r="J463" s="29"/>
      <c r="K463" s="29"/>
      <c r="L463" s="29"/>
      <c r="M463" s="29"/>
      <c r="N463" s="29"/>
      <c r="O463" s="29"/>
      <c r="P463" s="30"/>
      <c r="Q463" s="30"/>
      <c r="R463" s="30"/>
      <c r="S463" s="31"/>
      <c r="T463" s="31"/>
      <c r="U463" s="31"/>
      <c r="V463" s="31"/>
      <c r="W463" s="31"/>
      <c r="X463" s="32"/>
      <c r="Y463" s="32"/>
      <c r="Z463" s="32"/>
    </row>
    <row r="464" spans="1:26">
      <c r="A464" s="28"/>
      <c r="B464" s="17">
        <f t="shared" si="23"/>
        <v>46319</v>
      </c>
      <c r="C464" s="26">
        <f>I464+J464+K464+L464+M464+N464+O464+IF(P464="",0,P464*サマリー!$B$9)+IF(Q464="",0,IF(Q464=200,サマリー!$B$10,IF(Q464=100,サマリー!$B$11,0)))+IF(R464="",0,R464*サマリー!$B$12)</f>
        <v>0</v>
      </c>
      <c r="D464" s="26">
        <f>S464+T464+U464+V464+W464+IF(X464="",0,X464*サマリー!$B$9)+IF(Y464="",0,IF(Y464=200,サマリー!$B$10,IF(Y464=100,サマリー!$B$11,0)))+IF(Z464="",0,Z464*サマリー!$B$12)</f>
        <v>0</v>
      </c>
      <c r="E464" s="26">
        <f t="shared" si="19"/>
        <v>0</v>
      </c>
      <c r="I464" s="29"/>
      <c r="J464" s="29"/>
      <c r="K464" s="29"/>
      <c r="L464" s="29"/>
      <c r="M464" s="29"/>
      <c r="N464" s="29"/>
      <c r="O464" s="29"/>
      <c r="P464" s="30"/>
      <c r="Q464" s="30"/>
      <c r="R464" s="30"/>
      <c r="S464" s="31"/>
      <c r="T464" s="31"/>
      <c r="U464" s="31"/>
      <c r="V464" s="31"/>
      <c r="W464" s="31"/>
      <c r="X464" s="32"/>
      <c r="Y464" s="32"/>
      <c r="Z464" s="32"/>
    </row>
    <row r="465" spans="1:26">
      <c r="A465" s="28"/>
      <c r="B465" s="17">
        <f t="shared" si="23"/>
        <v>46319</v>
      </c>
      <c r="C465" s="26">
        <f>I465+J465+K465+L465+M465+N465+O465+IF(P465="",0,P465*サマリー!$B$9)+IF(Q465="",0,IF(Q465=200,サマリー!$B$10,IF(Q465=100,サマリー!$B$11,0)))+IF(R465="",0,R465*サマリー!$B$12)</f>
        <v>0</v>
      </c>
      <c r="D465" s="26">
        <f>S465+T465+U465+V465+W465+IF(X465="",0,X465*サマリー!$B$9)+IF(Y465="",0,IF(Y465=200,サマリー!$B$10,IF(Y465=100,サマリー!$B$11,0)))+IF(Z465="",0,Z465*サマリー!$B$12)</f>
        <v>0</v>
      </c>
      <c r="E465" s="26">
        <f t="shared" si="19"/>
        <v>0</v>
      </c>
      <c r="I465" s="29"/>
      <c r="J465" s="29"/>
      <c r="K465" s="29"/>
      <c r="L465" s="29"/>
      <c r="M465" s="29"/>
      <c r="N465" s="29"/>
      <c r="O465" s="29"/>
      <c r="P465" s="30"/>
      <c r="Q465" s="30"/>
      <c r="R465" s="30"/>
      <c r="S465" s="31"/>
      <c r="T465" s="31"/>
      <c r="U465" s="31"/>
      <c r="V465" s="31"/>
      <c r="W465" s="31"/>
      <c r="X465" s="32"/>
      <c r="Y465" s="32"/>
      <c r="Z465" s="32"/>
    </row>
    <row r="466" spans="1:26">
      <c r="A466" s="28"/>
      <c r="B466" s="17">
        <f t="shared" si="23"/>
        <v>46319</v>
      </c>
      <c r="C466" s="26">
        <f>I466+J466+K466+L466+M466+N466+O466+IF(P466="",0,P466*サマリー!$B$9)+IF(Q466="",0,IF(Q466=200,サマリー!$B$10,IF(Q466=100,サマリー!$B$11,0)))+IF(R466="",0,R466*サマリー!$B$12)</f>
        <v>0</v>
      </c>
      <c r="D466" s="26">
        <f>S466+T466+U466+V466+W466+IF(X466="",0,X466*サマリー!$B$9)+IF(Y466="",0,IF(Y466=200,サマリー!$B$10,IF(Y466=100,サマリー!$B$11,0)))+IF(Z466="",0,Z466*サマリー!$B$12)</f>
        <v>0</v>
      </c>
      <c r="E466" s="26">
        <f t="shared" si="19"/>
        <v>0</v>
      </c>
      <c r="I466" s="29"/>
      <c r="J466" s="29"/>
      <c r="K466" s="29"/>
      <c r="L466" s="29"/>
      <c r="M466" s="29"/>
      <c r="N466" s="29"/>
      <c r="O466" s="29"/>
      <c r="P466" s="30"/>
      <c r="Q466" s="30"/>
      <c r="R466" s="30"/>
      <c r="S466" s="31"/>
      <c r="T466" s="31"/>
      <c r="U466" s="31"/>
      <c r="V466" s="31"/>
      <c r="W466" s="31"/>
      <c r="X466" s="32"/>
      <c r="Y466" s="32"/>
      <c r="Z466" s="32"/>
    </row>
    <row r="467" spans="1:26">
      <c r="A467" s="28"/>
      <c r="B467" s="17">
        <f t="shared" si="23"/>
        <v>46319</v>
      </c>
      <c r="C467" s="26">
        <f>I467+J467+K467+L467+M467+N467+O467+IF(P467="",0,P467*サマリー!$B$9)+IF(Q467="",0,IF(Q467=200,サマリー!$B$10,IF(Q467=100,サマリー!$B$11,0)))+IF(R467="",0,R467*サマリー!$B$12)</f>
        <v>0</v>
      </c>
      <c r="D467" s="26">
        <f>S467+T467+U467+V467+W467+IF(X467="",0,X467*サマリー!$B$9)+IF(Y467="",0,IF(Y467=200,サマリー!$B$10,IF(Y467=100,サマリー!$B$11,0)))+IF(Z467="",0,Z467*サマリー!$B$12)</f>
        <v>0</v>
      </c>
      <c r="E467" s="26">
        <f t="shared" si="19"/>
        <v>0</v>
      </c>
      <c r="I467" s="29"/>
      <c r="J467" s="29"/>
      <c r="K467" s="29"/>
      <c r="L467" s="29"/>
      <c r="M467" s="29"/>
      <c r="N467" s="29"/>
      <c r="O467" s="29"/>
      <c r="P467" s="30"/>
      <c r="Q467" s="30"/>
      <c r="R467" s="30"/>
      <c r="S467" s="31"/>
      <c r="T467" s="31"/>
      <c r="U467" s="31"/>
      <c r="V467" s="31"/>
      <c r="W467" s="31"/>
      <c r="X467" s="32"/>
      <c r="Y467" s="32"/>
      <c r="Z467" s="32"/>
    </row>
    <row r="468" spans="1:26">
      <c r="A468" s="28"/>
      <c r="B468" s="17">
        <f t="shared" si="23"/>
        <v>46319</v>
      </c>
      <c r="C468" s="26">
        <f>I468+J468+K468+L468+M468+N468+O468+IF(P468="",0,P468*サマリー!$B$9)+IF(Q468="",0,IF(Q468=200,サマリー!$B$10,IF(Q468=100,サマリー!$B$11,0)))+IF(R468="",0,R468*サマリー!$B$12)</f>
        <v>0</v>
      </c>
      <c r="D468" s="26">
        <f>S468+T468+U468+V468+W468+IF(X468="",0,X468*サマリー!$B$9)+IF(Y468="",0,IF(Y468=200,サマリー!$B$10,IF(Y468=100,サマリー!$B$11,0)))+IF(Z468="",0,Z468*サマリー!$B$12)</f>
        <v>0</v>
      </c>
      <c r="E468" s="26">
        <f t="shared" si="19"/>
        <v>0</v>
      </c>
      <c r="I468" s="29"/>
      <c r="J468" s="29"/>
      <c r="K468" s="29"/>
      <c r="L468" s="29"/>
      <c r="M468" s="29"/>
      <c r="N468" s="29"/>
      <c r="O468" s="29"/>
      <c r="P468" s="30"/>
      <c r="Q468" s="30"/>
      <c r="R468" s="30"/>
      <c r="S468" s="31"/>
      <c r="T468" s="31"/>
      <c r="U468" s="31"/>
      <c r="V468" s="31"/>
      <c r="W468" s="31"/>
      <c r="X468" s="32"/>
      <c r="Y468" s="32"/>
      <c r="Z468" s="32"/>
    </row>
    <row r="469" spans="1:26">
      <c r="A469" s="28"/>
      <c r="B469" s="17">
        <f t="shared" si="23"/>
        <v>46319</v>
      </c>
      <c r="C469" s="26">
        <f>I469+J469+K469+L469+M469+N469+O469+IF(P469="",0,P469*サマリー!$B$9)+IF(Q469="",0,IF(Q469=200,サマリー!$B$10,IF(Q469=100,サマリー!$B$11,0)))+IF(R469="",0,R469*サマリー!$B$12)</f>
        <v>0</v>
      </c>
      <c r="D469" s="26">
        <f>S469+T469+U469+V469+W469+IF(X469="",0,X469*サマリー!$B$9)+IF(Y469="",0,IF(Y469=200,サマリー!$B$10,IF(Y469=100,サマリー!$B$11,0)))+IF(Z469="",0,Z469*サマリー!$B$12)</f>
        <v>0</v>
      </c>
      <c r="E469" s="26">
        <f t="shared" si="19"/>
        <v>0</v>
      </c>
      <c r="I469" s="29"/>
      <c r="J469" s="29"/>
      <c r="K469" s="29"/>
      <c r="L469" s="29"/>
      <c r="M469" s="29"/>
      <c r="N469" s="29"/>
      <c r="O469" s="29"/>
      <c r="P469" s="30"/>
      <c r="Q469" s="30"/>
      <c r="R469" s="30"/>
      <c r="S469" s="31"/>
      <c r="T469" s="31"/>
      <c r="U469" s="31"/>
      <c r="V469" s="31"/>
      <c r="W469" s="31"/>
      <c r="X469" s="32"/>
      <c r="Y469" s="32"/>
      <c r="Z469" s="32"/>
    </row>
    <row r="470" spans="1:26">
      <c r="A470" s="28"/>
      <c r="B470" s="17">
        <f t="shared" si="23"/>
        <v>46319</v>
      </c>
      <c r="C470" s="26">
        <f>I470+J470+K470+L470+M470+N470+O470+IF(P470="",0,P470*サマリー!$B$9)+IF(Q470="",0,IF(Q470=200,サマリー!$B$10,IF(Q470=100,サマリー!$B$11,0)))+IF(R470="",0,R470*サマリー!$B$12)</f>
        <v>0</v>
      </c>
      <c r="D470" s="26">
        <f>S470+T470+U470+V470+W470+IF(X470="",0,X470*サマリー!$B$9)+IF(Y470="",0,IF(Y470=200,サマリー!$B$10,IF(Y470=100,サマリー!$B$11,0)))+IF(Z470="",0,Z470*サマリー!$B$12)</f>
        <v>0</v>
      </c>
      <c r="E470" s="26">
        <f t="shared" si="19"/>
        <v>0</v>
      </c>
      <c r="I470" s="29"/>
      <c r="J470" s="29"/>
      <c r="K470" s="29"/>
      <c r="L470" s="29"/>
      <c r="M470" s="29"/>
      <c r="N470" s="29"/>
      <c r="O470" s="29"/>
      <c r="P470" s="30"/>
      <c r="Q470" s="30"/>
      <c r="R470" s="30"/>
      <c r="S470" s="31"/>
      <c r="T470" s="31"/>
      <c r="U470" s="31"/>
      <c r="V470" s="31"/>
      <c r="W470" s="31"/>
      <c r="X470" s="32"/>
      <c r="Y470" s="32"/>
      <c r="Z470" s="32"/>
    </row>
    <row r="471" spans="1:26">
      <c r="A471" s="28"/>
      <c r="B471" s="17">
        <f t="shared" si="23"/>
        <v>46319</v>
      </c>
      <c r="C471" s="26">
        <f>I471+J471+K471+L471+M471+N471+O471+IF(P471="",0,P471*サマリー!$B$9)+IF(Q471="",0,IF(Q471=200,サマリー!$B$10,IF(Q471=100,サマリー!$B$11,0)))+IF(R471="",0,R471*サマリー!$B$12)</f>
        <v>0</v>
      </c>
      <c r="D471" s="26">
        <f>S471+T471+U471+V471+W471+IF(X471="",0,X471*サマリー!$B$9)+IF(Y471="",0,IF(Y471=200,サマリー!$B$10,IF(Y471=100,サマリー!$B$11,0)))+IF(Z471="",0,Z471*サマリー!$B$12)</f>
        <v>0</v>
      </c>
      <c r="E471" s="26">
        <f t="shared" si="19"/>
        <v>0</v>
      </c>
      <c r="I471" s="29"/>
      <c r="J471" s="29"/>
      <c r="K471" s="29"/>
      <c r="L471" s="29"/>
      <c r="M471" s="29"/>
      <c r="N471" s="29"/>
      <c r="O471" s="29"/>
      <c r="P471" s="30"/>
      <c r="Q471" s="30"/>
      <c r="R471" s="30"/>
      <c r="S471" s="31"/>
      <c r="T471" s="31"/>
      <c r="U471" s="31"/>
      <c r="V471" s="31"/>
      <c r="W471" s="31"/>
      <c r="X471" s="32"/>
      <c r="Y471" s="32"/>
      <c r="Z471" s="32"/>
    </row>
    <row r="472" spans="1:26">
      <c r="A472" s="28"/>
      <c r="B472" s="17">
        <f t="shared" si="23"/>
        <v>46319</v>
      </c>
      <c r="C472" s="26">
        <f>I472+J472+K472+L472+M472+N472+O472+IF(P472="",0,P472*サマリー!$B$9)+IF(Q472="",0,IF(Q472=200,サマリー!$B$10,IF(Q472=100,サマリー!$B$11,0)))+IF(R472="",0,R472*サマリー!$B$12)</f>
        <v>0</v>
      </c>
      <c r="D472" s="26">
        <f>S472+T472+U472+V472+W472+IF(X472="",0,X472*サマリー!$B$9)+IF(Y472="",0,IF(Y472=200,サマリー!$B$10,IF(Y472=100,サマリー!$B$11,0)))+IF(Z472="",0,Z472*サマリー!$B$12)</f>
        <v>0</v>
      </c>
      <c r="E472" s="26">
        <f t="shared" si="19"/>
        <v>0</v>
      </c>
      <c r="I472" s="29"/>
      <c r="J472" s="29"/>
      <c r="K472" s="29"/>
      <c r="L472" s="29"/>
      <c r="M472" s="29"/>
      <c r="N472" s="29"/>
      <c r="O472" s="29"/>
      <c r="P472" s="30"/>
      <c r="Q472" s="30"/>
      <c r="R472" s="30"/>
      <c r="S472" s="31"/>
      <c r="T472" s="31"/>
      <c r="U472" s="31"/>
      <c r="V472" s="31"/>
      <c r="W472" s="31"/>
      <c r="X472" s="32"/>
      <c r="Y472" s="32"/>
      <c r="Z472" s="32"/>
    </row>
    <row r="473" spans="1:26">
      <c r="A473" s="28"/>
      <c r="B473" s="17">
        <f t="shared" si="23"/>
        <v>46319</v>
      </c>
      <c r="C473" s="26">
        <f>I473+J473+K473+L473+M473+N473+O473+IF(P473="",0,P473*サマリー!$B$9)+IF(Q473="",0,IF(Q473=200,サマリー!$B$10,IF(Q473=100,サマリー!$B$11,0)))+IF(R473="",0,R473*サマリー!$B$12)</f>
        <v>0</v>
      </c>
      <c r="D473" s="26">
        <f>S473+T473+U473+V473+W473+IF(X473="",0,X473*サマリー!$B$9)+IF(Y473="",0,IF(Y473=200,サマリー!$B$10,IF(Y473=100,サマリー!$B$11,0)))+IF(Z473="",0,Z473*サマリー!$B$12)</f>
        <v>0</v>
      </c>
      <c r="E473" s="26">
        <f t="shared" si="19"/>
        <v>0</v>
      </c>
      <c r="I473" s="29"/>
      <c r="J473" s="29"/>
      <c r="K473" s="29"/>
      <c r="L473" s="29"/>
      <c r="M473" s="29"/>
      <c r="N473" s="29"/>
      <c r="O473" s="29"/>
      <c r="P473" s="30"/>
      <c r="Q473" s="30"/>
      <c r="R473" s="30"/>
      <c r="S473" s="31"/>
      <c r="T473" s="31"/>
      <c r="U473" s="31"/>
      <c r="V473" s="31"/>
      <c r="W473" s="31"/>
      <c r="X473" s="32"/>
      <c r="Y473" s="32"/>
      <c r="Z473" s="32"/>
    </row>
    <row r="474" spans="1:26">
      <c r="A474" s="28"/>
      <c r="B474" s="17">
        <f t="shared" si="23"/>
        <v>46319</v>
      </c>
      <c r="C474" s="26">
        <f>I474+J474+K474+L474+M474+N474+O474+IF(P474="",0,P474*サマリー!$B$9)+IF(Q474="",0,IF(Q474=200,サマリー!$B$10,IF(Q474=100,サマリー!$B$11,0)))+IF(R474="",0,R474*サマリー!$B$12)</f>
        <v>0</v>
      </c>
      <c r="D474" s="26">
        <f>S474+T474+U474+V474+W474+IF(X474="",0,X474*サマリー!$B$9)+IF(Y474="",0,IF(Y474=200,サマリー!$B$10,IF(Y474=100,サマリー!$B$11,0)))+IF(Z474="",0,Z474*サマリー!$B$12)</f>
        <v>0</v>
      </c>
      <c r="E474" s="26">
        <f t="shared" si="19"/>
        <v>0</v>
      </c>
      <c r="I474" s="29"/>
      <c r="J474" s="29"/>
      <c r="K474" s="29"/>
      <c r="L474" s="29"/>
      <c r="M474" s="29"/>
      <c r="N474" s="29"/>
      <c r="O474" s="29"/>
      <c r="P474" s="30"/>
      <c r="Q474" s="30"/>
      <c r="R474" s="30"/>
      <c r="S474" s="31"/>
      <c r="T474" s="31"/>
      <c r="U474" s="31"/>
      <c r="V474" s="31"/>
      <c r="W474" s="31"/>
      <c r="X474" s="32"/>
      <c r="Y474" s="32"/>
      <c r="Z474" s="32"/>
    </row>
    <row r="475" spans="1:26">
      <c r="A475" s="28"/>
      <c r="B475" s="17">
        <f t="shared" si="23"/>
        <v>46319</v>
      </c>
      <c r="C475" s="26">
        <f>I475+J475+K475+L475+M475+N475+O475+IF(P475="",0,P475*サマリー!$B$9)+IF(Q475="",0,IF(Q475=200,サマリー!$B$10,IF(Q475=100,サマリー!$B$11,0)))+IF(R475="",0,R475*サマリー!$B$12)</f>
        <v>0</v>
      </c>
      <c r="D475" s="26">
        <f>S475+T475+U475+V475+W475+IF(X475="",0,X475*サマリー!$B$9)+IF(Y475="",0,IF(Y475=200,サマリー!$B$10,IF(Y475=100,サマリー!$B$11,0)))+IF(Z475="",0,Z475*サマリー!$B$12)</f>
        <v>0</v>
      </c>
      <c r="E475" s="26">
        <f t="shared" si="19"/>
        <v>0</v>
      </c>
      <c r="I475" s="29"/>
      <c r="J475" s="29"/>
      <c r="K475" s="29"/>
      <c r="L475" s="29"/>
      <c r="M475" s="29"/>
      <c r="N475" s="29"/>
      <c r="O475" s="29"/>
      <c r="P475" s="30"/>
      <c r="Q475" s="30"/>
      <c r="R475" s="30"/>
      <c r="S475" s="31"/>
      <c r="T475" s="31"/>
      <c r="U475" s="31"/>
      <c r="V475" s="31"/>
      <c r="W475" s="31"/>
      <c r="X475" s="32"/>
      <c r="Y475" s="32"/>
      <c r="Z475" s="32"/>
    </row>
    <row r="476" spans="1:26">
      <c r="A476" s="28"/>
      <c r="B476" s="17">
        <f t="shared" si="23"/>
        <v>46319</v>
      </c>
      <c r="C476" s="26">
        <f>I476+J476+K476+L476+M476+N476+O476+IF(P476="",0,P476*サマリー!$B$9)+IF(Q476="",0,IF(Q476=200,サマリー!$B$10,IF(Q476=100,サマリー!$B$11,0)))+IF(R476="",0,R476*サマリー!$B$12)</f>
        <v>0</v>
      </c>
      <c r="D476" s="26">
        <f>S476+T476+U476+V476+W476+IF(X476="",0,X476*サマリー!$B$9)+IF(Y476="",0,IF(Y476=200,サマリー!$B$10,IF(Y476=100,サマリー!$B$11,0)))+IF(Z476="",0,Z476*サマリー!$B$12)</f>
        <v>0</v>
      </c>
      <c r="E476" s="26">
        <f t="shared" si="19"/>
        <v>0</v>
      </c>
      <c r="I476" s="29"/>
      <c r="J476" s="29"/>
      <c r="K476" s="29"/>
      <c r="L476" s="29"/>
      <c r="M476" s="29"/>
      <c r="N476" s="29"/>
      <c r="O476" s="29"/>
      <c r="P476" s="30"/>
      <c r="Q476" s="30"/>
      <c r="R476" s="30"/>
      <c r="S476" s="31"/>
      <c r="T476" s="31"/>
      <c r="U476" s="31"/>
      <c r="V476" s="31"/>
      <c r="W476" s="31"/>
      <c r="X476" s="32"/>
      <c r="Y476" s="32"/>
      <c r="Z476" s="32"/>
    </row>
    <row r="477" spans="1:26">
      <c r="A477" s="28"/>
      <c r="B477" s="17">
        <f t="shared" si="23"/>
        <v>46319</v>
      </c>
      <c r="C477" s="26">
        <f>I477+J477+K477+L477+M477+N477+O477+IF(P477="",0,P477*サマリー!$B$9)+IF(Q477="",0,IF(Q477=200,サマリー!$B$10,IF(Q477=100,サマリー!$B$11,0)))+IF(R477="",0,R477*サマリー!$B$12)</f>
        <v>0</v>
      </c>
      <c r="D477" s="26">
        <f>S477+T477+U477+V477+W477+IF(X477="",0,X477*サマリー!$B$9)+IF(Y477="",0,IF(Y477=200,サマリー!$B$10,IF(Y477=100,サマリー!$B$11,0)))+IF(Z477="",0,Z477*サマリー!$B$12)</f>
        <v>0</v>
      </c>
      <c r="E477" s="26">
        <f t="shared" si="19"/>
        <v>0</v>
      </c>
      <c r="I477" s="29"/>
      <c r="J477" s="29"/>
      <c r="K477" s="29"/>
      <c r="L477" s="29"/>
      <c r="M477" s="29"/>
      <c r="N477" s="29"/>
      <c r="O477" s="29"/>
      <c r="P477" s="30"/>
      <c r="Q477" s="30"/>
      <c r="R477" s="30"/>
      <c r="S477" s="31"/>
      <c r="T477" s="31"/>
      <c r="U477" s="31"/>
      <c r="V477" s="31"/>
      <c r="W477" s="31"/>
      <c r="X477" s="32"/>
      <c r="Y477" s="32"/>
      <c r="Z477" s="32"/>
    </row>
    <row r="478" spans="1:26">
      <c r="A478" s="28"/>
      <c r="B478" s="17">
        <f t="shared" si="23"/>
        <v>46319</v>
      </c>
      <c r="C478" s="26">
        <f>I478+J478+K478+L478+M478+N478+O478+IF(P478="",0,P478*サマリー!$B$9)+IF(Q478="",0,IF(Q478=200,サマリー!$B$10,IF(Q478=100,サマリー!$B$11,0)))+IF(R478="",0,R478*サマリー!$B$12)</f>
        <v>0</v>
      </c>
      <c r="D478" s="26">
        <f>S478+T478+U478+V478+W478+IF(X478="",0,X478*サマリー!$B$9)+IF(Y478="",0,IF(Y478=200,サマリー!$B$10,IF(Y478=100,サマリー!$B$11,0)))+IF(Z478="",0,Z478*サマリー!$B$12)</f>
        <v>0</v>
      </c>
      <c r="E478" s="26">
        <f t="shared" si="19"/>
        <v>0</v>
      </c>
      <c r="I478" s="29"/>
      <c r="J478" s="29"/>
      <c r="K478" s="29"/>
      <c r="L478" s="29"/>
      <c r="M478" s="29"/>
      <c r="N478" s="29"/>
      <c r="O478" s="29"/>
      <c r="P478" s="30"/>
      <c r="Q478" s="30"/>
      <c r="R478" s="30"/>
      <c r="S478" s="31"/>
      <c r="T478" s="31"/>
      <c r="U478" s="31"/>
      <c r="V478" s="31"/>
      <c r="W478" s="31"/>
      <c r="X478" s="32"/>
      <c r="Y478" s="32"/>
      <c r="Z478" s="32"/>
    </row>
    <row r="479" spans="1:26">
      <c r="A479" s="28"/>
      <c r="B479" s="17">
        <f t="shared" si="23"/>
        <v>46319</v>
      </c>
      <c r="C479" s="26">
        <f>I479+J479+K479+L479+M479+N479+O479+IF(P479="",0,P479*サマリー!$B$9)+IF(Q479="",0,IF(Q479=200,サマリー!$B$10,IF(Q479=100,サマリー!$B$11,0)))+IF(R479="",0,R479*サマリー!$B$12)</f>
        <v>0</v>
      </c>
      <c r="D479" s="26">
        <f>S479+T479+U479+V479+W479+IF(X479="",0,X479*サマリー!$B$9)+IF(Y479="",0,IF(Y479=200,サマリー!$B$10,IF(Y479=100,サマリー!$B$11,0)))+IF(Z479="",0,Z479*サマリー!$B$12)</f>
        <v>0</v>
      </c>
      <c r="E479" s="26">
        <f t="shared" si="19"/>
        <v>0</v>
      </c>
      <c r="I479" s="29"/>
      <c r="J479" s="29"/>
      <c r="K479" s="29"/>
      <c r="L479" s="29"/>
      <c r="M479" s="29"/>
      <c r="N479" s="29"/>
      <c r="O479" s="29"/>
      <c r="P479" s="30"/>
      <c r="Q479" s="30"/>
      <c r="R479" s="30"/>
      <c r="S479" s="31"/>
      <c r="T479" s="31"/>
      <c r="U479" s="31"/>
      <c r="V479" s="31"/>
      <c r="W479" s="31"/>
      <c r="X479" s="32"/>
      <c r="Y479" s="32"/>
      <c r="Z479" s="32"/>
    </row>
    <row r="480" spans="1:26">
      <c r="A480" s="28"/>
      <c r="B480" s="17">
        <f t="shared" si="23"/>
        <v>46319</v>
      </c>
      <c r="C480" s="26">
        <f>I480+J480+K480+L480+M480+N480+O480+IF(P480="",0,P480*サマリー!$B$9)+IF(Q480="",0,IF(Q480=200,サマリー!$B$10,IF(Q480=100,サマリー!$B$11,0)))+IF(R480="",0,R480*サマリー!$B$12)</f>
        <v>0</v>
      </c>
      <c r="D480" s="26">
        <f>S480+T480+U480+V480+W480+IF(X480="",0,X480*サマリー!$B$9)+IF(Y480="",0,IF(Y480=200,サマリー!$B$10,IF(Y480=100,サマリー!$B$11,0)))+IF(Z480="",0,Z480*サマリー!$B$12)</f>
        <v>0</v>
      </c>
      <c r="E480" s="26">
        <f t="shared" si="19"/>
        <v>0</v>
      </c>
      <c r="I480" s="29"/>
      <c r="J480" s="29"/>
      <c r="K480" s="29"/>
      <c r="L480" s="29"/>
      <c r="M480" s="29"/>
      <c r="N480" s="29"/>
      <c r="O480" s="29"/>
      <c r="P480" s="30"/>
      <c r="Q480" s="30"/>
      <c r="R480" s="30"/>
      <c r="S480" s="31"/>
      <c r="T480" s="31"/>
      <c r="U480" s="31"/>
      <c r="V480" s="31"/>
      <c r="W480" s="31"/>
      <c r="X480" s="32"/>
      <c r="Y480" s="32"/>
      <c r="Z480" s="32"/>
    </row>
    <row r="481" spans="1:26">
      <c r="A481" s="28"/>
      <c r="B481" s="17">
        <f t="shared" si="23"/>
        <v>46319</v>
      </c>
      <c r="C481" s="26">
        <f>I481+J481+K481+L481+M481+N481+O481+IF(P481="",0,P481*サマリー!$B$9)+IF(Q481="",0,IF(Q481=200,サマリー!$B$10,IF(Q481=100,サマリー!$B$11,0)))+IF(R481="",0,R481*サマリー!$B$12)</f>
        <v>0</v>
      </c>
      <c r="D481" s="26">
        <f>S481+T481+U481+V481+W481+IF(X481="",0,X481*サマリー!$B$9)+IF(Y481="",0,IF(Y481=200,サマリー!$B$10,IF(Y481=100,サマリー!$B$11,0)))+IF(Z481="",0,Z481*サマリー!$B$12)</f>
        <v>0</v>
      </c>
      <c r="E481" s="26">
        <f t="shared" si="19"/>
        <v>0</v>
      </c>
      <c r="I481" s="29"/>
      <c r="J481" s="29"/>
      <c r="K481" s="29"/>
      <c r="L481" s="29"/>
      <c r="M481" s="29"/>
      <c r="N481" s="29"/>
      <c r="O481" s="29"/>
      <c r="P481" s="30"/>
      <c r="Q481" s="30"/>
      <c r="R481" s="30"/>
      <c r="S481" s="31"/>
      <c r="T481" s="31"/>
      <c r="U481" s="31"/>
      <c r="V481" s="31"/>
      <c r="W481" s="31"/>
      <c r="X481" s="32"/>
      <c r="Y481" s="32"/>
      <c r="Z481" s="32"/>
    </row>
    <row r="482" spans="1:26">
      <c r="A482" s="28"/>
      <c r="B482" s="17">
        <f t="shared" si="23"/>
        <v>46319</v>
      </c>
      <c r="C482" s="26">
        <f>I482+J482+K482+L482+M482+N482+O482+IF(P482="",0,P482*サマリー!$B$9)+IF(Q482="",0,IF(Q482=200,サマリー!$B$10,IF(Q482=100,サマリー!$B$11,0)))+IF(R482="",0,R482*サマリー!$B$12)</f>
        <v>0</v>
      </c>
      <c r="D482" s="26">
        <f>S482+T482+U482+V482+W482+IF(X482="",0,X482*サマリー!$B$9)+IF(Y482="",0,IF(Y482=200,サマリー!$B$10,IF(Y482=100,サマリー!$B$11,0)))+IF(Z482="",0,Z482*サマリー!$B$12)</f>
        <v>0</v>
      </c>
      <c r="E482" s="26">
        <f t="shared" si="19"/>
        <v>0</v>
      </c>
      <c r="I482" s="29"/>
      <c r="J482" s="29"/>
      <c r="K482" s="29"/>
      <c r="L482" s="29"/>
      <c r="M482" s="29"/>
      <c r="N482" s="29"/>
      <c r="O482" s="29"/>
      <c r="P482" s="30"/>
      <c r="Q482" s="30"/>
      <c r="R482" s="30"/>
      <c r="S482" s="31"/>
      <c r="T482" s="31"/>
      <c r="U482" s="31"/>
      <c r="V482" s="31"/>
      <c r="W482" s="31"/>
      <c r="X482" s="32"/>
      <c r="Y482" s="32"/>
      <c r="Z482" s="32"/>
    </row>
    <row r="483" spans="1:26">
      <c r="A483" s="28"/>
      <c r="B483" s="17">
        <f t="shared" si="23"/>
        <v>46319</v>
      </c>
      <c r="C483" s="26">
        <f>I483+J483+K483+L483+M483+N483+O483+IF(P483="",0,P483*サマリー!$B$9)+IF(Q483="",0,IF(Q483=200,サマリー!$B$10,IF(Q483=100,サマリー!$B$11,0)))+IF(R483="",0,R483*サマリー!$B$12)</f>
        <v>0</v>
      </c>
      <c r="D483" s="26">
        <f>S483+T483+U483+V483+W483+IF(X483="",0,X483*サマリー!$B$9)+IF(Y483="",0,IF(Y483=200,サマリー!$B$10,IF(Y483=100,サマリー!$B$11,0)))+IF(Z483="",0,Z483*サマリー!$B$12)</f>
        <v>0</v>
      </c>
      <c r="E483" s="26">
        <f t="shared" ref="E483:E546" si="24">C483+D483</f>
        <v>0</v>
      </c>
      <c r="I483" s="29"/>
      <c r="J483" s="29"/>
      <c r="K483" s="29"/>
      <c r="L483" s="29"/>
      <c r="M483" s="29"/>
      <c r="N483" s="29"/>
      <c r="O483" s="29"/>
      <c r="P483" s="30"/>
      <c r="Q483" s="30"/>
      <c r="R483" s="30"/>
      <c r="S483" s="31"/>
      <c r="T483" s="31"/>
      <c r="U483" s="31"/>
      <c r="V483" s="31"/>
      <c r="W483" s="31"/>
      <c r="X483" s="32"/>
      <c r="Y483" s="32"/>
      <c r="Z483" s="32"/>
    </row>
    <row r="484" spans="1:26">
      <c r="A484" s="28"/>
      <c r="B484" s="17">
        <f t="shared" si="23"/>
        <v>46319</v>
      </c>
      <c r="C484" s="26">
        <f>I484+J484+K484+L484+M484+N484+O484+IF(P484="",0,P484*サマリー!$B$9)+IF(Q484="",0,IF(Q484=200,サマリー!$B$10,IF(Q484=100,サマリー!$B$11,0)))+IF(R484="",0,R484*サマリー!$B$12)</f>
        <v>0</v>
      </c>
      <c r="D484" s="26">
        <f>S484+T484+U484+V484+W484+IF(X484="",0,X484*サマリー!$B$9)+IF(Y484="",0,IF(Y484=200,サマリー!$B$10,IF(Y484=100,サマリー!$B$11,0)))+IF(Z484="",0,Z484*サマリー!$B$12)</f>
        <v>0</v>
      </c>
      <c r="E484" s="26">
        <f t="shared" si="24"/>
        <v>0</v>
      </c>
      <c r="I484" s="29"/>
      <c r="J484" s="29"/>
      <c r="K484" s="29"/>
      <c r="L484" s="29"/>
      <c r="M484" s="29"/>
      <c r="N484" s="29"/>
      <c r="O484" s="29"/>
      <c r="P484" s="30"/>
      <c r="Q484" s="30"/>
      <c r="R484" s="30"/>
      <c r="S484" s="31"/>
      <c r="T484" s="31"/>
      <c r="U484" s="31"/>
      <c r="V484" s="31"/>
      <c r="W484" s="31"/>
      <c r="X484" s="32"/>
      <c r="Y484" s="32"/>
      <c r="Z484" s="32"/>
    </row>
    <row r="485" spans="1:26">
      <c r="A485" s="28"/>
      <c r="B485" s="17">
        <f t="shared" si="23"/>
        <v>46319</v>
      </c>
      <c r="C485" s="26">
        <f>I485+J485+K485+L485+M485+N485+O485+IF(P485="",0,P485*サマリー!$B$9)+IF(Q485="",0,IF(Q485=200,サマリー!$B$10,IF(Q485=100,サマリー!$B$11,0)))+IF(R485="",0,R485*サマリー!$B$12)</f>
        <v>0</v>
      </c>
      <c r="D485" s="26">
        <f>S485+T485+U485+V485+W485+IF(X485="",0,X485*サマリー!$B$9)+IF(Y485="",0,IF(Y485=200,サマリー!$B$10,IF(Y485=100,サマリー!$B$11,0)))+IF(Z485="",0,Z485*サマリー!$B$12)</f>
        <v>0</v>
      </c>
      <c r="E485" s="26">
        <f t="shared" si="24"/>
        <v>0</v>
      </c>
      <c r="I485" s="29"/>
      <c r="J485" s="29"/>
      <c r="K485" s="29"/>
      <c r="L485" s="29"/>
      <c r="M485" s="29"/>
      <c r="N485" s="29"/>
      <c r="O485" s="29"/>
      <c r="P485" s="30"/>
      <c r="Q485" s="30"/>
      <c r="R485" s="30"/>
      <c r="S485" s="31"/>
      <c r="T485" s="31"/>
      <c r="U485" s="31"/>
      <c r="V485" s="31"/>
      <c r="W485" s="31"/>
      <c r="X485" s="32"/>
      <c r="Y485" s="32"/>
      <c r="Z485" s="32"/>
    </row>
    <row r="486" spans="1:26">
      <c r="A486" s="28"/>
      <c r="B486" s="17">
        <f t="shared" si="23"/>
        <v>46319</v>
      </c>
      <c r="C486" s="26">
        <f>I486+J486+K486+L486+M486+N486+O486+IF(P486="",0,P486*サマリー!$B$9)+IF(Q486="",0,IF(Q486=200,サマリー!$B$10,IF(Q486=100,サマリー!$B$11,0)))+IF(R486="",0,R486*サマリー!$B$12)</f>
        <v>0</v>
      </c>
      <c r="D486" s="26">
        <f>S486+T486+U486+V486+W486+IF(X486="",0,X486*サマリー!$B$9)+IF(Y486="",0,IF(Y486=200,サマリー!$B$10,IF(Y486=100,サマリー!$B$11,0)))+IF(Z486="",0,Z486*サマリー!$B$12)</f>
        <v>0</v>
      </c>
      <c r="E486" s="26">
        <f t="shared" si="24"/>
        <v>0</v>
      </c>
      <c r="I486" s="29"/>
      <c r="J486" s="29"/>
      <c r="K486" s="29"/>
      <c r="L486" s="29"/>
      <c r="M486" s="29"/>
      <c r="N486" s="29"/>
      <c r="O486" s="29"/>
      <c r="P486" s="30"/>
      <c r="Q486" s="30"/>
      <c r="R486" s="30"/>
      <c r="S486" s="31"/>
      <c r="T486" s="31"/>
      <c r="U486" s="31"/>
      <c r="V486" s="31"/>
      <c r="W486" s="31"/>
      <c r="X486" s="32"/>
      <c r="Y486" s="32"/>
      <c r="Z486" s="32"/>
    </row>
    <row r="487" spans="1:26">
      <c r="A487" s="28"/>
      <c r="B487" s="17">
        <f t="shared" si="23"/>
        <v>46319</v>
      </c>
      <c r="C487" s="26">
        <f>I487+J487+K487+L487+M487+N487+O487+IF(P487="",0,P487*サマリー!$B$9)+IF(Q487="",0,IF(Q487=200,サマリー!$B$10,IF(Q487=100,サマリー!$B$11,0)))+IF(R487="",0,R487*サマリー!$B$12)</f>
        <v>0</v>
      </c>
      <c r="D487" s="26">
        <f>S487+T487+U487+V487+W487+IF(X487="",0,X487*サマリー!$B$9)+IF(Y487="",0,IF(Y487=200,サマリー!$B$10,IF(Y487=100,サマリー!$B$11,0)))+IF(Z487="",0,Z487*サマリー!$B$12)</f>
        <v>0</v>
      </c>
      <c r="E487" s="26">
        <f t="shared" si="24"/>
        <v>0</v>
      </c>
      <c r="I487" s="29"/>
      <c r="J487" s="29"/>
      <c r="K487" s="29"/>
      <c r="L487" s="29"/>
      <c r="M487" s="29"/>
      <c r="N487" s="29"/>
      <c r="O487" s="29"/>
      <c r="P487" s="30"/>
      <c r="Q487" s="30"/>
      <c r="R487" s="30"/>
      <c r="S487" s="31"/>
      <c r="T487" s="31"/>
      <c r="U487" s="31"/>
      <c r="V487" s="31"/>
      <c r="W487" s="31"/>
      <c r="X487" s="32"/>
      <c r="Y487" s="32"/>
      <c r="Z487" s="32"/>
    </row>
    <row r="488" spans="1:26">
      <c r="A488" s="28"/>
      <c r="B488" s="17">
        <f t="shared" si="23"/>
        <v>46319</v>
      </c>
      <c r="C488" s="26">
        <f>I488+J488+K488+L488+M488+N488+O488+IF(P488="",0,P488*サマリー!$B$9)+IF(Q488="",0,IF(Q488=200,サマリー!$B$10,IF(Q488=100,サマリー!$B$11,0)))+IF(R488="",0,R488*サマリー!$B$12)</f>
        <v>0</v>
      </c>
      <c r="D488" s="26">
        <f>S488+T488+U488+V488+W488+IF(X488="",0,X488*サマリー!$B$9)+IF(Y488="",0,IF(Y488=200,サマリー!$B$10,IF(Y488=100,サマリー!$B$11,0)))+IF(Z488="",0,Z488*サマリー!$B$12)</f>
        <v>0</v>
      </c>
      <c r="E488" s="26">
        <f t="shared" si="24"/>
        <v>0</v>
      </c>
      <c r="I488" s="29"/>
      <c r="J488" s="29"/>
      <c r="K488" s="29"/>
      <c r="L488" s="29"/>
      <c r="M488" s="29"/>
      <c r="N488" s="29"/>
      <c r="O488" s="29"/>
      <c r="P488" s="30"/>
      <c r="Q488" s="30"/>
      <c r="R488" s="30"/>
      <c r="S488" s="31"/>
      <c r="T488" s="31"/>
      <c r="U488" s="31"/>
      <c r="V488" s="31"/>
      <c r="W488" s="31"/>
      <c r="X488" s="32"/>
      <c r="Y488" s="32"/>
      <c r="Z488" s="32"/>
    </row>
    <row r="489" spans="1:26">
      <c r="A489" s="28"/>
      <c r="B489" s="17">
        <f t="shared" si="23"/>
        <v>46319</v>
      </c>
      <c r="C489" s="26">
        <f>I489+J489+K489+L489+M489+N489+O489+IF(P489="",0,P489*サマリー!$B$9)+IF(Q489="",0,IF(Q489=200,サマリー!$B$10,IF(Q489=100,サマリー!$B$11,0)))+IF(R489="",0,R489*サマリー!$B$12)</f>
        <v>0</v>
      </c>
      <c r="D489" s="26">
        <f>S489+T489+U489+V489+W489+IF(X489="",0,X489*サマリー!$B$9)+IF(Y489="",0,IF(Y489=200,サマリー!$B$10,IF(Y489=100,サマリー!$B$11,0)))+IF(Z489="",0,Z489*サマリー!$B$12)</f>
        <v>0</v>
      </c>
      <c r="E489" s="26">
        <f t="shared" si="24"/>
        <v>0</v>
      </c>
      <c r="I489" s="29"/>
      <c r="J489" s="29"/>
      <c r="K489" s="29"/>
      <c r="L489" s="29"/>
      <c r="M489" s="29"/>
      <c r="N489" s="29"/>
      <c r="O489" s="29"/>
      <c r="P489" s="30"/>
      <c r="Q489" s="30"/>
      <c r="R489" s="30"/>
      <c r="S489" s="31"/>
      <c r="T489" s="31"/>
      <c r="U489" s="31"/>
      <c r="V489" s="31"/>
      <c r="W489" s="31"/>
      <c r="X489" s="32"/>
      <c r="Y489" s="32"/>
      <c r="Z489" s="32"/>
    </row>
    <row r="490" spans="1:26">
      <c r="A490" s="28"/>
      <c r="B490" s="17">
        <f t="shared" si="23"/>
        <v>46319</v>
      </c>
      <c r="C490" s="26">
        <f>I490+J490+K490+L490+M490+N490+O490+IF(P490="",0,P490*サマリー!$B$9)+IF(Q490="",0,IF(Q490=200,サマリー!$B$10,IF(Q490=100,サマリー!$B$11,0)))+IF(R490="",0,R490*サマリー!$B$12)</f>
        <v>0</v>
      </c>
      <c r="D490" s="26">
        <f>S490+T490+U490+V490+W490+IF(X490="",0,X490*サマリー!$B$9)+IF(Y490="",0,IF(Y490=200,サマリー!$B$10,IF(Y490=100,サマリー!$B$11,0)))+IF(Z490="",0,Z490*サマリー!$B$12)</f>
        <v>0</v>
      </c>
      <c r="E490" s="26">
        <f t="shared" si="24"/>
        <v>0</v>
      </c>
      <c r="I490" s="29"/>
      <c r="J490" s="29"/>
      <c r="K490" s="29"/>
      <c r="L490" s="29"/>
      <c r="M490" s="29"/>
      <c r="N490" s="29"/>
      <c r="O490" s="29"/>
      <c r="P490" s="30"/>
      <c r="Q490" s="30"/>
      <c r="R490" s="30"/>
      <c r="S490" s="31"/>
      <c r="T490" s="31"/>
      <c r="U490" s="31"/>
      <c r="V490" s="31"/>
      <c r="W490" s="31"/>
      <c r="X490" s="32"/>
      <c r="Y490" s="32"/>
      <c r="Z490" s="32"/>
    </row>
    <row r="491" spans="1:26">
      <c r="A491" s="28"/>
      <c r="B491" s="17">
        <f t="shared" si="23"/>
        <v>46319</v>
      </c>
      <c r="C491" s="26">
        <f>I491+J491+K491+L491+M491+N491+O491+IF(P491="",0,P491*サマリー!$B$9)+IF(Q491="",0,IF(Q491=200,サマリー!$B$10,IF(Q491=100,サマリー!$B$11,0)))+IF(R491="",0,R491*サマリー!$B$12)</f>
        <v>0</v>
      </c>
      <c r="D491" s="26">
        <f>S491+T491+U491+V491+W491+IF(X491="",0,X491*サマリー!$B$9)+IF(Y491="",0,IF(Y491=200,サマリー!$B$10,IF(Y491=100,サマリー!$B$11,0)))+IF(Z491="",0,Z491*サマリー!$B$12)</f>
        <v>0</v>
      </c>
      <c r="E491" s="26">
        <f t="shared" si="24"/>
        <v>0</v>
      </c>
      <c r="I491" s="29"/>
      <c r="J491" s="29"/>
      <c r="K491" s="29"/>
      <c r="L491" s="29"/>
      <c r="M491" s="29"/>
      <c r="N491" s="29"/>
      <c r="O491" s="29"/>
      <c r="P491" s="30"/>
      <c r="Q491" s="30"/>
      <c r="R491" s="30"/>
      <c r="S491" s="31"/>
      <c r="T491" s="31"/>
      <c r="U491" s="31"/>
      <c r="V491" s="31"/>
      <c r="W491" s="31"/>
      <c r="X491" s="32"/>
      <c r="Y491" s="32"/>
      <c r="Z491" s="32"/>
    </row>
    <row r="492" spans="1:26">
      <c r="A492" s="28"/>
      <c r="B492" s="17">
        <f t="shared" si="23"/>
        <v>46319</v>
      </c>
      <c r="C492" s="26">
        <f>I492+J492+K492+L492+M492+N492+O492+IF(P492="",0,P492*サマリー!$B$9)+IF(Q492="",0,IF(Q492=200,サマリー!$B$10,IF(Q492=100,サマリー!$B$11,0)))+IF(R492="",0,R492*サマリー!$B$12)</f>
        <v>0</v>
      </c>
      <c r="D492" s="26">
        <f>S492+T492+U492+V492+W492+IF(X492="",0,X492*サマリー!$B$9)+IF(Y492="",0,IF(Y492=200,サマリー!$B$10,IF(Y492=100,サマリー!$B$11,0)))+IF(Z492="",0,Z492*サマリー!$B$12)</f>
        <v>0</v>
      </c>
      <c r="E492" s="26">
        <f t="shared" si="24"/>
        <v>0</v>
      </c>
      <c r="I492" s="29"/>
      <c r="J492" s="29"/>
      <c r="K492" s="29"/>
      <c r="L492" s="29"/>
      <c r="M492" s="29"/>
      <c r="N492" s="29"/>
      <c r="O492" s="29"/>
      <c r="P492" s="30"/>
      <c r="Q492" s="30"/>
      <c r="R492" s="30"/>
      <c r="S492" s="31"/>
      <c r="T492" s="31"/>
      <c r="U492" s="31"/>
      <c r="V492" s="31"/>
      <c r="W492" s="31"/>
      <c r="X492" s="32"/>
      <c r="Y492" s="32"/>
      <c r="Z492" s="32"/>
    </row>
    <row r="493" spans="1:26">
      <c r="A493" s="28"/>
      <c r="B493" s="17">
        <f t="shared" si="23"/>
        <v>46319</v>
      </c>
      <c r="C493" s="26">
        <f>I493+J493+K493+L493+M493+N493+O493+IF(P493="",0,P493*サマリー!$B$9)+IF(Q493="",0,IF(Q493=200,サマリー!$B$10,IF(Q493=100,サマリー!$B$11,0)))+IF(R493="",0,R493*サマリー!$B$12)</f>
        <v>0</v>
      </c>
      <c r="D493" s="26">
        <f>S493+T493+U493+V493+W493+IF(X493="",0,X493*サマリー!$B$9)+IF(Y493="",0,IF(Y493=200,サマリー!$B$10,IF(Y493=100,サマリー!$B$11,0)))+IF(Z493="",0,Z493*サマリー!$B$12)</f>
        <v>0</v>
      </c>
      <c r="E493" s="26">
        <f t="shared" si="24"/>
        <v>0</v>
      </c>
      <c r="I493" s="29"/>
      <c r="J493" s="29"/>
      <c r="K493" s="29"/>
      <c r="L493" s="29"/>
      <c r="M493" s="29"/>
      <c r="N493" s="29"/>
      <c r="O493" s="29"/>
      <c r="P493" s="30"/>
      <c r="Q493" s="30"/>
      <c r="R493" s="30"/>
      <c r="S493" s="31"/>
      <c r="T493" s="31"/>
      <c r="U493" s="31"/>
      <c r="V493" s="31"/>
      <c r="W493" s="31"/>
      <c r="X493" s="32"/>
      <c r="Y493" s="32"/>
      <c r="Z493" s="32"/>
    </row>
    <row r="494" spans="1:26">
      <c r="A494" s="28"/>
      <c r="B494" s="17">
        <f t="shared" si="23"/>
        <v>46319</v>
      </c>
      <c r="C494" s="26">
        <f>I494+J494+K494+L494+M494+N494+O494+IF(P494="",0,P494*サマリー!$B$9)+IF(Q494="",0,IF(Q494=200,サマリー!$B$10,IF(Q494=100,サマリー!$B$11,0)))+IF(R494="",0,R494*サマリー!$B$12)</f>
        <v>0</v>
      </c>
      <c r="D494" s="26">
        <f>S494+T494+U494+V494+W494+IF(X494="",0,X494*サマリー!$B$9)+IF(Y494="",0,IF(Y494=200,サマリー!$B$10,IF(Y494=100,サマリー!$B$11,0)))+IF(Z494="",0,Z494*サマリー!$B$12)</f>
        <v>0</v>
      </c>
      <c r="E494" s="26">
        <f t="shared" si="24"/>
        <v>0</v>
      </c>
      <c r="I494" s="29"/>
      <c r="J494" s="29"/>
      <c r="K494" s="29"/>
      <c r="L494" s="29"/>
      <c r="M494" s="29"/>
      <c r="N494" s="29"/>
      <c r="O494" s="29"/>
      <c r="P494" s="30"/>
      <c r="Q494" s="30"/>
      <c r="R494" s="30"/>
      <c r="S494" s="31"/>
      <c r="T494" s="31"/>
      <c r="U494" s="31"/>
      <c r="V494" s="31"/>
      <c r="W494" s="31"/>
      <c r="X494" s="32"/>
      <c r="Y494" s="32"/>
      <c r="Z494" s="32"/>
    </row>
    <row r="495" spans="1:26">
      <c r="A495" s="28"/>
      <c r="B495" s="17">
        <f t="shared" si="23"/>
        <v>46319</v>
      </c>
      <c r="C495" s="26">
        <f>I495+J495+K495+L495+M495+N495+O495+IF(P495="",0,P495*サマリー!$B$9)+IF(Q495="",0,IF(Q495=200,サマリー!$B$10,IF(Q495=100,サマリー!$B$11,0)))+IF(R495="",0,R495*サマリー!$B$12)</f>
        <v>0</v>
      </c>
      <c r="D495" s="26">
        <f>S495+T495+U495+V495+W495+IF(X495="",0,X495*サマリー!$B$9)+IF(Y495="",0,IF(Y495=200,サマリー!$B$10,IF(Y495=100,サマリー!$B$11,0)))+IF(Z495="",0,Z495*サマリー!$B$12)</f>
        <v>0</v>
      </c>
      <c r="E495" s="26">
        <f t="shared" si="24"/>
        <v>0</v>
      </c>
      <c r="I495" s="29"/>
      <c r="J495" s="29"/>
      <c r="K495" s="29"/>
      <c r="L495" s="29"/>
      <c r="M495" s="29"/>
      <c r="N495" s="29"/>
      <c r="O495" s="29"/>
      <c r="P495" s="30"/>
      <c r="Q495" s="30"/>
      <c r="R495" s="30"/>
      <c r="S495" s="31"/>
      <c r="T495" s="31"/>
      <c r="U495" s="31"/>
      <c r="V495" s="31"/>
      <c r="W495" s="31"/>
      <c r="X495" s="32"/>
      <c r="Y495" s="32"/>
      <c r="Z495" s="32"/>
    </row>
    <row r="496" spans="1:26">
      <c r="A496" s="28"/>
      <c r="B496" s="17">
        <f t="shared" si="23"/>
        <v>46319</v>
      </c>
      <c r="C496" s="26">
        <f>I496+J496+K496+L496+M496+N496+O496+IF(P496="",0,P496*サマリー!$B$9)+IF(Q496="",0,IF(Q496=200,サマリー!$B$10,IF(Q496=100,サマリー!$B$11,0)))+IF(R496="",0,R496*サマリー!$B$12)</f>
        <v>0</v>
      </c>
      <c r="D496" s="26">
        <f>S496+T496+U496+V496+W496+IF(X496="",0,X496*サマリー!$B$9)+IF(Y496="",0,IF(Y496=200,サマリー!$B$10,IF(Y496=100,サマリー!$B$11,0)))+IF(Z496="",0,Z496*サマリー!$B$12)</f>
        <v>0</v>
      </c>
      <c r="E496" s="26">
        <f t="shared" si="24"/>
        <v>0</v>
      </c>
      <c r="I496" s="29"/>
      <c r="J496" s="29"/>
      <c r="K496" s="29"/>
      <c r="L496" s="29"/>
      <c r="M496" s="29"/>
      <c r="N496" s="29"/>
      <c r="O496" s="29"/>
      <c r="P496" s="30"/>
      <c r="Q496" s="30"/>
      <c r="R496" s="30"/>
      <c r="S496" s="31"/>
      <c r="T496" s="31"/>
      <c r="U496" s="31"/>
      <c r="V496" s="31"/>
      <c r="W496" s="31"/>
      <c r="X496" s="32"/>
      <c r="Y496" s="32"/>
      <c r="Z496" s="32"/>
    </row>
    <row r="497" spans="1:26">
      <c r="A497" s="28"/>
      <c r="B497" s="17">
        <f t="shared" si="23"/>
        <v>46319</v>
      </c>
      <c r="C497" s="26">
        <f>I497+J497+K497+L497+M497+N497+O497+IF(P497="",0,P497*サマリー!$B$9)+IF(Q497="",0,IF(Q497=200,サマリー!$B$10,IF(Q497=100,サマリー!$B$11,0)))+IF(R497="",0,R497*サマリー!$B$12)</f>
        <v>0</v>
      </c>
      <c r="D497" s="26">
        <f>S497+T497+U497+V497+W497+IF(X497="",0,X497*サマリー!$B$9)+IF(Y497="",0,IF(Y497=200,サマリー!$B$10,IF(Y497=100,サマリー!$B$11,0)))+IF(Z497="",0,Z497*サマリー!$B$12)</f>
        <v>0</v>
      </c>
      <c r="E497" s="26">
        <f t="shared" si="24"/>
        <v>0</v>
      </c>
      <c r="I497" s="29"/>
      <c r="J497" s="29"/>
      <c r="K497" s="29"/>
      <c r="L497" s="29"/>
      <c r="M497" s="29"/>
      <c r="N497" s="29"/>
      <c r="O497" s="29"/>
      <c r="P497" s="30"/>
      <c r="Q497" s="30"/>
      <c r="R497" s="30"/>
      <c r="S497" s="31"/>
      <c r="T497" s="31"/>
      <c r="U497" s="31"/>
      <c r="V497" s="31"/>
      <c r="W497" s="31"/>
      <c r="X497" s="32"/>
      <c r="Y497" s="32"/>
      <c r="Z497" s="32"/>
    </row>
    <row r="498" spans="1:26">
      <c r="A498" s="28"/>
      <c r="B498" s="17">
        <f t="shared" si="23"/>
        <v>46319</v>
      </c>
      <c r="C498" s="26">
        <f>I498+J498+K498+L498+M498+N498+O498+IF(P498="",0,P498*サマリー!$B$9)+IF(Q498="",0,IF(Q498=200,サマリー!$B$10,IF(Q498=100,サマリー!$B$11,0)))+IF(R498="",0,R498*サマリー!$B$12)</f>
        <v>0</v>
      </c>
      <c r="D498" s="26">
        <f>S498+T498+U498+V498+W498+IF(X498="",0,X498*サマリー!$B$9)+IF(Y498="",0,IF(Y498=200,サマリー!$B$10,IF(Y498=100,サマリー!$B$11,0)))+IF(Z498="",0,Z498*サマリー!$B$12)</f>
        <v>0</v>
      </c>
      <c r="E498" s="26">
        <f t="shared" si="24"/>
        <v>0</v>
      </c>
      <c r="I498" s="29"/>
      <c r="J498" s="29"/>
      <c r="K498" s="29"/>
      <c r="L498" s="29"/>
      <c r="M498" s="29"/>
      <c r="N498" s="29"/>
      <c r="O498" s="29"/>
      <c r="P498" s="30"/>
      <c r="Q498" s="30"/>
      <c r="R498" s="30"/>
      <c r="S498" s="31"/>
      <c r="T498" s="31"/>
      <c r="U498" s="31"/>
      <c r="V498" s="31"/>
      <c r="W498" s="31"/>
      <c r="X498" s="32"/>
      <c r="Y498" s="32"/>
      <c r="Z498" s="32"/>
    </row>
    <row r="499" spans="1:26">
      <c r="A499" s="28"/>
      <c r="B499" s="17">
        <f t="shared" si="23"/>
        <v>46319</v>
      </c>
      <c r="C499" s="26">
        <f>I499+J499+K499+L499+M499+N499+O499+IF(P499="",0,P499*サマリー!$B$9)+IF(Q499="",0,IF(Q499=200,サマリー!$B$10,IF(Q499=100,サマリー!$B$11,0)))+IF(R499="",0,R499*サマリー!$B$12)</f>
        <v>0</v>
      </c>
      <c r="D499" s="26">
        <f>S499+T499+U499+V499+W499+IF(X499="",0,X499*サマリー!$B$9)+IF(Y499="",0,IF(Y499=200,サマリー!$B$10,IF(Y499=100,サマリー!$B$11,0)))+IF(Z499="",0,Z499*サマリー!$B$12)</f>
        <v>0</v>
      </c>
      <c r="E499" s="26">
        <f t="shared" si="24"/>
        <v>0</v>
      </c>
      <c r="I499" s="29"/>
      <c r="J499" s="29"/>
      <c r="K499" s="29"/>
      <c r="L499" s="29"/>
      <c r="M499" s="29"/>
      <c r="N499" s="29"/>
      <c r="O499" s="29"/>
      <c r="P499" s="30"/>
      <c r="Q499" s="30"/>
      <c r="R499" s="30"/>
      <c r="S499" s="31"/>
      <c r="T499" s="31"/>
      <c r="U499" s="31"/>
      <c r="V499" s="31"/>
      <c r="W499" s="31"/>
      <c r="X499" s="32"/>
      <c r="Y499" s="32"/>
      <c r="Z499" s="32"/>
    </row>
    <row r="500" spans="1:26">
      <c r="A500" s="28"/>
      <c r="B500" s="17">
        <f t="shared" si="23"/>
        <v>46319</v>
      </c>
      <c r="C500" s="26">
        <f>I500+J500+K500+L500+M500+N500+O500+IF(P500="",0,P500*サマリー!$B$9)+IF(Q500="",0,IF(Q500=200,サマリー!$B$10,IF(Q500=100,サマリー!$B$11,0)))+IF(R500="",0,R500*サマリー!$B$12)</f>
        <v>0</v>
      </c>
      <c r="D500" s="26">
        <f>S500+T500+U500+V500+W500+IF(X500="",0,X500*サマリー!$B$9)+IF(Y500="",0,IF(Y500=200,サマリー!$B$10,IF(Y500=100,サマリー!$B$11,0)))+IF(Z500="",0,Z500*サマリー!$B$12)</f>
        <v>0</v>
      </c>
      <c r="E500" s="26">
        <f t="shared" si="24"/>
        <v>0</v>
      </c>
      <c r="I500" s="29"/>
      <c r="J500" s="29"/>
      <c r="K500" s="29"/>
      <c r="L500" s="29"/>
      <c r="M500" s="29"/>
      <c r="N500" s="29"/>
      <c r="O500" s="29"/>
      <c r="P500" s="30"/>
      <c r="Q500" s="30"/>
      <c r="R500" s="30"/>
      <c r="S500" s="31"/>
      <c r="T500" s="31"/>
      <c r="U500" s="31"/>
      <c r="V500" s="31"/>
      <c r="W500" s="31"/>
      <c r="X500" s="32"/>
      <c r="Y500" s="32"/>
      <c r="Z500" s="32"/>
    </row>
    <row r="501" spans="1:26">
      <c r="A501" s="28"/>
      <c r="B501" s="17">
        <f t="shared" si="23"/>
        <v>46319</v>
      </c>
      <c r="C501" s="26">
        <f>I501+J501+K501+L501+M501+N501+O501+IF(P501="",0,P501*サマリー!$B$9)+IF(Q501="",0,IF(Q501=200,サマリー!$B$10,IF(Q501=100,サマリー!$B$11,0)))+IF(R501="",0,R501*サマリー!$B$12)</f>
        <v>0</v>
      </c>
      <c r="D501" s="26">
        <f>S501+T501+U501+V501+W501+IF(X501="",0,X501*サマリー!$B$9)+IF(Y501="",0,IF(Y501=200,サマリー!$B$10,IF(Y501=100,サマリー!$B$11,0)))+IF(Z501="",0,Z501*サマリー!$B$12)</f>
        <v>0</v>
      </c>
      <c r="E501" s="26">
        <f t="shared" si="24"/>
        <v>0</v>
      </c>
      <c r="I501" s="29"/>
      <c r="J501" s="29"/>
      <c r="K501" s="29"/>
      <c r="L501" s="29"/>
      <c r="M501" s="29"/>
      <c r="N501" s="29"/>
      <c r="O501" s="29"/>
      <c r="P501" s="30"/>
      <c r="Q501" s="30"/>
      <c r="R501" s="30"/>
      <c r="S501" s="31"/>
      <c r="T501" s="31"/>
      <c r="U501" s="31"/>
      <c r="V501" s="31"/>
      <c r="W501" s="31"/>
      <c r="X501" s="32"/>
      <c r="Y501" s="32"/>
      <c r="Z501" s="32"/>
    </row>
    <row r="502" spans="1:26">
      <c r="A502" s="28"/>
      <c r="B502" s="17">
        <f t="shared" si="23"/>
        <v>46319</v>
      </c>
      <c r="C502" s="26">
        <f>I502+J502+K502+L502+M502+N502+O502+IF(P502="",0,P502*サマリー!$B$9)+IF(Q502="",0,IF(Q502=200,サマリー!$B$10,IF(Q502=100,サマリー!$B$11,0)))+IF(R502="",0,R502*サマリー!$B$12)</f>
        <v>0</v>
      </c>
      <c r="D502" s="26">
        <f>S502+T502+U502+V502+W502+IF(X502="",0,X502*サマリー!$B$9)+IF(Y502="",0,IF(Y502=200,サマリー!$B$10,IF(Y502=100,サマリー!$B$11,0)))+IF(Z502="",0,Z502*サマリー!$B$12)</f>
        <v>0</v>
      </c>
      <c r="E502" s="26">
        <f t="shared" si="24"/>
        <v>0</v>
      </c>
      <c r="I502" s="29"/>
      <c r="J502" s="29"/>
      <c r="K502" s="29"/>
      <c r="L502" s="29"/>
      <c r="M502" s="29"/>
      <c r="N502" s="29"/>
      <c r="O502" s="29"/>
      <c r="P502" s="30"/>
      <c r="Q502" s="30"/>
      <c r="R502" s="30"/>
      <c r="S502" s="31"/>
      <c r="T502" s="31"/>
      <c r="U502" s="31"/>
      <c r="V502" s="31"/>
      <c r="W502" s="31"/>
      <c r="X502" s="32"/>
      <c r="Y502" s="32"/>
      <c r="Z502" s="32"/>
    </row>
    <row r="503" spans="1:26">
      <c r="A503" s="28"/>
      <c r="B503" s="17">
        <f t="shared" si="23"/>
        <v>46319</v>
      </c>
      <c r="C503" s="26">
        <f>I503+J503+K503+L503+M503+N503+O503+IF(P503="",0,P503*サマリー!$B$9)+IF(Q503="",0,IF(Q503=200,サマリー!$B$10,IF(Q503=100,サマリー!$B$11,0)))+IF(R503="",0,R503*サマリー!$B$12)</f>
        <v>0</v>
      </c>
      <c r="D503" s="26">
        <f>S503+T503+U503+V503+W503+IF(X503="",0,X503*サマリー!$B$9)+IF(Y503="",0,IF(Y503=200,サマリー!$B$10,IF(Y503=100,サマリー!$B$11,0)))+IF(Z503="",0,Z503*サマリー!$B$12)</f>
        <v>0</v>
      </c>
      <c r="E503" s="26">
        <f t="shared" si="24"/>
        <v>0</v>
      </c>
      <c r="I503" s="29"/>
      <c r="J503" s="29"/>
      <c r="K503" s="29"/>
      <c r="L503" s="29"/>
      <c r="M503" s="29"/>
      <c r="N503" s="29"/>
      <c r="O503" s="29"/>
      <c r="P503" s="30"/>
      <c r="Q503" s="30"/>
      <c r="R503" s="30"/>
      <c r="S503" s="31"/>
      <c r="T503" s="31"/>
      <c r="U503" s="31"/>
      <c r="V503" s="31"/>
      <c r="W503" s="31"/>
      <c r="X503" s="32"/>
      <c r="Y503" s="32"/>
      <c r="Z503" s="32"/>
    </row>
    <row r="504" spans="1:26">
      <c r="A504" s="28"/>
      <c r="B504" s="17">
        <f t="shared" si="23"/>
        <v>46319</v>
      </c>
      <c r="C504" s="26">
        <f>I504+J504+K504+L504+M504+N504+O504+IF(P504="",0,P504*サマリー!$B$9)+IF(Q504="",0,IF(Q504=200,サマリー!$B$10,IF(Q504=100,サマリー!$B$11,0)))+IF(R504="",0,R504*サマリー!$B$12)</f>
        <v>0</v>
      </c>
      <c r="D504" s="26">
        <f>S504+T504+U504+V504+W504+IF(X504="",0,X504*サマリー!$B$9)+IF(Y504="",0,IF(Y504=200,サマリー!$B$10,IF(Y504=100,サマリー!$B$11,0)))+IF(Z504="",0,Z504*サマリー!$B$12)</f>
        <v>0</v>
      </c>
      <c r="E504" s="26">
        <f t="shared" si="24"/>
        <v>0</v>
      </c>
      <c r="I504" s="29"/>
      <c r="J504" s="29"/>
      <c r="K504" s="29"/>
      <c r="L504" s="29"/>
      <c r="M504" s="29"/>
      <c r="N504" s="29"/>
      <c r="O504" s="29"/>
      <c r="P504" s="30"/>
      <c r="Q504" s="30"/>
      <c r="R504" s="30"/>
      <c r="S504" s="31"/>
      <c r="T504" s="31"/>
      <c r="U504" s="31"/>
      <c r="V504" s="31"/>
      <c r="W504" s="31"/>
      <c r="X504" s="32"/>
      <c r="Y504" s="32"/>
      <c r="Z504" s="32"/>
    </row>
    <row r="505" spans="1:26">
      <c r="A505" s="28"/>
      <c r="B505" s="17">
        <f t="shared" si="23"/>
        <v>46319</v>
      </c>
      <c r="C505" s="26">
        <f>I505+J505+K505+L505+M505+N505+O505+IF(P505="",0,P505*サマリー!$B$9)+IF(Q505="",0,IF(Q505=200,サマリー!$B$10,IF(Q505=100,サマリー!$B$11,0)))+IF(R505="",0,R505*サマリー!$B$12)</f>
        <v>0</v>
      </c>
      <c r="D505" s="26">
        <f>S505+T505+U505+V505+W505+IF(X505="",0,X505*サマリー!$B$9)+IF(Y505="",0,IF(Y505=200,サマリー!$B$10,IF(Y505=100,サマリー!$B$11,0)))+IF(Z505="",0,Z505*サマリー!$B$12)</f>
        <v>0</v>
      </c>
      <c r="E505" s="26">
        <f t="shared" si="24"/>
        <v>0</v>
      </c>
      <c r="I505" s="29"/>
      <c r="J505" s="29"/>
      <c r="K505" s="29"/>
      <c r="L505" s="29"/>
      <c r="M505" s="29"/>
      <c r="N505" s="29"/>
      <c r="O505" s="29"/>
      <c r="P505" s="30"/>
      <c r="Q505" s="30"/>
      <c r="R505" s="30"/>
      <c r="S505" s="31"/>
      <c r="T505" s="31"/>
      <c r="U505" s="31"/>
      <c r="V505" s="31"/>
      <c r="W505" s="31"/>
      <c r="X505" s="32"/>
      <c r="Y505" s="32"/>
      <c r="Z505" s="32"/>
    </row>
    <row r="506" spans="1:26">
      <c r="A506" s="28"/>
      <c r="B506" s="17">
        <f t="shared" si="23"/>
        <v>46319</v>
      </c>
      <c r="C506" s="26">
        <f>I506+J506+K506+L506+M506+N506+O506+IF(P506="",0,P506*サマリー!$B$9)+IF(Q506="",0,IF(Q506=200,サマリー!$B$10,IF(Q506=100,サマリー!$B$11,0)))+IF(R506="",0,R506*サマリー!$B$12)</f>
        <v>0</v>
      </c>
      <c r="D506" s="26">
        <f>S506+T506+U506+V506+W506+IF(X506="",0,X506*サマリー!$B$9)+IF(Y506="",0,IF(Y506=200,サマリー!$B$10,IF(Y506=100,サマリー!$B$11,0)))+IF(Z506="",0,Z506*サマリー!$B$12)</f>
        <v>0</v>
      </c>
      <c r="E506" s="26">
        <f t="shared" si="24"/>
        <v>0</v>
      </c>
      <c r="I506" s="29"/>
      <c r="J506" s="29"/>
      <c r="K506" s="29"/>
      <c r="L506" s="29"/>
      <c r="M506" s="29"/>
      <c r="N506" s="29"/>
      <c r="O506" s="29"/>
      <c r="P506" s="30"/>
      <c r="Q506" s="30"/>
      <c r="R506" s="30"/>
      <c r="S506" s="31"/>
      <c r="T506" s="31"/>
      <c r="U506" s="31"/>
      <c r="V506" s="31"/>
      <c r="W506" s="31"/>
      <c r="X506" s="32"/>
      <c r="Y506" s="32"/>
      <c r="Z506" s="32"/>
    </row>
    <row r="507" spans="1:26">
      <c r="A507" s="28"/>
      <c r="B507" s="17">
        <f t="shared" si="23"/>
        <v>46319</v>
      </c>
      <c r="C507" s="26">
        <f>I507+J507+K507+L507+M507+N507+O507+IF(P507="",0,P507*サマリー!$B$9)+IF(Q507="",0,IF(Q507=200,サマリー!$B$10,IF(Q507=100,サマリー!$B$11,0)))+IF(R507="",0,R507*サマリー!$B$12)</f>
        <v>0</v>
      </c>
      <c r="D507" s="26">
        <f>S507+T507+U507+V507+W507+IF(X507="",0,X507*サマリー!$B$9)+IF(Y507="",0,IF(Y507=200,サマリー!$B$10,IF(Y507=100,サマリー!$B$11,0)))+IF(Z507="",0,Z507*サマリー!$B$12)</f>
        <v>0</v>
      </c>
      <c r="E507" s="26">
        <f t="shared" si="24"/>
        <v>0</v>
      </c>
      <c r="I507" s="29"/>
      <c r="J507" s="29"/>
      <c r="K507" s="29"/>
      <c r="L507" s="29"/>
      <c r="M507" s="29"/>
      <c r="N507" s="29"/>
      <c r="O507" s="29"/>
      <c r="P507" s="30"/>
      <c r="Q507" s="30"/>
      <c r="R507" s="30"/>
      <c r="S507" s="31"/>
      <c r="T507" s="31"/>
      <c r="U507" s="31"/>
      <c r="V507" s="31"/>
      <c r="W507" s="31"/>
      <c r="X507" s="32"/>
      <c r="Y507" s="32"/>
      <c r="Z507" s="32"/>
    </row>
    <row r="508" spans="1:26">
      <c r="A508" s="28"/>
      <c r="B508" s="17">
        <f t="shared" si="23"/>
        <v>46319</v>
      </c>
      <c r="C508" s="26">
        <f>I508+J508+K508+L508+M508+N508+O508+IF(P508="",0,P508*サマリー!$B$9)+IF(Q508="",0,IF(Q508=200,サマリー!$B$10,IF(Q508=100,サマリー!$B$11,0)))+IF(R508="",0,R508*サマリー!$B$12)</f>
        <v>0</v>
      </c>
      <c r="D508" s="26">
        <f>S508+T508+U508+V508+W508+IF(X508="",0,X508*サマリー!$B$9)+IF(Y508="",0,IF(Y508=200,サマリー!$B$10,IF(Y508=100,サマリー!$B$11,0)))+IF(Z508="",0,Z508*サマリー!$B$12)</f>
        <v>0</v>
      </c>
      <c r="E508" s="26">
        <f t="shared" si="24"/>
        <v>0</v>
      </c>
      <c r="I508" s="29"/>
      <c r="J508" s="29"/>
      <c r="K508" s="29"/>
      <c r="L508" s="29"/>
      <c r="M508" s="29"/>
      <c r="N508" s="29"/>
      <c r="O508" s="29"/>
      <c r="P508" s="30"/>
      <c r="Q508" s="30"/>
      <c r="R508" s="30"/>
      <c r="S508" s="31"/>
      <c r="T508" s="31"/>
      <c r="U508" s="31"/>
      <c r="V508" s="31"/>
      <c r="W508" s="31"/>
      <c r="X508" s="32"/>
      <c r="Y508" s="32"/>
      <c r="Z508" s="32"/>
    </row>
    <row r="509" spans="1:26">
      <c r="A509" s="28"/>
      <c r="B509" s="17">
        <f t="shared" si="23"/>
        <v>46319</v>
      </c>
      <c r="C509" s="26">
        <f>I509+J509+K509+L509+M509+N509+O509+IF(P509="",0,P509*サマリー!$B$9)+IF(Q509="",0,IF(Q509=200,サマリー!$B$10,IF(Q509=100,サマリー!$B$11,0)))+IF(R509="",0,R509*サマリー!$B$12)</f>
        <v>0</v>
      </c>
      <c r="D509" s="26">
        <f>S509+T509+U509+V509+W509+IF(X509="",0,X509*サマリー!$B$9)+IF(Y509="",0,IF(Y509=200,サマリー!$B$10,IF(Y509=100,サマリー!$B$11,0)))+IF(Z509="",0,Z509*サマリー!$B$12)</f>
        <v>0</v>
      </c>
      <c r="E509" s="26">
        <f t="shared" si="24"/>
        <v>0</v>
      </c>
      <c r="I509" s="29"/>
      <c r="J509" s="29"/>
      <c r="K509" s="29"/>
      <c r="L509" s="29"/>
      <c r="M509" s="29"/>
      <c r="N509" s="29"/>
      <c r="O509" s="29"/>
      <c r="P509" s="30"/>
      <c r="Q509" s="30"/>
      <c r="R509" s="30"/>
      <c r="S509" s="31"/>
      <c r="T509" s="31"/>
      <c r="U509" s="31"/>
      <c r="V509" s="31"/>
      <c r="W509" s="31"/>
      <c r="X509" s="32"/>
      <c r="Y509" s="32"/>
      <c r="Z509" s="32"/>
    </row>
    <row r="510" spans="1:26">
      <c r="A510" s="28"/>
      <c r="B510" s="17">
        <f t="shared" si="23"/>
        <v>46319</v>
      </c>
      <c r="C510" s="26">
        <f>I510+J510+K510+L510+M510+N510+O510+IF(P510="",0,P510*サマリー!$B$9)+IF(Q510="",0,IF(Q510=200,サマリー!$B$10,IF(Q510=100,サマリー!$B$11,0)))+IF(R510="",0,R510*サマリー!$B$12)</f>
        <v>0</v>
      </c>
      <c r="D510" s="26">
        <f>S510+T510+U510+V510+W510+IF(X510="",0,X510*サマリー!$B$9)+IF(Y510="",0,IF(Y510=200,サマリー!$B$10,IF(Y510=100,サマリー!$B$11,0)))+IF(Z510="",0,Z510*サマリー!$B$12)</f>
        <v>0</v>
      </c>
      <c r="E510" s="26">
        <f t="shared" si="24"/>
        <v>0</v>
      </c>
      <c r="I510" s="29"/>
      <c r="J510" s="29"/>
      <c r="K510" s="29"/>
      <c r="L510" s="29"/>
      <c r="M510" s="29"/>
      <c r="N510" s="29"/>
      <c r="O510" s="29"/>
      <c r="P510" s="30"/>
      <c r="Q510" s="30"/>
      <c r="R510" s="30"/>
      <c r="S510" s="31"/>
      <c r="T510" s="31"/>
      <c r="U510" s="31"/>
      <c r="V510" s="31"/>
      <c r="W510" s="31"/>
      <c r="X510" s="32"/>
      <c r="Y510" s="32"/>
      <c r="Z510" s="32"/>
    </row>
    <row r="511" spans="1:26">
      <c r="A511" s="28"/>
      <c r="B511" s="17">
        <f t="shared" si="23"/>
        <v>46319</v>
      </c>
      <c r="C511" s="26">
        <f>I511+J511+K511+L511+M511+N511+O511+IF(P511="",0,P511*サマリー!$B$9)+IF(Q511="",0,IF(Q511=200,サマリー!$B$10,IF(Q511=100,サマリー!$B$11,0)))+IF(R511="",0,R511*サマリー!$B$12)</f>
        <v>0</v>
      </c>
      <c r="D511" s="26">
        <f>S511+T511+U511+V511+W511+IF(X511="",0,X511*サマリー!$B$9)+IF(Y511="",0,IF(Y511=200,サマリー!$B$10,IF(Y511=100,サマリー!$B$11,0)))+IF(Z511="",0,Z511*サマリー!$B$12)</f>
        <v>0</v>
      </c>
      <c r="E511" s="26">
        <f t="shared" si="24"/>
        <v>0</v>
      </c>
      <c r="I511" s="29"/>
      <c r="J511" s="29"/>
      <c r="K511" s="29"/>
      <c r="L511" s="29"/>
      <c r="M511" s="29"/>
      <c r="N511" s="29"/>
      <c r="O511" s="29"/>
      <c r="P511" s="30"/>
      <c r="Q511" s="30"/>
      <c r="R511" s="30"/>
      <c r="S511" s="31"/>
      <c r="T511" s="31"/>
      <c r="U511" s="31"/>
      <c r="V511" s="31"/>
      <c r="W511" s="31"/>
      <c r="X511" s="32"/>
      <c r="Y511" s="32"/>
      <c r="Z511" s="32"/>
    </row>
    <row r="512" spans="1:26">
      <c r="A512" s="28"/>
      <c r="B512" s="17">
        <f t="shared" si="23"/>
        <v>46319</v>
      </c>
      <c r="C512" s="26">
        <f>I512+J512+K512+L512+M512+N512+O512+IF(P512="",0,P512*サマリー!$B$9)+IF(Q512="",0,IF(Q512=200,サマリー!$B$10,IF(Q512=100,サマリー!$B$11,0)))+IF(R512="",0,R512*サマリー!$B$12)</f>
        <v>0</v>
      </c>
      <c r="D512" s="26">
        <f>S512+T512+U512+V512+W512+IF(X512="",0,X512*サマリー!$B$9)+IF(Y512="",0,IF(Y512=200,サマリー!$B$10,IF(Y512=100,サマリー!$B$11,0)))+IF(Z512="",0,Z512*サマリー!$B$12)</f>
        <v>0</v>
      </c>
      <c r="E512" s="26">
        <f t="shared" si="24"/>
        <v>0</v>
      </c>
      <c r="I512" s="29"/>
      <c r="J512" s="29"/>
      <c r="K512" s="29"/>
      <c r="L512" s="29"/>
      <c r="M512" s="29"/>
      <c r="N512" s="29"/>
      <c r="O512" s="29"/>
      <c r="P512" s="30"/>
      <c r="Q512" s="30"/>
      <c r="R512" s="30"/>
      <c r="S512" s="31"/>
      <c r="T512" s="31"/>
      <c r="U512" s="31"/>
      <c r="V512" s="31"/>
      <c r="W512" s="31"/>
      <c r="X512" s="32"/>
      <c r="Y512" s="32"/>
      <c r="Z512" s="32"/>
    </row>
    <row r="513" spans="1:26">
      <c r="A513" s="28"/>
      <c r="B513" s="17">
        <f t="shared" ref="B513:B576" si="25">IF(A513="",B512,IF(A513&lt;DAY(B512),DATE(YEAR(B512),MONTH(B512)+1,A513),DATE(YEAR(B512),MONTH(B512),A513)))</f>
        <v>46319</v>
      </c>
      <c r="C513" s="26">
        <f>I513+J513+K513+L513+M513+N513+O513+IF(P513="",0,P513*サマリー!$B$9)+IF(Q513="",0,IF(Q513=200,サマリー!$B$10,IF(Q513=100,サマリー!$B$11,0)))+IF(R513="",0,R513*サマリー!$B$12)</f>
        <v>0</v>
      </c>
      <c r="D513" s="26">
        <f>S513+T513+U513+V513+W513+IF(X513="",0,X513*サマリー!$B$9)+IF(Y513="",0,IF(Y513=200,サマリー!$B$10,IF(Y513=100,サマリー!$B$11,0)))+IF(Z513="",0,Z513*サマリー!$B$12)</f>
        <v>0</v>
      </c>
      <c r="E513" s="26">
        <f t="shared" si="24"/>
        <v>0</v>
      </c>
      <c r="I513" s="29"/>
      <c r="J513" s="29"/>
      <c r="K513" s="29"/>
      <c r="L513" s="29"/>
      <c r="M513" s="29"/>
      <c r="N513" s="29"/>
      <c r="O513" s="29"/>
      <c r="P513" s="30"/>
      <c r="Q513" s="30"/>
      <c r="R513" s="30"/>
      <c r="S513" s="31"/>
      <c r="T513" s="31"/>
      <c r="U513" s="31"/>
      <c r="V513" s="31"/>
      <c r="W513" s="31"/>
      <c r="X513" s="32"/>
      <c r="Y513" s="32"/>
      <c r="Z513" s="32"/>
    </row>
    <row r="514" spans="1:26">
      <c r="A514" s="28"/>
      <c r="B514" s="17">
        <f t="shared" si="25"/>
        <v>46319</v>
      </c>
      <c r="C514" s="26">
        <f>I514+J514+K514+L514+M514+N514+O514+IF(P514="",0,P514*サマリー!$B$9)+IF(Q514="",0,IF(Q514=200,サマリー!$B$10,IF(Q514=100,サマリー!$B$11,0)))+IF(R514="",0,R514*サマリー!$B$12)</f>
        <v>0</v>
      </c>
      <c r="D514" s="26">
        <f>S514+T514+U514+V514+W514+IF(X514="",0,X514*サマリー!$B$9)+IF(Y514="",0,IF(Y514=200,サマリー!$B$10,IF(Y514=100,サマリー!$B$11,0)))+IF(Z514="",0,Z514*サマリー!$B$12)</f>
        <v>0</v>
      </c>
      <c r="E514" s="26">
        <f t="shared" si="24"/>
        <v>0</v>
      </c>
      <c r="I514" s="29"/>
      <c r="J514" s="29"/>
      <c r="K514" s="29"/>
      <c r="L514" s="29"/>
      <c r="M514" s="29"/>
      <c r="N514" s="29"/>
      <c r="O514" s="29"/>
      <c r="P514" s="30"/>
      <c r="Q514" s="30"/>
      <c r="R514" s="30"/>
      <c r="S514" s="31"/>
      <c r="T514" s="31"/>
      <c r="U514" s="31"/>
      <c r="V514" s="31"/>
      <c r="W514" s="31"/>
      <c r="X514" s="32"/>
      <c r="Y514" s="32"/>
      <c r="Z514" s="32"/>
    </row>
    <row r="515" spans="1:26">
      <c r="A515" s="28"/>
      <c r="B515" s="17">
        <f t="shared" si="25"/>
        <v>46319</v>
      </c>
      <c r="C515" s="26">
        <f>I515+J515+K515+L515+M515+N515+O515+IF(P515="",0,P515*サマリー!$B$9)+IF(Q515="",0,IF(Q515=200,サマリー!$B$10,IF(Q515=100,サマリー!$B$11,0)))+IF(R515="",0,R515*サマリー!$B$12)</f>
        <v>0</v>
      </c>
      <c r="D515" s="26">
        <f>S515+T515+U515+V515+W515+IF(X515="",0,X515*サマリー!$B$9)+IF(Y515="",0,IF(Y515=200,サマリー!$B$10,IF(Y515=100,サマリー!$B$11,0)))+IF(Z515="",0,Z515*サマリー!$B$12)</f>
        <v>0</v>
      </c>
      <c r="E515" s="26">
        <f t="shared" si="24"/>
        <v>0</v>
      </c>
      <c r="I515" s="29"/>
      <c r="J515" s="29"/>
      <c r="K515" s="29"/>
      <c r="L515" s="29"/>
      <c r="M515" s="29"/>
      <c r="N515" s="29"/>
      <c r="O515" s="29"/>
      <c r="P515" s="30"/>
      <c r="Q515" s="30"/>
      <c r="R515" s="30"/>
      <c r="S515" s="31"/>
      <c r="T515" s="31"/>
      <c r="U515" s="31"/>
      <c r="V515" s="31"/>
      <c r="W515" s="31"/>
      <c r="X515" s="32"/>
      <c r="Y515" s="32"/>
      <c r="Z515" s="32"/>
    </row>
    <row r="516" spans="1:26">
      <c r="A516" s="28"/>
      <c r="B516" s="17">
        <f t="shared" si="25"/>
        <v>46319</v>
      </c>
      <c r="C516" s="26">
        <f>I516+J516+K516+L516+M516+N516+O516+IF(P516="",0,P516*サマリー!$B$9)+IF(Q516="",0,IF(Q516=200,サマリー!$B$10,IF(Q516=100,サマリー!$B$11,0)))+IF(R516="",0,R516*サマリー!$B$12)</f>
        <v>0</v>
      </c>
      <c r="D516" s="26">
        <f>S516+T516+U516+V516+W516+IF(X516="",0,X516*サマリー!$B$9)+IF(Y516="",0,IF(Y516=200,サマリー!$B$10,IF(Y516=100,サマリー!$B$11,0)))+IF(Z516="",0,Z516*サマリー!$B$12)</f>
        <v>0</v>
      </c>
      <c r="E516" s="26">
        <f t="shared" si="24"/>
        <v>0</v>
      </c>
      <c r="I516" s="29"/>
      <c r="J516" s="29"/>
      <c r="K516" s="29"/>
      <c r="L516" s="29"/>
      <c r="M516" s="29"/>
      <c r="N516" s="29"/>
      <c r="O516" s="29"/>
      <c r="P516" s="30"/>
      <c r="Q516" s="30"/>
      <c r="R516" s="30"/>
      <c r="S516" s="31"/>
      <c r="T516" s="31"/>
      <c r="U516" s="31"/>
      <c r="V516" s="31"/>
      <c r="W516" s="31"/>
      <c r="X516" s="32"/>
      <c r="Y516" s="32"/>
      <c r="Z516" s="32"/>
    </row>
    <row r="517" spans="1:26">
      <c r="A517" s="28"/>
      <c r="B517" s="17">
        <f t="shared" si="25"/>
        <v>46319</v>
      </c>
      <c r="C517" s="26">
        <f>I517+J517+K517+L517+M517+N517+O517+IF(P517="",0,P517*サマリー!$B$9)+IF(Q517="",0,IF(Q517=200,サマリー!$B$10,IF(Q517=100,サマリー!$B$11,0)))+IF(R517="",0,R517*サマリー!$B$12)</f>
        <v>0</v>
      </c>
      <c r="D517" s="26">
        <f>S517+T517+U517+V517+W517+IF(X517="",0,X517*サマリー!$B$9)+IF(Y517="",0,IF(Y517=200,サマリー!$B$10,IF(Y517=100,サマリー!$B$11,0)))+IF(Z517="",0,Z517*サマリー!$B$12)</f>
        <v>0</v>
      </c>
      <c r="E517" s="26">
        <f t="shared" si="24"/>
        <v>0</v>
      </c>
      <c r="I517" s="29"/>
      <c r="J517" s="29"/>
      <c r="K517" s="29"/>
      <c r="L517" s="29"/>
      <c r="M517" s="29"/>
      <c r="N517" s="29"/>
      <c r="O517" s="29"/>
      <c r="P517" s="30"/>
      <c r="Q517" s="30"/>
      <c r="R517" s="30"/>
      <c r="S517" s="31"/>
      <c r="T517" s="31"/>
      <c r="U517" s="31"/>
      <c r="V517" s="31"/>
      <c r="W517" s="31"/>
      <c r="X517" s="32"/>
      <c r="Y517" s="32"/>
      <c r="Z517" s="32"/>
    </row>
    <row r="518" spans="1:26">
      <c r="A518" s="28"/>
      <c r="B518" s="17">
        <f t="shared" si="25"/>
        <v>46319</v>
      </c>
      <c r="C518" s="26">
        <f>I518+J518+K518+L518+M518+N518+O518+IF(P518="",0,P518*サマリー!$B$9)+IF(Q518="",0,IF(Q518=200,サマリー!$B$10,IF(Q518=100,サマリー!$B$11,0)))+IF(R518="",0,R518*サマリー!$B$12)</f>
        <v>0</v>
      </c>
      <c r="D518" s="26">
        <f>S518+T518+U518+V518+W518+IF(X518="",0,X518*サマリー!$B$9)+IF(Y518="",0,IF(Y518=200,サマリー!$B$10,IF(Y518=100,サマリー!$B$11,0)))+IF(Z518="",0,Z518*サマリー!$B$12)</f>
        <v>0</v>
      </c>
      <c r="E518" s="26">
        <f t="shared" si="24"/>
        <v>0</v>
      </c>
      <c r="I518" s="29"/>
      <c r="J518" s="29"/>
      <c r="K518" s="29"/>
      <c r="L518" s="29"/>
      <c r="M518" s="29"/>
      <c r="N518" s="29"/>
      <c r="O518" s="29"/>
      <c r="P518" s="30"/>
      <c r="Q518" s="30"/>
      <c r="R518" s="30"/>
      <c r="S518" s="31"/>
      <c r="T518" s="31"/>
      <c r="U518" s="31"/>
      <c r="V518" s="31"/>
      <c r="W518" s="31"/>
      <c r="X518" s="32"/>
      <c r="Y518" s="32"/>
      <c r="Z518" s="32"/>
    </row>
    <row r="519" spans="1:26">
      <c r="A519" s="28"/>
      <c r="B519" s="17">
        <f t="shared" si="25"/>
        <v>46319</v>
      </c>
      <c r="C519" s="26">
        <f>I519+J519+K519+L519+M519+N519+O519+IF(P519="",0,P519*サマリー!$B$9)+IF(Q519="",0,IF(Q519=200,サマリー!$B$10,IF(Q519=100,サマリー!$B$11,0)))+IF(R519="",0,R519*サマリー!$B$12)</f>
        <v>0</v>
      </c>
      <c r="D519" s="26">
        <f>S519+T519+U519+V519+W519+IF(X519="",0,X519*サマリー!$B$9)+IF(Y519="",0,IF(Y519=200,サマリー!$B$10,IF(Y519=100,サマリー!$B$11,0)))+IF(Z519="",0,Z519*サマリー!$B$12)</f>
        <v>0</v>
      </c>
      <c r="E519" s="26">
        <f t="shared" si="24"/>
        <v>0</v>
      </c>
      <c r="I519" s="29"/>
      <c r="J519" s="29"/>
      <c r="K519" s="29"/>
      <c r="L519" s="29"/>
      <c r="M519" s="29"/>
      <c r="N519" s="29"/>
      <c r="O519" s="29"/>
      <c r="P519" s="30"/>
      <c r="Q519" s="30"/>
      <c r="R519" s="30"/>
      <c r="S519" s="31"/>
      <c r="T519" s="31"/>
      <c r="U519" s="31"/>
      <c r="V519" s="31"/>
      <c r="W519" s="31"/>
      <c r="X519" s="32"/>
      <c r="Y519" s="32"/>
      <c r="Z519" s="32"/>
    </row>
    <row r="520" spans="1:26">
      <c r="A520" s="28"/>
      <c r="B520" s="17">
        <f t="shared" si="25"/>
        <v>46319</v>
      </c>
      <c r="C520" s="26">
        <f>I520+J520+K520+L520+M520+N520+O520+IF(P520="",0,P520*サマリー!$B$9)+IF(Q520="",0,IF(Q520=200,サマリー!$B$10,IF(Q520=100,サマリー!$B$11,0)))+IF(R520="",0,R520*サマリー!$B$12)</f>
        <v>0</v>
      </c>
      <c r="D520" s="26">
        <f>S520+T520+U520+V520+W520+IF(X520="",0,X520*サマリー!$B$9)+IF(Y520="",0,IF(Y520=200,サマリー!$B$10,IF(Y520=100,サマリー!$B$11,0)))+IF(Z520="",0,Z520*サマリー!$B$12)</f>
        <v>0</v>
      </c>
      <c r="E520" s="26">
        <f t="shared" si="24"/>
        <v>0</v>
      </c>
      <c r="I520" s="29"/>
      <c r="J520" s="29"/>
      <c r="K520" s="29"/>
      <c r="L520" s="29"/>
      <c r="M520" s="29"/>
      <c r="N520" s="29"/>
      <c r="O520" s="29"/>
      <c r="P520" s="30"/>
      <c r="Q520" s="30"/>
      <c r="R520" s="30"/>
      <c r="S520" s="31"/>
      <c r="T520" s="31"/>
      <c r="U520" s="31"/>
      <c r="V520" s="31"/>
      <c r="W520" s="31"/>
      <c r="X520" s="32"/>
      <c r="Y520" s="32"/>
      <c r="Z520" s="32"/>
    </row>
    <row r="521" spans="1:26">
      <c r="A521" s="28"/>
      <c r="B521" s="17">
        <f t="shared" si="25"/>
        <v>46319</v>
      </c>
      <c r="C521" s="26">
        <f>I521+J521+K521+L521+M521+N521+O521+IF(P521="",0,P521*サマリー!$B$9)+IF(Q521="",0,IF(Q521=200,サマリー!$B$10,IF(Q521=100,サマリー!$B$11,0)))+IF(R521="",0,R521*サマリー!$B$12)</f>
        <v>0</v>
      </c>
      <c r="D521" s="26">
        <f>S521+T521+U521+V521+W521+IF(X521="",0,X521*サマリー!$B$9)+IF(Y521="",0,IF(Y521=200,サマリー!$B$10,IF(Y521=100,サマリー!$B$11,0)))+IF(Z521="",0,Z521*サマリー!$B$12)</f>
        <v>0</v>
      </c>
      <c r="E521" s="26">
        <f t="shared" si="24"/>
        <v>0</v>
      </c>
      <c r="I521" s="29"/>
      <c r="J521" s="29"/>
      <c r="K521" s="29"/>
      <c r="L521" s="29"/>
      <c r="M521" s="29"/>
      <c r="N521" s="29"/>
      <c r="O521" s="29"/>
      <c r="P521" s="30"/>
      <c r="Q521" s="30"/>
      <c r="R521" s="30"/>
      <c r="S521" s="31"/>
      <c r="T521" s="31"/>
      <c r="U521" s="31"/>
      <c r="V521" s="31"/>
      <c r="W521" s="31"/>
      <c r="X521" s="32"/>
      <c r="Y521" s="32"/>
      <c r="Z521" s="32"/>
    </row>
    <row r="522" spans="1:26">
      <c r="A522" s="28"/>
      <c r="B522" s="17">
        <f t="shared" si="25"/>
        <v>46319</v>
      </c>
      <c r="C522" s="26">
        <f>I522+J522+K522+L522+M522+N522+O522+IF(P522="",0,P522*サマリー!$B$9)+IF(Q522="",0,IF(Q522=200,サマリー!$B$10,IF(Q522=100,サマリー!$B$11,0)))+IF(R522="",0,R522*サマリー!$B$12)</f>
        <v>0</v>
      </c>
      <c r="D522" s="26">
        <f>S522+T522+U522+V522+W522+IF(X522="",0,X522*サマリー!$B$9)+IF(Y522="",0,IF(Y522=200,サマリー!$B$10,IF(Y522=100,サマリー!$B$11,0)))+IF(Z522="",0,Z522*サマリー!$B$12)</f>
        <v>0</v>
      </c>
      <c r="E522" s="26">
        <f t="shared" si="24"/>
        <v>0</v>
      </c>
      <c r="I522" s="29"/>
      <c r="J522" s="29"/>
      <c r="K522" s="29"/>
      <c r="L522" s="29"/>
      <c r="M522" s="29"/>
      <c r="N522" s="29"/>
      <c r="O522" s="29"/>
      <c r="P522" s="30"/>
      <c r="Q522" s="30"/>
      <c r="R522" s="30"/>
      <c r="S522" s="31"/>
      <c r="T522" s="31"/>
      <c r="U522" s="31"/>
      <c r="V522" s="31"/>
      <c r="W522" s="31"/>
      <c r="X522" s="32"/>
      <c r="Y522" s="32"/>
      <c r="Z522" s="32"/>
    </row>
    <row r="523" spans="1:26">
      <c r="A523" s="28"/>
      <c r="B523" s="17">
        <f t="shared" si="25"/>
        <v>46319</v>
      </c>
      <c r="C523" s="26">
        <f>I523+J523+K523+L523+M523+N523+O523+IF(P523="",0,P523*サマリー!$B$9)+IF(Q523="",0,IF(Q523=200,サマリー!$B$10,IF(Q523=100,サマリー!$B$11,0)))+IF(R523="",0,R523*サマリー!$B$12)</f>
        <v>0</v>
      </c>
      <c r="D523" s="26">
        <f>S523+T523+U523+V523+W523+IF(X523="",0,X523*サマリー!$B$9)+IF(Y523="",0,IF(Y523=200,サマリー!$B$10,IF(Y523=100,サマリー!$B$11,0)))+IF(Z523="",0,Z523*サマリー!$B$12)</f>
        <v>0</v>
      </c>
      <c r="E523" s="26">
        <f t="shared" si="24"/>
        <v>0</v>
      </c>
      <c r="I523" s="29"/>
      <c r="J523" s="29"/>
      <c r="K523" s="29"/>
      <c r="L523" s="29"/>
      <c r="M523" s="29"/>
      <c r="N523" s="29"/>
      <c r="O523" s="29"/>
      <c r="P523" s="30"/>
      <c r="Q523" s="30"/>
      <c r="R523" s="30"/>
      <c r="S523" s="31"/>
      <c r="T523" s="31"/>
      <c r="U523" s="31"/>
      <c r="V523" s="31"/>
      <c r="W523" s="31"/>
      <c r="X523" s="32"/>
      <c r="Y523" s="32"/>
      <c r="Z523" s="32"/>
    </row>
    <row r="524" spans="1:26">
      <c r="A524" s="28"/>
      <c r="B524" s="17">
        <f t="shared" si="25"/>
        <v>46319</v>
      </c>
      <c r="C524" s="26">
        <f>I524+J524+K524+L524+M524+N524+O524+IF(P524="",0,P524*サマリー!$B$9)+IF(Q524="",0,IF(Q524=200,サマリー!$B$10,IF(Q524=100,サマリー!$B$11,0)))+IF(R524="",0,R524*サマリー!$B$12)</f>
        <v>0</v>
      </c>
      <c r="D524" s="26">
        <f>S524+T524+U524+V524+W524+IF(X524="",0,X524*サマリー!$B$9)+IF(Y524="",0,IF(Y524=200,サマリー!$B$10,IF(Y524=100,サマリー!$B$11,0)))+IF(Z524="",0,Z524*サマリー!$B$12)</f>
        <v>0</v>
      </c>
      <c r="E524" s="26">
        <f t="shared" si="24"/>
        <v>0</v>
      </c>
      <c r="I524" s="29"/>
      <c r="J524" s="29"/>
      <c r="K524" s="29"/>
      <c r="L524" s="29"/>
      <c r="M524" s="29"/>
      <c r="N524" s="29"/>
      <c r="O524" s="29"/>
      <c r="P524" s="30"/>
      <c r="Q524" s="30"/>
      <c r="R524" s="30"/>
      <c r="S524" s="31"/>
      <c r="T524" s="31"/>
      <c r="U524" s="31"/>
      <c r="V524" s="31"/>
      <c r="W524" s="31"/>
      <c r="X524" s="32"/>
      <c r="Y524" s="32"/>
      <c r="Z524" s="32"/>
    </row>
    <row r="525" spans="1:26">
      <c r="A525" s="28"/>
      <c r="B525" s="17">
        <f t="shared" si="25"/>
        <v>46319</v>
      </c>
      <c r="C525" s="26">
        <f>I525+J525+K525+L525+M525+N525+O525+IF(P525="",0,P525*サマリー!$B$9)+IF(Q525="",0,IF(Q525=200,サマリー!$B$10,IF(Q525=100,サマリー!$B$11,0)))+IF(R525="",0,R525*サマリー!$B$12)</f>
        <v>0</v>
      </c>
      <c r="D525" s="26">
        <f>S525+T525+U525+V525+W525+IF(X525="",0,X525*サマリー!$B$9)+IF(Y525="",0,IF(Y525=200,サマリー!$B$10,IF(Y525=100,サマリー!$B$11,0)))+IF(Z525="",0,Z525*サマリー!$B$12)</f>
        <v>0</v>
      </c>
      <c r="E525" s="26">
        <f t="shared" si="24"/>
        <v>0</v>
      </c>
      <c r="I525" s="29"/>
      <c r="J525" s="29"/>
      <c r="K525" s="29"/>
      <c r="L525" s="29"/>
      <c r="M525" s="29"/>
      <c r="N525" s="29"/>
      <c r="O525" s="29"/>
      <c r="P525" s="30"/>
      <c r="Q525" s="30"/>
      <c r="R525" s="30"/>
      <c r="S525" s="31"/>
      <c r="T525" s="31"/>
      <c r="U525" s="31"/>
      <c r="V525" s="31"/>
      <c r="W525" s="31"/>
      <c r="X525" s="32"/>
      <c r="Y525" s="32"/>
      <c r="Z525" s="32"/>
    </row>
    <row r="526" spans="1:26">
      <c r="A526" s="28"/>
      <c r="B526" s="17">
        <f t="shared" si="25"/>
        <v>46319</v>
      </c>
      <c r="C526" s="26">
        <f>I526+J526+K526+L526+M526+N526+O526+IF(P526="",0,P526*サマリー!$B$9)+IF(Q526="",0,IF(Q526=200,サマリー!$B$10,IF(Q526=100,サマリー!$B$11,0)))+IF(R526="",0,R526*サマリー!$B$12)</f>
        <v>0</v>
      </c>
      <c r="D526" s="26">
        <f>S526+T526+U526+V526+W526+IF(X526="",0,X526*サマリー!$B$9)+IF(Y526="",0,IF(Y526=200,サマリー!$B$10,IF(Y526=100,サマリー!$B$11,0)))+IF(Z526="",0,Z526*サマリー!$B$12)</f>
        <v>0</v>
      </c>
      <c r="E526" s="26">
        <f t="shared" si="24"/>
        <v>0</v>
      </c>
      <c r="I526" s="29"/>
      <c r="J526" s="29"/>
      <c r="K526" s="29"/>
      <c r="L526" s="29"/>
      <c r="M526" s="29"/>
      <c r="N526" s="29"/>
      <c r="O526" s="29"/>
      <c r="P526" s="30"/>
      <c r="Q526" s="30"/>
      <c r="R526" s="30"/>
      <c r="S526" s="31"/>
      <c r="T526" s="31"/>
      <c r="U526" s="31"/>
      <c r="V526" s="31"/>
      <c r="W526" s="31"/>
      <c r="X526" s="32"/>
      <c r="Y526" s="32"/>
      <c r="Z526" s="32"/>
    </row>
    <row r="527" spans="1:26">
      <c r="A527" s="28"/>
      <c r="B527" s="17">
        <f t="shared" si="25"/>
        <v>46319</v>
      </c>
      <c r="C527" s="26">
        <f>I527+J527+K527+L527+M527+N527+O527+IF(P527="",0,P527*サマリー!$B$9)+IF(Q527="",0,IF(Q527=200,サマリー!$B$10,IF(Q527=100,サマリー!$B$11,0)))+IF(R527="",0,R527*サマリー!$B$12)</f>
        <v>0</v>
      </c>
      <c r="D527" s="26">
        <f>S527+T527+U527+V527+W527+IF(X527="",0,X527*サマリー!$B$9)+IF(Y527="",0,IF(Y527=200,サマリー!$B$10,IF(Y527=100,サマリー!$B$11,0)))+IF(Z527="",0,Z527*サマリー!$B$12)</f>
        <v>0</v>
      </c>
      <c r="E527" s="26">
        <f t="shared" si="24"/>
        <v>0</v>
      </c>
      <c r="I527" s="29"/>
      <c r="J527" s="29"/>
      <c r="K527" s="29"/>
      <c r="L527" s="29"/>
      <c r="M527" s="29"/>
      <c r="N527" s="29"/>
      <c r="O527" s="29"/>
      <c r="P527" s="30"/>
      <c r="Q527" s="30"/>
      <c r="R527" s="30"/>
      <c r="S527" s="31"/>
      <c r="T527" s="31"/>
      <c r="U527" s="31"/>
      <c r="V527" s="31"/>
      <c r="W527" s="31"/>
      <c r="X527" s="32"/>
      <c r="Y527" s="32"/>
      <c r="Z527" s="32"/>
    </row>
    <row r="528" spans="1:26">
      <c r="A528" s="28"/>
      <c r="B528" s="17">
        <f t="shared" si="25"/>
        <v>46319</v>
      </c>
      <c r="C528" s="26">
        <f>I528+J528+K528+L528+M528+N528+O528+IF(P528="",0,P528*サマリー!$B$9)+IF(Q528="",0,IF(Q528=200,サマリー!$B$10,IF(Q528=100,サマリー!$B$11,0)))+IF(R528="",0,R528*サマリー!$B$12)</f>
        <v>0</v>
      </c>
      <c r="D528" s="26">
        <f>S528+T528+U528+V528+W528+IF(X528="",0,X528*サマリー!$B$9)+IF(Y528="",0,IF(Y528=200,サマリー!$B$10,IF(Y528=100,サマリー!$B$11,0)))+IF(Z528="",0,Z528*サマリー!$B$12)</f>
        <v>0</v>
      </c>
      <c r="E528" s="26">
        <f t="shared" si="24"/>
        <v>0</v>
      </c>
      <c r="I528" s="29"/>
      <c r="J528" s="29"/>
      <c r="K528" s="29"/>
      <c r="L528" s="29"/>
      <c r="M528" s="29"/>
      <c r="N528" s="29"/>
      <c r="O528" s="29"/>
      <c r="P528" s="30"/>
      <c r="Q528" s="30"/>
      <c r="R528" s="30"/>
      <c r="S528" s="31"/>
      <c r="T528" s="31"/>
      <c r="U528" s="31"/>
      <c r="V528" s="31"/>
      <c r="W528" s="31"/>
      <c r="X528" s="32"/>
      <c r="Y528" s="32"/>
      <c r="Z528" s="32"/>
    </row>
    <row r="529" spans="1:26">
      <c r="A529" s="28"/>
      <c r="B529" s="17">
        <f t="shared" si="25"/>
        <v>46319</v>
      </c>
      <c r="C529" s="26">
        <f>I529+J529+K529+L529+M529+N529+O529+IF(P529="",0,P529*サマリー!$B$9)+IF(Q529="",0,IF(Q529=200,サマリー!$B$10,IF(Q529=100,サマリー!$B$11,0)))+IF(R529="",0,R529*サマリー!$B$12)</f>
        <v>0</v>
      </c>
      <c r="D529" s="26">
        <f>S529+T529+U529+V529+W529+IF(X529="",0,X529*サマリー!$B$9)+IF(Y529="",0,IF(Y529=200,サマリー!$B$10,IF(Y529=100,サマリー!$B$11,0)))+IF(Z529="",0,Z529*サマリー!$B$12)</f>
        <v>0</v>
      </c>
      <c r="E529" s="26">
        <f t="shared" si="24"/>
        <v>0</v>
      </c>
      <c r="I529" s="29"/>
      <c r="J529" s="29"/>
      <c r="K529" s="29"/>
      <c r="L529" s="29"/>
      <c r="M529" s="29"/>
      <c r="N529" s="29"/>
      <c r="O529" s="29"/>
      <c r="P529" s="30"/>
      <c r="Q529" s="30"/>
      <c r="R529" s="30"/>
      <c r="S529" s="31"/>
      <c r="T529" s="31"/>
      <c r="U529" s="31"/>
      <c r="V529" s="31"/>
      <c r="W529" s="31"/>
      <c r="X529" s="32"/>
      <c r="Y529" s="32"/>
      <c r="Z529" s="32"/>
    </row>
    <row r="530" spans="1:26">
      <c r="A530" s="28"/>
      <c r="B530" s="17">
        <f t="shared" si="25"/>
        <v>46319</v>
      </c>
      <c r="C530" s="26">
        <f>I530+J530+K530+L530+M530+N530+O530+IF(P530="",0,P530*サマリー!$B$9)+IF(Q530="",0,IF(Q530=200,サマリー!$B$10,IF(Q530=100,サマリー!$B$11,0)))+IF(R530="",0,R530*サマリー!$B$12)</f>
        <v>0</v>
      </c>
      <c r="D530" s="26">
        <f>S530+T530+U530+V530+W530+IF(X530="",0,X530*サマリー!$B$9)+IF(Y530="",0,IF(Y530=200,サマリー!$B$10,IF(Y530=100,サマリー!$B$11,0)))+IF(Z530="",0,Z530*サマリー!$B$12)</f>
        <v>0</v>
      </c>
      <c r="E530" s="26">
        <f t="shared" si="24"/>
        <v>0</v>
      </c>
      <c r="I530" s="29"/>
      <c r="J530" s="29"/>
      <c r="K530" s="29"/>
      <c r="L530" s="29"/>
      <c r="M530" s="29"/>
      <c r="N530" s="29"/>
      <c r="O530" s="29"/>
      <c r="P530" s="30"/>
      <c r="Q530" s="30"/>
      <c r="R530" s="30"/>
      <c r="S530" s="31"/>
      <c r="T530" s="31"/>
      <c r="U530" s="31"/>
      <c r="V530" s="31"/>
      <c r="W530" s="31"/>
      <c r="X530" s="32"/>
      <c r="Y530" s="32"/>
      <c r="Z530" s="32"/>
    </row>
    <row r="531" spans="1:26">
      <c r="A531" s="28"/>
      <c r="B531" s="17">
        <f t="shared" si="25"/>
        <v>46319</v>
      </c>
      <c r="C531" s="26">
        <f>I531+J531+K531+L531+M531+N531+O531+IF(P531="",0,P531*サマリー!$B$9)+IF(Q531="",0,IF(Q531=200,サマリー!$B$10,IF(Q531=100,サマリー!$B$11,0)))+IF(R531="",0,R531*サマリー!$B$12)</f>
        <v>0</v>
      </c>
      <c r="D531" s="26">
        <f>S531+T531+U531+V531+W531+IF(X531="",0,X531*サマリー!$B$9)+IF(Y531="",0,IF(Y531=200,サマリー!$B$10,IF(Y531=100,サマリー!$B$11,0)))+IF(Z531="",0,Z531*サマリー!$B$12)</f>
        <v>0</v>
      </c>
      <c r="E531" s="26">
        <f t="shared" si="24"/>
        <v>0</v>
      </c>
      <c r="I531" s="29"/>
      <c r="J531" s="29"/>
      <c r="K531" s="29"/>
      <c r="L531" s="29"/>
      <c r="M531" s="29"/>
      <c r="N531" s="29"/>
      <c r="O531" s="29"/>
      <c r="P531" s="30"/>
      <c r="Q531" s="30"/>
      <c r="R531" s="30"/>
      <c r="S531" s="31"/>
      <c r="T531" s="31"/>
      <c r="U531" s="31"/>
      <c r="V531" s="31"/>
      <c r="W531" s="31"/>
      <c r="X531" s="32"/>
      <c r="Y531" s="32"/>
      <c r="Z531" s="32"/>
    </row>
    <row r="532" spans="1:26">
      <c r="A532" s="28"/>
      <c r="B532" s="17">
        <f t="shared" si="25"/>
        <v>46319</v>
      </c>
      <c r="C532" s="26">
        <f>I532+J532+K532+L532+M532+N532+O532+IF(P532="",0,P532*サマリー!$B$9)+IF(Q532="",0,IF(Q532=200,サマリー!$B$10,IF(Q532=100,サマリー!$B$11,0)))+IF(R532="",0,R532*サマリー!$B$12)</f>
        <v>0</v>
      </c>
      <c r="D532" s="26">
        <f>S532+T532+U532+V532+W532+IF(X532="",0,X532*サマリー!$B$9)+IF(Y532="",0,IF(Y532=200,サマリー!$B$10,IF(Y532=100,サマリー!$B$11,0)))+IF(Z532="",0,Z532*サマリー!$B$12)</f>
        <v>0</v>
      </c>
      <c r="E532" s="26">
        <f t="shared" si="24"/>
        <v>0</v>
      </c>
      <c r="I532" s="29"/>
      <c r="J532" s="29"/>
      <c r="K532" s="29"/>
      <c r="L532" s="29"/>
      <c r="M532" s="29"/>
      <c r="N532" s="29"/>
      <c r="O532" s="29"/>
      <c r="P532" s="30"/>
      <c r="Q532" s="30"/>
      <c r="R532" s="30"/>
      <c r="S532" s="31"/>
      <c r="T532" s="31"/>
      <c r="U532" s="31"/>
      <c r="V532" s="31"/>
      <c r="W532" s="31"/>
      <c r="X532" s="32"/>
      <c r="Y532" s="32"/>
      <c r="Z532" s="32"/>
    </row>
    <row r="533" spans="1:26">
      <c r="A533" s="28"/>
      <c r="B533" s="17">
        <f t="shared" si="25"/>
        <v>46319</v>
      </c>
      <c r="C533" s="26">
        <f>I533+J533+K533+L533+M533+N533+O533+IF(P533="",0,P533*サマリー!$B$9)+IF(Q533="",0,IF(Q533=200,サマリー!$B$10,IF(Q533=100,サマリー!$B$11,0)))+IF(R533="",0,R533*サマリー!$B$12)</f>
        <v>0</v>
      </c>
      <c r="D533" s="26">
        <f>S533+T533+U533+V533+W533+IF(X533="",0,X533*サマリー!$B$9)+IF(Y533="",0,IF(Y533=200,サマリー!$B$10,IF(Y533=100,サマリー!$B$11,0)))+IF(Z533="",0,Z533*サマリー!$B$12)</f>
        <v>0</v>
      </c>
      <c r="E533" s="26">
        <f t="shared" si="24"/>
        <v>0</v>
      </c>
      <c r="I533" s="29"/>
      <c r="J533" s="29"/>
      <c r="K533" s="29"/>
      <c r="L533" s="29"/>
      <c r="M533" s="29"/>
      <c r="N533" s="29"/>
      <c r="O533" s="29"/>
      <c r="P533" s="30"/>
      <c r="Q533" s="30"/>
      <c r="R533" s="30"/>
      <c r="S533" s="31"/>
      <c r="T533" s="31"/>
      <c r="U533" s="31"/>
      <c r="V533" s="31"/>
      <c r="W533" s="31"/>
      <c r="X533" s="32"/>
      <c r="Y533" s="32"/>
      <c r="Z533" s="32"/>
    </row>
    <row r="534" spans="1:26">
      <c r="A534" s="28"/>
      <c r="B534" s="17">
        <f t="shared" si="25"/>
        <v>46319</v>
      </c>
      <c r="C534" s="26">
        <f>I534+J534+K534+L534+M534+N534+O534+IF(P534="",0,P534*サマリー!$B$9)+IF(Q534="",0,IF(Q534=200,サマリー!$B$10,IF(Q534=100,サマリー!$B$11,0)))+IF(R534="",0,R534*サマリー!$B$12)</f>
        <v>0</v>
      </c>
      <c r="D534" s="26">
        <f>S534+T534+U534+V534+W534+IF(X534="",0,X534*サマリー!$B$9)+IF(Y534="",0,IF(Y534=200,サマリー!$B$10,IF(Y534=100,サマリー!$B$11,0)))+IF(Z534="",0,Z534*サマリー!$B$12)</f>
        <v>0</v>
      </c>
      <c r="E534" s="26">
        <f t="shared" si="24"/>
        <v>0</v>
      </c>
      <c r="I534" s="29"/>
      <c r="J534" s="29"/>
      <c r="K534" s="29"/>
      <c r="L534" s="29"/>
      <c r="M534" s="29"/>
      <c r="N534" s="29"/>
      <c r="O534" s="29"/>
      <c r="P534" s="30"/>
      <c r="Q534" s="30"/>
      <c r="R534" s="30"/>
      <c r="S534" s="31"/>
      <c r="T534" s="31"/>
      <c r="U534" s="31"/>
      <c r="V534" s="31"/>
      <c r="W534" s="31"/>
      <c r="X534" s="32"/>
      <c r="Y534" s="32"/>
      <c r="Z534" s="32"/>
    </row>
    <row r="535" spans="1:26">
      <c r="A535" s="28"/>
      <c r="B535" s="17">
        <f t="shared" si="25"/>
        <v>46319</v>
      </c>
      <c r="C535" s="26">
        <f>I535+J535+K535+L535+M535+N535+O535+IF(P535="",0,P535*サマリー!$B$9)+IF(Q535="",0,IF(Q535=200,サマリー!$B$10,IF(Q535=100,サマリー!$B$11,0)))+IF(R535="",0,R535*サマリー!$B$12)</f>
        <v>0</v>
      </c>
      <c r="D535" s="26">
        <f>S535+T535+U535+V535+W535+IF(X535="",0,X535*サマリー!$B$9)+IF(Y535="",0,IF(Y535=200,サマリー!$B$10,IF(Y535=100,サマリー!$B$11,0)))+IF(Z535="",0,Z535*サマリー!$B$12)</f>
        <v>0</v>
      </c>
      <c r="E535" s="26">
        <f t="shared" si="24"/>
        <v>0</v>
      </c>
      <c r="I535" s="29"/>
      <c r="J535" s="29"/>
      <c r="K535" s="29"/>
      <c r="L535" s="29"/>
      <c r="M535" s="29"/>
      <c r="N535" s="29"/>
      <c r="O535" s="29"/>
      <c r="P535" s="30"/>
      <c r="Q535" s="30"/>
      <c r="R535" s="30"/>
      <c r="S535" s="31"/>
      <c r="T535" s="31"/>
      <c r="U535" s="31"/>
      <c r="V535" s="31"/>
      <c r="W535" s="31"/>
      <c r="X535" s="32"/>
      <c r="Y535" s="32"/>
      <c r="Z535" s="32"/>
    </row>
    <row r="536" spans="1:26">
      <c r="A536" s="28"/>
      <c r="B536" s="17">
        <f t="shared" si="25"/>
        <v>46319</v>
      </c>
      <c r="C536" s="26">
        <f>I536+J536+K536+L536+M536+N536+O536+IF(P536="",0,P536*サマリー!$B$9)+IF(Q536="",0,IF(Q536=200,サマリー!$B$10,IF(Q536=100,サマリー!$B$11,0)))+IF(R536="",0,R536*サマリー!$B$12)</f>
        <v>0</v>
      </c>
      <c r="D536" s="26">
        <f>S536+T536+U536+V536+W536+IF(X536="",0,X536*サマリー!$B$9)+IF(Y536="",0,IF(Y536=200,サマリー!$B$10,IF(Y536=100,サマリー!$B$11,0)))+IF(Z536="",0,Z536*サマリー!$B$12)</f>
        <v>0</v>
      </c>
      <c r="E536" s="26">
        <f t="shared" si="24"/>
        <v>0</v>
      </c>
      <c r="I536" s="29"/>
      <c r="J536" s="29"/>
      <c r="K536" s="29"/>
      <c r="L536" s="29"/>
      <c r="M536" s="29"/>
      <c r="N536" s="29"/>
      <c r="O536" s="29"/>
      <c r="P536" s="30"/>
      <c r="Q536" s="30"/>
      <c r="R536" s="30"/>
      <c r="S536" s="31"/>
      <c r="T536" s="31"/>
      <c r="U536" s="31"/>
      <c r="V536" s="31"/>
      <c r="W536" s="31"/>
      <c r="X536" s="32"/>
      <c r="Y536" s="32"/>
      <c r="Z536" s="32"/>
    </row>
    <row r="537" spans="1:26">
      <c r="A537" s="28"/>
      <c r="B537" s="17">
        <f t="shared" si="25"/>
        <v>46319</v>
      </c>
      <c r="C537" s="26">
        <f>I537+J537+K537+L537+M537+N537+O537+IF(P537="",0,P537*サマリー!$B$9)+IF(Q537="",0,IF(Q537=200,サマリー!$B$10,IF(Q537=100,サマリー!$B$11,0)))+IF(R537="",0,R537*サマリー!$B$12)</f>
        <v>0</v>
      </c>
      <c r="D537" s="26">
        <f>S537+T537+U537+V537+W537+IF(X537="",0,X537*サマリー!$B$9)+IF(Y537="",0,IF(Y537=200,サマリー!$B$10,IF(Y537=100,サマリー!$B$11,0)))+IF(Z537="",0,Z537*サマリー!$B$12)</f>
        <v>0</v>
      </c>
      <c r="E537" s="26">
        <f t="shared" si="24"/>
        <v>0</v>
      </c>
      <c r="I537" s="29"/>
      <c r="J537" s="29"/>
      <c r="K537" s="29"/>
      <c r="L537" s="29"/>
      <c r="M537" s="29"/>
      <c r="N537" s="29"/>
      <c r="O537" s="29"/>
      <c r="P537" s="30"/>
      <c r="Q537" s="30"/>
      <c r="R537" s="30"/>
      <c r="S537" s="31"/>
      <c r="T537" s="31"/>
      <c r="U537" s="31"/>
      <c r="V537" s="31"/>
      <c r="W537" s="31"/>
      <c r="X537" s="32"/>
      <c r="Y537" s="32"/>
      <c r="Z537" s="32"/>
    </row>
    <row r="538" spans="1:26">
      <c r="A538" s="28"/>
      <c r="B538" s="17">
        <f t="shared" si="25"/>
        <v>46319</v>
      </c>
      <c r="C538" s="26">
        <f>I538+J538+K538+L538+M538+N538+O538+IF(P538="",0,P538*サマリー!$B$9)+IF(Q538="",0,IF(Q538=200,サマリー!$B$10,IF(Q538=100,サマリー!$B$11,0)))+IF(R538="",0,R538*サマリー!$B$12)</f>
        <v>0</v>
      </c>
      <c r="D538" s="26">
        <f>S538+T538+U538+V538+W538+IF(X538="",0,X538*サマリー!$B$9)+IF(Y538="",0,IF(Y538=200,サマリー!$B$10,IF(Y538=100,サマリー!$B$11,0)))+IF(Z538="",0,Z538*サマリー!$B$12)</f>
        <v>0</v>
      </c>
      <c r="E538" s="26">
        <f t="shared" si="24"/>
        <v>0</v>
      </c>
      <c r="I538" s="29"/>
      <c r="J538" s="29"/>
      <c r="K538" s="29"/>
      <c r="L538" s="29"/>
      <c r="M538" s="29"/>
      <c r="N538" s="29"/>
      <c r="O538" s="29"/>
      <c r="P538" s="30"/>
      <c r="Q538" s="30"/>
      <c r="R538" s="30"/>
      <c r="S538" s="31"/>
      <c r="T538" s="31"/>
      <c r="U538" s="31"/>
      <c r="V538" s="31"/>
      <c r="W538" s="31"/>
      <c r="X538" s="32"/>
      <c r="Y538" s="32"/>
      <c r="Z538" s="32"/>
    </row>
    <row r="539" spans="1:26">
      <c r="A539" s="28"/>
      <c r="B539" s="17">
        <f t="shared" si="25"/>
        <v>46319</v>
      </c>
      <c r="C539" s="26">
        <f>I539+J539+K539+L539+M539+N539+O539+IF(P539="",0,P539*サマリー!$B$9)+IF(Q539="",0,IF(Q539=200,サマリー!$B$10,IF(Q539=100,サマリー!$B$11,0)))+IF(R539="",0,R539*サマリー!$B$12)</f>
        <v>0</v>
      </c>
      <c r="D539" s="26">
        <f>S539+T539+U539+V539+W539+IF(X539="",0,X539*サマリー!$B$9)+IF(Y539="",0,IF(Y539=200,サマリー!$B$10,IF(Y539=100,サマリー!$B$11,0)))+IF(Z539="",0,Z539*サマリー!$B$12)</f>
        <v>0</v>
      </c>
      <c r="E539" s="26">
        <f t="shared" si="24"/>
        <v>0</v>
      </c>
      <c r="I539" s="29"/>
      <c r="J539" s="29"/>
      <c r="K539" s="29"/>
      <c r="L539" s="29"/>
      <c r="M539" s="29"/>
      <c r="N539" s="29"/>
      <c r="O539" s="29"/>
      <c r="P539" s="30"/>
      <c r="Q539" s="30"/>
      <c r="R539" s="30"/>
      <c r="S539" s="31"/>
      <c r="T539" s="31"/>
      <c r="U539" s="31"/>
      <c r="V539" s="31"/>
      <c r="W539" s="31"/>
      <c r="X539" s="32"/>
      <c r="Y539" s="32"/>
      <c r="Z539" s="32"/>
    </row>
    <row r="540" spans="1:26">
      <c r="A540" s="28"/>
      <c r="B540" s="17">
        <f t="shared" si="25"/>
        <v>46319</v>
      </c>
      <c r="C540" s="26">
        <f>I540+J540+K540+L540+M540+N540+O540+IF(P540="",0,P540*サマリー!$B$9)+IF(Q540="",0,IF(Q540=200,サマリー!$B$10,IF(Q540=100,サマリー!$B$11,0)))+IF(R540="",0,R540*サマリー!$B$12)</f>
        <v>0</v>
      </c>
      <c r="D540" s="26">
        <f>S540+T540+U540+V540+W540+IF(X540="",0,X540*サマリー!$B$9)+IF(Y540="",0,IF(Y540=200,サマリー!$B$10,IF(Y540=100,サマリー!$B$11,0)))+IF(Z540="",0,Z540*サマリー!$B$12)</f>
        <v>0</v>
      </c>
      <c r="E540" s="26">
        <f t="shared" si="24"/>
        <v>0</v>
      </c>
      <c r="I540" s="29"/>
      <c r="J540" s="29"/>
      <c r="K540" s="29"/>
      <c r="L540" s="29"/>
      <c r="M540" s="29"/>
      <c r="N540" s="29"/>
      <c r="O540" s="29"/>
      <c r="P540" s="30"/>
      <c r="Q540" s="30"/>
      <c r="R540" s="30"/>
      <c r="S540" s="31"/>
      <c r="T540" s="31"/>
      <c r="U540" s="31"/>
      <c r="V540" s="31"/>
      <c r="W540" s="31"/>
      <c r="X540" s="32"/>
      <c r="Y540" s="32"/>
      <c r="Z540" s="32"/>
    </row>
    <row r="541" spans="1:26">
      <c r="A541" s="28"/>
      <c r="B541" s="17">
        <f t="shared" si="25"/>
        <v>46319</v>
      </c>
      <c r="C541" s="26">
        <f>I541+J541+K541+L541+M541+N541+O541+IF(P541="",0,P541*サマリー!$B$9)+IF(Q541="",0,IF(Q541=200,サマリー!$B$10,IF(Q541=100,サマリー!$B$11,0)))+IF(R541="",0,R541*サマリー!$B$12)</f>
        <v>0</v>
      </c>
      <c r="D541" s="26">
        <f>S541+T541+U541+V541+W541+IF(X541="",0,X541*サマリー!$B$9)+IF(Y541="",0,IF(Y541=200,サマリー!$B$10,IF(Y541=100,サマリー!$B$11,0)))+IF(Z541="",0,Z541*サマリー!$B$12)</f>
        <v>0</v>
      </c>
      <c r="E541" s="26">
        <f t="shared" si="24"/>
        <v>0</v>
      </c>
      <c r="I541" s="29"/>
      <c r="J541" s="29"/>
      <c r="K541" s="29"/>
      <c r="L541" s="29"/>
      <c r="M541" s="29"/>
      <c r="N541" s="29"/>
      <c r="O541" s="29"/>
      <c r="P541" s="30"/>
      <c r="Q541" s="30"/>
      <c r="R541" s="30"/>
      <c r="S541" s="31"/>
      <c r="T541" s="31"/>
      <c r="U541" s="31"/>
      <c r="V541" s="31"/>
      <c r="W541" s="31"/>
      <c r="X541" s="32"/>
      <c r="Y541" s="32"/>
      <c r="Z541" s="32"/>
    </row>
    <row r="542" spans="1:26">
      <c r="A542" s="28"/>
      <c r="B542" s="17">
        <f t="shared" si="25"/>
        <v>46319</v>
      </c>
      <c r="C542" s="26">
        <f>I542+J542+K542+L542+M542+N542+O542+IF(P542="",0,P542*サマリー!$B$9)+IF(Q542="",0,IF(Q542=200,サマリー!$B$10,IF(Q542=100,サマリー!$B$11,0)))+IF(R542="",0,R542*サマリー!$B$12)</f>
        <v>0</v>
      </c>
      <c r="D542" s="26">
        <f>S542+T542+U542+V542+W542+IF(X542="",0,X542*サマリー!$B$9)+IF(Y542="",0,IF(Y542=200,サマリー!$B$10,IF(Y542=100,サマリー!$B$11,0)))+IF(Z542="",0,Z542*サマリー!$B$12)</f>
        <v>0</v>
      </c>
      <c r="E542" s="26">
        <f t="shared" si="24"/>
        <v>0</v>
      </c>
      <c r="I542" s="29"/>
      <c r="J542" s="29"/>
      <c r="K542" s="29"/>
      <c r="L542" s="29"/>
      <c r="M542" s="29"/>
      <c r="N542" s="29"/>
      <c r="O542" s="29"/>
      <c r="P542" s="30"/>
      <c r="Q542" s="30"/>
      <c r="R542" s="30"/>
      <c r="S542" s="31"/>
      <c r="T542" s="31"/>
      <c r="U542" s="31"/>
      <c r="V542" s="31"/>
      <c r="W542" s="31"/>
      <c r="X542" s="32"/>
      <c r="Y542" s="32"/>
      <c r="Z542" s="32"/>
    </row>
    <row r="543" spans="1:26">
      <c r="A543" s="28"/>
      <c r="B543" s="17">
        <f t="shared" si="25"/>
        <v>46319</v>
      </c>
      <c r="C543" s="26">
        <f>I543+J543+K543+L543+M543+N543+O543+IF(P543="",0,P543*サマリー!$B$9)+IF(Q543="",0,IF(Q543=200,サマリー!$B$10,IF(Q543=100,サマリー!$B$11,0)))+IF(R543="",0,R543*サマリー!$B$12)</f>
        <v>0</v>
      </c>
      <c r="D543" s="26">
        <f>S543+T543+U543+V543+W543+IF(X543="",0,X543*サマリー!$B$9)+IF(Y543="",0,IF(Y543=200,サマリー!$B$10,IF(Y543=100,サマリー!$B$11,0)))+IF(Z543="",0,Z543*サマリー!$B$12)</f>
        <v>0</v>
      </c>
      <c r="E543" s="26">
        <f t="shared" si="24"/>
        <v>0</v>
      </c>
      <c r="I543" s="29"/>
      <c r="J543" s="29"/>
      <c r="K543" s="29"/>
      <c r="L543" s="29"/>
      <c r="M543" s="29"/>
      <c r="N543" s="29"/>
      <c r="O543" s="29"/>
      <c r="P543" s="30"/>
      <c r="Q543" s="30"/>
      <c r="R543" s="30"/>
      <c r="S543" s="31"/>
      <c r="T543" s="31"/>
      <c r="U543" s="31"/>
      <c r="V543" s="31"/>
      <c r="W543" s="31"/>
      <c r="X543" s="32"/>
      <c r="Y543" s="32"/>
      <c r="Z543" s="32"/>
    </row>
    <row r="544" spans="1:26">
      <c r="A544" s="28"/>
      <c r="B544" s="17">
        <f t="shared" si="25"/>
        <v>46319</v>
      </c>
      <c r="C544" s="26">
        <f>I544+J544+K544+L544+M544+N544+O544+IF(P544="",0,P544*サマリー!$B$9)+IF(Q544="",0,IF(Q544=200,サマリー!$B$10,IF(Q544=100,サマリー!$B$11,0)))+IF(R544="",0,R544*サマリー!$B$12)</f>
        <v>0</v>
      </c>
      <c r="D544" s="26">
        <f>S544+T544+U544+V544+W544+IF(X544="",0,X544*サマリー!$B$9)+IF(Y544="",0,IF(Y544=200,サマリー!$B$10,IF(Y544=100,サマリー!$B$11,0)))+IF(Z544="",0,Z544*サマリー!$B$12)</f>
        <v>0</v>
      </c>
      <c r="E544" s="26">
        <f t="shared" si="24"/>
        <v>0</v>
      </c>
      <c r="I544" s="29"/>
      <c r="J544" s="29"/>
      <c r="K544" s="29"/>
      <c r="L544" s="29"/>
      <c r="M544" s="29"/>
      <c r="N544" s="29"/>
      <c r="O544" s="29"/>
      <c r="P544" s="30"/>
      <c r="Q544" s="30"/>
      <c r="R544" s="30"/>
      <c r="S544" s="31"/>
      <c r="T544" s="31"/>
      <c r="U544" s="31"/>
      <c r="V544" s="31"/>
      <c r="W544" s="31"/>
      <c r="X544" s="32"/>
      <c r="Y544" s="32"/>
      <c r="Z544" s="32"/>
    </row>
    <row r="545" spans="1:26">
      <c r="A545" s="28"/>
      <c r="B545" s="17">
        <f t="shared" si="25"/>
        <v>46319</v>
      </c>
      <c r="C545" s="26">
        <f>I545+J545+K545+L545+M545+N545+O545+IF(P545="",0,P545*サマリー!$B$9)+IF(Q545="",0,IF(Q545=200,サマリー!$B$10,IF(Q545=100,サマリー!$B$11,0)))+IF(R545="",0,R545*サマリー!$B$12)</f>
        <v>0</v>
      </c>
      <c r="D545" s="26">
        <f>S545+T545+U545+V545+W545+IF(X545="",0,X545*サマリー!$B$9)+IF(Y545="",0,IF(Y545=200,サマリー!$B$10,IF(Y545=100,サマリー!$B$11,0)))+IF(Z545="",0,Z545*サマリー!$B$12)</f>
        <v>0</v>
      </c>
      <c r="E545" s="26">
        <f t="shared" si="24"/>
        <v>0</v>
      </c>
      <c r="I545" s="29"/>
      <c r="J545" s="29"/>
      <c r="K545" s="29"/>
      <c r="L545" s="29"/>
      <c r="M545" s="29"/>
      <c r="N545" s="29"/>
      <c r="O545" s="29"/>
      <c r="P545" s="30"/>
      <c r="Q545" s="30"/>
      <c r="R545" s="30"/>
      <c r="S545" s="31"/>
      <c r="T545" s="31"/>
      <c r="U545" s="31"/>
      <c r="V545" s="31"/>
      <c r="W545" s="31"/>
      <c r="X545" s="32"/>
      <c r="Y545" s="32"/>
      <c r="Z545" s="32"/>
    </row>
    <row r="546" spans="1:26">
      <c r="A546" s="28"/>
      <c r="B546" s="17">
        <f t="shared" si="25"/>
        <v>46319</v>
      </c>
      <c r="C546" s="26">
        <f>I546+J546+K546+L546+M546+N546+O546+IF(P546="",0,P546*サマリー!$B$9)+IF(Q546="",0,IF(Q546=200,サマリー!$B$10,IF(Q546=100,サマリー!$B$11,0)))+IF(R546="",0,R546*サマリー!$B$12)</f>
        <v>0</v>
      </c>
      <c r="D546" s="26">
        <f>S546+T546+U546+V546+W546+IF(X546="",0,X546*サマリー!$B$9)+IF(Y546="",0,IF(Y546=200,サマリー!$B$10,IF(Y546=100,サマリー!$B$11,0)))+IF(Z546="",0,Z546*サマリー!$B$12)</f>
        <v>0</v>
      </c>
      <c r="E546" s="26">
        <f t="shared" si="24"/>
        <v>0</v>
      </c>
      <c r="I546" s="29"/>
      <c r="J546" s="29"/>
      <c r="K546" s="29"/>
      <c r="L546" s="29"/>
      <c r="M546" s="29"/>
      <c r="N546" s="29"/>
      <c r="O546" s="29"/>
      <c r="P546" s="30"/>
      <c r="Q546" s="30"/>
      <c r="R546" s="30"/>
      <c r="S546" s="31"/>
      <c r="T546" s="31"/>
      <c r="U546" s="31"/>
      <c r="V546" s="31"/>
      <c r="W546" s="31"/>
      <c r="X546" s="32"/>
      <c r="Y546" s="32"/>
      <c r="Z546" s="32"/>
    </row>
    <row r="547" spans="1:26">
      <c r="A547" s="28"/>
      <c r="B547" s="17">
        <f t="shared" si="25"/>
        <v>46319</v>
      </c>
      <c r="C547" s="26">
        <f>I547+J547+K547+L547+M547+N547+O547+IF(P547="",0,P547*サマリー!$B$9)+IF(Q547="",0,IF(Q547=200,サマリー!$B$10,IF(Q547=100,サマリー!$B$11,0)))+IF(R547="",0,R547*サマリー!$B$12)</f>
        <v>0</v>
      </c>
      <c r="D547" s="26">
        <f>S547+T547+U547+V547+W547+IF(X547="",0,X547*サマリー!$B$9)+IF(Y547="",0,IF(Y547=200,サマリー!$B$10,IF(Y547=100,サマリー!$B$11,0)))+IF(Z547="",0,Z547*サマリー!$B$12)</f>
        <v>0</v>
      </c>
      <c r="E547" s="26">
        <f t="shared" ref="E547:E610" si="26">C547+D547</f>
        <v>0</v>
      </c>
      <c r="I547" s="29"/>
      <c r="J547" s="29"/>
      <c r="K547" s="29"/>
      <c r="L547" s="29"/>
      <c r="M547" s="29"/>
      <c r="N547" s="29"/>
      <c r="O547" s="29"/>
      <c r="P547" s="30"/>
      <c r="Q547" s="30"/>
      <c r="R547" s="30"/>
      <c r="S547" s="31"/>
      <c r="T547" s="31"/>
      <c r="U547" s="31"/>
      <c r="V547" s="31"/>
      <c r="W547" s="31"/>
      <c r="X547" s="32"/>
      <c r="Y547" s="32"/>
      <c r="Z547" s="32"/>
    </row>
    <row r="548" spans="1:26">
      <c r="A548" s="28"/>
      <c r="B548" s="17">
        <f t="shared" si="25"/>
        <v>46319</v>
      </c>
      <c r="C548" s="26">
        <f>I548+J548+K548+L548+M548+N548+O548+IF(P548="",0,P548*サマリー!$B$9)+IF(Q548="",0,IF(Q548=200,サマリー!$B$10,IF(Q548=100,サマリー!$B$11,0)))+IF(R548="",0,R548*サマリー!$B$12)</f>
        <v>0</v>
      </c>
      <c r="D548" s="26">
        <f>S548+T548+U548+V548+W548+IF(X548="",0,X548*サマリー!$B$9)+IF(Y548="",0,IF(Y548=200,サマリー!$B$10,IF(Y548=100,サマリー!$B$11,0)))+IF(Z548="",0,Z548*サマリー!$B$12)</f>
        <v>0</v>
      </c>
      <c r="E548" s="26">
        <f t="shared" si="26"/>
        <v>0</v>
      </c>
      <c r="I548" s="29"/>
      <c r="J548" s="29"/>
      <c r="K548" s="29"/>
      <c r="L548" s="29"/>
      <c r="M548" s="29"/>
      <c r="N548" s="29"/>
      <c r="O548" s="29"/>
      <c r="P548" s="30"/>
      <c r="Q548" s="30"/>
      <c r="R548" s="30"/>
      <c r="S548" s="31"/>
      <c r="T548" s="31"/>
      <c r="U548" s="31"/>
      <c r="V548" s="31"/>
      <c r="W548" s="31"/>
      <c r="X548" s="32"/>
      <c r="Y548" s="32"/>
      <c r="Z548" s="32"/>
    </row>
    <row r="549" spans="1:26">
      <c r="A549" s="28"/>
      <c r="B549" s="17">
        <f t="shared" si="25"/>
        <v>46319</v>
      </c>
      <c r="C549" s="26">
        <f>I549+J549+K549+L549+M549+N549+O549+IF(P549="",0,P549*サマリー!$B$9)+IF(Q549="",0,IF(Q549=200,サマリー!$B$10,IF(Q549=100,サマリー!$B$11,0)))+IF(R549="",0,R549*サマリー!$B$12)</f>
        <v>0</v>
      </c>
      <c r="D549" s="26">
        <f>S549+T549+U549+V549+W549+IF(X549="",0,X549*サマリー!$B$9)+IF(Y549="",0,IF(Y549=200,サマリー!$B$10,IF(Y549=100,サマリー!$B$11,0)))+IF(Z549="",0,Z549*サマリー!$B$12)</f>
        <v>0</v>
      </c>
      <c r="E549" s="26">
        <f t="shared" si="26"/>
        <v>0</v>
      </c>
      <c r="I549" s="29"/>
      <c r="J549" s="29"/>
      <c r="K549" s="29"/>
      <c r="L549" s="29"/>
      <c r="M549" s="29"/>
      <c r="N549" s="29"/>
      <c r="O549" s="29"/>
      <c r="P549" s="30"/>
      <c r="Q549" s="30"/>
      <c r="R549" s="30"/>
      <c r="S549" s="31"/>
      <c r="T549" s="31"/>
      <c r="U549" s="31"/>
      <c r="V549" s="31"/>
      <c r="W549" s="31"/>
      <c r="X549" s="32"/>
      <c r="Y549" s="32"/>
      <c r="Z549" s="32"/>
    </row>
    <row r="550" spans="1:26">
      <c r="A550" s="28"/>
      <c r="B550" s="17">
        <f t="shared" si="25"/>
        <v>46319</v>
      </c>
      <c r="C550" s="26">
        <f>I550+J550+K550+L550+M550+N550+O550+IF(P550="",0,P550*サマリー!$B$9)+IF(Q550="",0,IF(Q550=200,サマリー!$B$10,IF(Q550=100,サマリー!$B$11,0)))+IF(R550="",0,R550*サマリー!$B$12)</f>
        <v>0</v>
      </c>
      <c r="D550" s="26">
        <f>S550+T550+U550+V550+W550+IF(X550="",0,X550*サマリー!$B$9)+IF(Y550="",0,IF(Y550=200,サマリー!$B$10,IF(Y550=100,サマリー!$B$11,0)))+IF(Z550="",0,Z550*サマリー!$B$12)</f>
        <v>0</v>
      </c>
      <c r="E550" s="26">
        <f t="shared" si="26"/>
        <v>0</v>
      </c>
      <c r="I550" s="29"/>
      <c r="J550" s="29"/>
      <c r="K550" s="29"/>
      <c r="L550" s="29"/>
      <c r="M550" s="29"/>
      <c r="N550" s="29"/>
      <c r="O550" s="29"/>
      <c r="P550" s="30"/>
      <c r="Q550" s="30"/>
      <c r="R550" s="30"/>
      <c r="S550" s="31"/>
      <c r="T550" s="31"/>
      <c r="U550" s="31"/>
      <c r="V550" s="31"/>
      <c r="W550" s="31"/>
      <c r="X550" s="32"/>
      <c r="Y550" s="32"/>
      <c r="Z550" s="32"/>
    </row>
    <row r="551" spans="1:26">
      <c r="A551" s="28"/>
      <c r="B551" s="17">
        <f t="shared" si="25"/>
        <v>46319</v>
      </c>
      <c r="C551" s="26">
        <f>I551+J551+K551+L551+M551+N551+O551+IF(P551="",0,P551*サマリー!$B$9)+IF(Q551="",0,IF(Q551=200,サマリー!$B$10,IF(Q551=100,サマリー!$B$11,0)))+IF(R551="",0,R551*サマリー!$B$12)</f>
        <v>0</v>
      </c>
      <c r="D551" s="26">
        <f>S551+T551+U551+V551+W551+IF(X551="",0,X551*サマリー!$B$9)+IF(Y551="",0,IF(Y551=200,サマリー!$B$10,IF(Y551=100,サマリー!$B$11,0)))+IF(Z551="",0,Z551*サマリー!$B$12)</f>
        <v>0</v>
      </c>
      <c r="E551" s="26">
        <f t="shared" si="26"/>
        <v>0</v>
      </c>
      <c r="I551" s="29"/>
      <c r="J551" s="29"/>
      <c r="K551" s="29"/>
      <c r="L551" s="29"/>
      <c r="M551" s="29"/>
      <c r="N551" s="29"/>
      <c r="O551" s="29"/>
      <c r="P551" s="30"/>
      <c r="Q551" s="30"/>
      <c r="R551" s="30"/>
      <c r="S551" s="31"/>
      <c r="T551" s="31"/>
      <c r="U551" s="31"/>
      <c r="V551" s="31"/>
      <c r="W551" s="31"/>
      <c r="X551" s="32"/>
      <c r="Y551" s="32"/>
      <c r="Z551" s="32"/>
    </row>
    <row r="552" spans="1:26">
      <c r="A552" s="28"/>
      <c r="B552" s="17">
        <f t="shared" si="25"/>
        <v>46319</v>
      </c>
      <c r="C552" s="26">
        <f>I552+J552+K552+L552+M552+N552+O552+IF(P552="",0,P552*サマリー!$B$9)+IF(Q552="",0,IF(Q552=200,サマリー!$B$10,IF(Q552=100,サマリー!$B$11,0)))+IF(R552="",0,R552*サマリー!$B$12)</f>
        <v>0</v>
      </c>
      <c r="D552" s="26">
        <f>S552+T552+U552+V552+W552+IF(X552="",0,X552*サマリー!$B$9)+IF(Y552="",0,IF(Y552=200,サマリー!$B$10,IF(Y552=100,サマリー!$B$11,0)))+IF(Z552="",0,Z552*サマリー!$B$12)</f>
        <v>0</v>
      </c>
      <c r="E552" s="26">
        <f t="shared" si="26"/>
        <v>0</v>
      </c>
      <c r="I552" s="29"/>
      <c r="J552" s="29"/>
      <c r="K552" s="29"/>
      <c r="L552" s="29"/>
      <c r="M552" s="29"/>
      <c r="N552" s="29"/>
      <c r="O552" s="29"/>
      <c r="P552" s="30"/>
      <c r="Q552" s="30"/>
      <c r="R552" s="30"/>
      <c r="S552" s="31"/>
      <c r="T552" s="31"/>
      <c r="U552" s="31"/>
      <c r="V552" s="31"/>
      <c r="W552" s="31"/>
      <c r="X552" s="32"/>
      <c r="Y552" s="32"/>
      <c r="Z552" s="32"/>
    </row>
    <row r="553" spans="1:26">
      <c r="A553" s="28"/>
      <c r="B553" s="17">
        <f t="shared" si="25"/>
        <v>46319</v>
      </c>
      <c r="C553" s="26">
        <f>I553+J553+K553+L553+M553+N553+O553+IF(P553="",0,P553*サマリー!$B$9)+IF(Q553="",0,IF(Q553=200,サマリー!$B$10,IF(Q553=100,サマリー!$B$11,0)))+IF(R553="",0,R553*サマリー!$B$12)</f>
        <v>0</v>
      </c>
      <c r="D553" s="26">
        <f>S553+T553+U553+V553+W553+IF(X553="",0,X553*サマリー!$B$9)+IF(Y553="",0,IF(Y553=200,サマリー!$B$10,IF(Y553=100,サマリー!$B$11,0)))+IF(Z553="",0,Z553*サマリー!$B$12)</f>
        <v>0</v>
      </c>
      <c r="E553" s="26">
        <f t="shared" si="26"/>
        <v>0</v>
      </c>
      <c r="I553" s="29"/>
      <c r="J553" s="29"/>
      <c r="K553" s="29"/>
      <c r="L553" s="29"/>
      <c r="M553" s="29"/>
      <c r="N553" s="29"/>
      <c r="O553" s="29"/>
      <c r="P553" s="30"/>
      <c r="Q553" s="30"/>
      <c r="R553" s="30"/>
      <c r="S553" s="31"/>
      <c r="T553" s="31"/>
      <c r="U553" s="31"/>
      <c r="V553" s="31"/>
      <c r="W553" s="31"/>
      <c r="X553" s="32"/>
      <c r="Y553" s="32"/>
      <c r="Z553" s="32"/>
    </row>
    <row r="554" spans="1:26">
      <c r="A554" s="28"/>
      <c r="B554" s="17">
        <f t="shared" si="25"/>
        <v>46319</v>
      </c>
      <c r="C554" s="26">
        <f>I554+J554+K554+L554+M554+N554+O554+IF(P554="",0,P554*サマリー!$B$9)+IF(Q554="",0,IF(Q554=200,サマリー!$B$10,IF(Q554=100,サマリー!$B$11,0)))+IF(R554="",0,R554*サマリー!$B$12)</f>
        <v>0</v>
      </c>
      <c r="D554" s="26">
        <f>S554+T554+U554+V554+W554+IF(X554="",0,X554*サマリー!$B$9)+IF(Y554="",0,IF(Y554=200,サマリー!$B$10,IF(Y554=100,サマリー!$B$11,0)))+IF(Z554="",0,Z554*サマリー!$B$12)</f>
        <v>0</v>
      </c>
      <c r="E554" s="26">
        <f t="shared" si="26"/>
        <v>0</v>
      </c>
      <c r="I554" s="29"/>
      <c r="J554" s="29"/>
      <c r="K554" s="29"/>
      <c r="L554" s="29"/>
      <c r="M554" s="29"/>
      <c r="N554" s="29"/>
      <c r="O554" s="29"/>
      <c r="P554" s="30"/>
      <c r="Q554" s="30"/>
      <c r="R554" s="30"/>
      <c r="S554" s="31"/>
      <c r="T554" s="31"/>
      <c r="U554" s="31"/>
      <c r="V554" s="31"/>
      <c r="W554" s="31"/>
      <c r="X554" s="32"/>
      <c r="Y554" s="32"/>
      <c r="Z554" s="32"/>
    </row>
    <row r="555" spans="1:26">
      <c r="A555" s="28"/>
      <c r="B555" s="17">
        <f t="shared" si="25"/>
        <v>46319</v>
      </c>
      <c r="C555" s="26">
        <f>I555+J555+K555+L555+M555+N555+O555+IF(P555="",0,P555*サマリー!$B$9)+IF(Q555="",0,IF(Q555=200,サマリー!$B$10,IF(Q555=100,サマリー!$B$11,0)))+IF(R555="",0,R555*サマリー!$B$12)</f>
        <v>0</v>
      </c>
      <c r="D555" s="26">
        <f>S555+T555+U555+V555+W555+IF(X555="",0,X555*サマリー!$B$9)+IF(Y555="",0,IF(Y555=200,サマリー!$B$10,IF(Y555=100,サマリー!$B$11,0)))+IF(Z555="",0,Z555*サマリー!$B$12)</f>
        <v>0</v>
      </c>
      <c r="E555" s="26">
        <f t="shared" si="26"/>
        <v>0</v>
      </c>
      <c r="I555" s="29"/>
      <c r="J555" s="29"/>
      <c r="K555" s="29"/>
      <c r="L555" s="29"/>
      <c r="M555" s="29"/>
      <c r="N555" s="29"/>
      <c r="O555" s="29"/>
      <c r="P555" s="30"/>
      <c r="Q555" s="30"/>
      <c r="R555" s="30"/>
      <c r="S555" s="31"/>
      <c r="T555" s="31"/>
      <c r="U555" s="31"/>
      <c r="V555" s="31"/>
      <c r="W555" s="31"/>
      <c r="X555" s="32"/>
      <c r="Y555" s="32"/>
      <c r="Z555" s="32"/>
    </row>
    <row r="556" spans="1:26">
      <c r="A556" s="28"/>
      <c r="B556" s="17">
        <f t="shared" si="25"/>
        <v>46319</v>
      </c>
      <c r="C556" s="26">
        <f>I556+J556+K556+L556+M556+N556+O556+IF(P556="",0,P556*サマリー!$B$9)+IF(Q556="",0,IF(Q556=200,サマリー!$B$10,IF(Q556=100,サマリー!$B$11,0)))+IF(R556="",0,R556*サマリー!$B$12)</f>
        <v>0</v>
      </c>
      <c r="D556" s="26">
        <f>S556+T556+U556+V556+W556+IF(X556="",0,X556*サマリー!$B$9)+IF(Y556="",0,IF(Y556=200,サマリー!$B$10,IF(Y556=100,サマリー!$B$11,0)))+IF(Z556="",0,Z556*サマリー!$B$12)</f>
        <v>0</v>
      </c>
      <c r="E556" s="26">
        <f t="shared" si="26"/>
        <v>0</v>
      </c>
      <c r="I556" s="29"/>
      <c r="J556" s="29"/>
      <c r="K556" s="29"/>
      <c r="L556" s="29"/>
      <c r="M556" s="29"/>
      <c r="N556" s="29"/>
      <c r="O556" s="29"/>
      <c r="P556" s="30"/>
      <c r="Q556" s="30"/>
      <c r="R556" s="30"/>
      <c r="S556" s="31"/>
      <c r="T556" s="31"/>
      <c r="U556" s="31"/>
      <c r="V556" s="31"/>
      <c r="W556" s="31"/>
      <c r="X556" s="32"/>
      <c r="Y556" s="32"/>
      <c r="Z556" s="32"/>
    </row>
    <row r="557" spans="1:26">
      <c r="A557" s="28"/>
      <c r="B557" s="17">
        <f t="shared" si="25"/>
        <v>46319</v>
      </c>
      <c r="C557" s="26">
        <f>I557+J557+K557+L557+M557+N557+O557+IF(P557="",0,P557*サマリー!$B$9)+IF(Q557="",0,IF(Q557=200,サマリー!$B$10,IF(Q557=100,サマリー!$B$11,0)))+IF(R557="",0,R557*サマリー!$B$12)</f>
        <v>0</v>
      </c>
      <c r="D557" s="26">
        <f>S557+T557+U557+V557+W557+IF(X557="",0,X557*サマリー!$B$9)+IF(Y557="",0,IF(Y557=200,サマリー!$B$10,IF(Y557=100,サマリー!$B$11,0)))+IF(Z557="",0,Z557*サマリー!$B$12)</f>
        <v>0</v>
      </c>
      <c r="E557" s="26">
        <f t="shared" si="26"/>
        <v>0</v>
      </c>
      <c r="I557" s="29"/>
      <c r="J557" s="29"/>
      <c r="K557" s="29"/>
      <c r="L557" s="29"/>
      <c r="M557" s="29"/>
      <c r="N557" s="29"/>
      <c r="O557" s="29"/>
      <c r="P557" s="30"/>
      <c r="Q557" s="30"/>
      <c r="R557" s="30"/>
      <c r="S557" s="31"/>
      <c r="T557" s="31"/>
      <c r="U557" s="31"/>
      <c r="V557" s="31"/>
      <c r="W557" s="31"/>
      <c r="X557" s="32"/>
      <c r="Y557" s="32"/>
      <c r="Z557" s="32"/>
    </row>
    <row r="558" spans="1:26">
      <c r="A558" s="28"/>
      <c r="B558" s="17">
        <f t="shared" si="25"/>
        <v>46319</v>
      </c>
      <c r="C558" s="26">
        <f>I558+J558+K558+L558+M558+N558+O558+IF(P558="",0,P558*サマリー!$B$9)+IF(Q558="",0,IF(Q558=200,サマリー!$B$10,IF(Q558=100,サマリー!$B$11,0)))+IF(R558="",0,R558*サマリー!$B$12)</f>
        <v>0</v>
      </c>
      <c r="D558" s="26">
        <f>S558+T558+U558+V558+W558+IF(X558="",0,X558*サマリー!$B$9)+IF(Y558="",0,IF(Y558=200,サマリー!$B$10,IF(Y558=100,サマリー!$B$11,0)))+IF(Z558="",0,Z558*サマリー!$B$12)</f>
        <v>0</v>
      </c>
      <c r="E558" s="26">
        <f t="shared" si="26"/>
        <v>0</v>
      </c>
      <c r="I558" s="29"/>
      <c r="J558" s="29"/>
      <c r="K558" s="29"/>
      <c r="L558" s="29"/>
      <c r="M558" s="29"/>
      <c r="N558" s="29"/>
      <c r="O558" s="29"/>
      <c r="P558" s="30"/>
      <c r="Q558" s="30"/>
      <c r="R558" s="30"/>
      <c r="S558" s="31"/>
      <c r="T558" s="31"/>
      <c r="U558" s="31"/>
      <c r="V558" s="31"/>
      <c r="W558" s="31"/>
      <c r="X558" s="32"/>
      <c r="Y558" s="32"/>
      <c r="Z558" s="32"/>
    </row>
    <row r="559" spans="1:26">
      <c r="A559" s="28"/>
      <c r="B559" s="17">
        <f t="shared" si="25"/>
        <v>46319</v>
      </c>
      <c r="C559" s="26">
        <f>I559+J559+K559+L559+M559+N559+O559+IF(P559="",0,P559*サマリー!$B$9)+IF(Q559="",0,IF(Q559=200,サマリー!$B$10,IF(Q559=100,サマリー!$B$11,0)))+IF(R559="",0,R559*サマリー!$B$12)</f>
        <v>0</v>
      </c>
      <c r="D559" s="26">
        <f>S559+T559+U559+V559+W559+IF(X559="",0,X559*サマリー!$B$9)+IF(Y559="",0,IF(Y559=200,サマリー!$B$10,IF(Y559=100,サマリー!$B$11,0)))+IF(Z559="",0,Z559*サマリー!$B$12)</f>
        <v>0</v>
      </c>
      <c r="E559" s="26">
        <f t="shared" si="26"/>
        <v>0</v>
      </c>
      <c r="I559" s="29"/>
      <c r="J559" s="29"/>
      <c r="K559" s="29"/>
      <c r="L559" s="29"/>
      <c r="M559" s="29"/>
      <c r="N559" s="29"/>
      <c r="O559" s="29"/>
      <c r="P559" s="30"/>
      <c r="Q559" s="30"/>
      <c r="R559" s="30"/>
      <c r="S559" s="31"/>
      <c r="T559" s="31"/>
      <c r="U559" s="31"/>
      <c r="V559" s="31"/>
      <c r="W559" s="31"/>
      <c r="X559" s="32"/>
      <c r="Y559" s="32"/>
      <c r="Z559" s="32"/>
    </row>
    <row r="560" spans="1:26">
      <c r="A560" s="28"/>
      <c r="B560" s="17">
        <f t="shared" si="25"/>
        <v>46319</v>
      </c>
      <c r="C560" s="26">
        <f>I560+J560+K560+L560+M560+N560+O560+IF(P560="",0,P560*サマリー!$B$9)+IF(Q560="",0,IF(Q560=200,サマリー!$B$10,IF(Q560=100,サマリー!$B$11,0)))+IF(R560="",0,R560*サマリー!$B$12)</f>
        <v>0</v>
      </c>
      <c r="D560" s="26">
        <f>S560+T560+U560+V560+W560+IF(X560="",0,X560*サマリー!$B$9)+IF(Y560="",0,IF(Y560=200,サマリー!$B$10,IF(Y560=100,サマリー!$B$11,0)))+IF(Z560="",0,Z560*サマリー!$B$12)</f>
        <v>0</v>
      </c>
      <c r="E560" s="26">
        <f t="shared" si="26"/>
        <v>0</v>
      </c>
      <c r="I560" s="29"/>
      <c r="J560" s="29"/>
      <c r="K560" s="29"/>
      <c r="L560" s="29"/>
      <c r="M560" s="29"/>
      <c r="N560" s="29"/>
      <c r="O560" s="29"/>
      <c r="P560" s="30"/>
      <c r="Q560" s="30"/>
      <c r="R560" s="30"/>
      <c r="S560" s="31"/>
      <c r="T560" s="31"/>
      <c r="U560" s="31"/>
      <c r="V560" s="31"/>
      <c r="W560" s="31"/>
      <c r="X560" s="32"/>
      <c r="Y560" s="32"/>
      <c r="Z560" s="32"/>
    </row>
    <row r="561" spans="1:26">
      <c r="A561" s="28"/>
      <c r="B561" s="17">
        <f t="shared" si="25"/>
        <v>46319</v>
      </c>
      <c r="C561" s="26">
        <f>I561+J561+K561+L561+M561+N561+O561+IF(P561="",0,P561*サマリー!$B$9)+IF(Q561="",0,IF(Q561=200,サマリー!$B$10,IF(Q561=100,サマリー!$B$11,0)))+IF(R561="",0,R561*サマリー!$B$12)</f>
        <v>0</v>
      </c>
      <c r="D561" s="26">
        <f>S561+T561+U561+V561+W561+IF(X561="",0,X561*サマリー!$B$9)+IF(Y561="",0,IF(Y561=200,サマリー!$B$10,IF(Y561=100,サマリー!$B$11,0)))+IF(Z561="",0,Z561*サマリー!$B$12)</f>
        <v>0</v>
      </c>
      <c r="E561" s="26">
        <f t="shared" si="26"/>
        <v>0</v>
      </c>
      <c r="I561" s="29"/>
      <c r="J561" s="29"/>
      <c r="K561" s="29"/>
      <c r="L561" s="29"/>
      <c r="M561" s="29"/>
      <c r="N561" s="29"/>
      <c r="O561" s="29"/>
      <c r="P561" s="30"/>
      <c r="Q561" s="30"/>
      <c r="R561" s="30"/>
      <c r="S561" s="31"/>
      <c r="T561" s="31"/>
      <c r="U561" s="31"/>
      <c r="V561" s="31"/>
      <c r="W561" s="31"/>
      <c r="X561" s="32"/>
      <c r="Y561" s="32"/>
      <c r="Z561" s="32"/>
    </row>
    <row r="562" spans="1:26">
      <c r="A562" s="28"/>
      <c r="B562" s="17">
        <f t="shared" si="25"/>
        <v>46319</v>
      </c>
      <c r="C562" s="26">
        <f>I562+J562+K562+L562+M562+N562+O562+IF(P562="",0,P562*サマリー!$B$9)+IF(Q562="",0,IF(Q562=200,サマリー!$B$10,IF(Q562=100,サマリー!$B$11,0)))+IF(R562="",0,R562*サマリー!$B$12)</f>
        <v>0</v>
      </c>
      <c r="D562" s="26">
        <f>S562+T562+U562+V562+W562+IF(X562="",0,X562*サマリー!$B$9)+IF(Y562="",0,IF(Y562=200,サマリー!$B$10,IF(Y562=100,サマリー!$B$11,0)))+IF(Z562="",0,Z562*サマリー!$B$12)</f>
        <v>0</v>
      </c>
      <c r="E562" s="26">
        <f t="shared" si="26"/>
        <v>0</v>
      </c>
      <c r="I562" s="29"/>
      <c r="J562" s="29"/>
      <c r="K562" s="29"/>
      <c r="L562" s="29"/>
      <c r="M562" s="29"/>
      <c r="N562" s="29"/>
      <c r="O562" s="29"/>
      <c r="P562" s="30"/>
      <c r="Q562" s="30"/>
      <c r="R562" s="30"/>
      <c r="S562" s="31"/>
      <c r="T562" s="31"/>
      <c r="U562" s="31"/>
      <c r="V562" s="31"/>
      <c r="W562" s="31"/>
      <c r="X562" s="32"/>
      <c r="Y562" s="32"/>
      <c r="Z562" s="32"/>
    </row>
    <row r="563" spans="1:26">
      <c r="A563" s="28"/>
      <c r="B563" s="17">
        <f t="shared" si="25"/>
        <v>46319</v>
      </c>
      <c r="C563" s="26">
        <f>I563+J563+K563+L563+M563+N563+O563+IF(P563="",0,P563*サマリー!$B$9)+IF(Q563="",0,IF(Q563=200,サマリー!$B$10,IF(Q563=100,サマリー!$B$11,0)))+IF(R563="",0,R563*サマリー!$B$12)</f>
        <v>0</v>
      </c>
      <c r="D563" s="26">
        <f>S563+T563+U563+V563+W563+IF(X563="",0,X563*サマリー!$B$9)+IF(Y563="",0,IF(Y563=200,サマリー!$B$10,IF(Y563=100,サマリー!$B$11,0)))+IF(Z563="",0,Z563*サマリー!$B$12)</f>
        <v>0</v>
      </c>
      <c r="E563" s="26">
        <f t="shared" si="26"/>
        <v>0</v>
      </c>
      <c r="I563" s="29"/>
      <c r="J563" s="29"/>
      <c r="K563" s="29"/>
      <c r="L563" s="29"/>
      <c r="M563" s="29"/>
      <c r="N563" s="29"/>
      <c r="O563" s="29"/>
      <c r="P563" s="30"/>
      <c r="Q563" s="30"/>
      <c r="R563" s="30"/>
      <c r="S563" s="31"/>
      <c r="T563" s="31"/>
      <c r="U563" s="31"/>
      <c r="V563" s="31"/>
      <c r="W563" s="31"/>
      <c r="X563" s="32"/>
      <c r="Y563" s="32"/>
      <c r="Z563" s="32"/>
    </row>
    <row r="564" spans="1:26">
      <c r="A564" s="28"/>
      <c r="B564" s="17">
        <f t="shared" si="25"/>
        <v>46319</v>
      </c>
      <c r="C564" s="26">
        <f>I564+J564+K564+L564+M564+N564+O564+IF(P564="",0,P564*サマリー!$B$9)+IF(Q564="",0,IF(Q564=200,サマリー!$B$10,IF(Q564=100,サマリー!$B$11,0)))+IF(R564="",0,R564*サマリー!$B$12)</f>
        <v>0</v>
      </c>
      <c r="D564" s="26">
        <f>S564+T564+U564+V564+W564+IF(X564="",0,X564*サマリー!$B$9)+IF(Y564="",0,IF(Y564=200,サマリー!$B$10,IF(Y564=100,サマリー!$B$11,0)))+IF(Z564="",0,Z564*サマリー!$B$12)</f>
        <v>0</v>
      </c>
      <c r="E564" s="26">
        <f t="shared" si="26"/>
        <v>0</v>
      </c>
      <c r="I564" s="29"/>
      <c r="J564" s="29"/>
      <c r="K564" s="29"/>
      <c r="L564" s="29"/>
      <c r="M564" s="29"/>
      <c r="N564" s="29"/>
      <c r="O564" s="29"/>
      <c r="P564" s="30"/>
      <c r="Q564" s="30"/>
      <c r="R564" s="30"/>
      <c r="S564" s="31"/>
      <c r="T564" s="31"/>
      <c r="U564" s="31"/>
      <c r="V564" s="31"/>
      <c r="W564" s="31"/>
      <c r="X564" s="32"/>
      <c r="Y564" s="32"/>
      <c r="Z564" s="32"/>
    </row>
    <row r="565" spans="1:26">
      <c r="A565" s="28"/>
      <c r="B565" s="17">
        <f t="shared" si="25"/>
        <v>46319</v>
      </c>
      <c r="C565" s="26">
        <f>I565+J565+K565+L565+M565+N565+O565+IF(P565="",0,P565*サマリー!$B$9)+IF(Q565="",0,IF(Q565=200,サマリー!$B$10,IF(Q565=100,サマリー!$B$11,0)))+IF(R565="",0,R565*サマリー!$B$12)</f>
        <v>0</v>
      </c>
      <c r="D565" s="26">
        <f>S565+T565+U565+V565+W565+IF(X565="",0,X565*サマリー!$B$9)+IF(Y565="",0,IF(Y565=200,サマリー!$B$10,IF(Y565=100,サマリー!$B$11,0)))+IF(Z565="",0,Z565*サマリー!$B$12)</f>
        <v>0</v>
      </c>
      <c r="E565" s="26">
        <f t="shared" si="26"/>
        <v>0</v>
      </c>
      <c r="I565" s="29"/>
      <c r="J565" s="29"/>
      <c r="K565" s="29"/>
      <c r="L565" s="29"/>
      <c r="M565" s="29"/>
      <c r="N565" s="29"/>
      <c r="O565" s="29"/>
      <c r="P565" s="30"/>
      <c r="Q565" s="30"/>
      <c r="R565" s="30"/>
      <c r="S565" s="31"/>
      <c r="T565" s="31"/>
      <c r="U565" s="31"/>
      <c r="V565" s="31"/>
      <c r="W565" s="31"/>
      <c r="X565" s="32"/>
      <c r="Y565" s="32"/>
      <c r="Z565" s="32"/>
    </row>
    <row r="566" spans="1:26">
      <c r="A566" s="28"/>
      <c r="B566" s="17">
        <f t="shared" si="25"/>
        <v>46319</v>
      </c>
      <c r="C566" s="26">
        <f>I566+J566+K566+L566+M566+N566+O566+IF(P566="",0,P566*サマリー!$B$9)+IF(Q566="",0,IF(Q566=200,サマリー!$B$10,IF(Q566=100,サマリー!$B$11,0)))+IF(R566="",0,R566*サマリー!$B$12)</f>
        <v>0</v>
      </c>
      <c r="D566" s="26">
        <f>S566+T566+U566+V566+W566+IF(X566="",0,X566*サマリー!$B$9)+IF(Y566="",0,IF(Y566=200,サマリー!$B$10,IF(Y566=100,サマリー!$B$11,0)))+IF(Z566="",0,Z566*サマリー!$B$12)</f>
        <v>0</v>
      </c>
      <c r="E566" s="26">
        <f t="shared" si="26"/>
        <v>0</v>
      </c>
      <c r="I566" s="29"/>
      <c r="J566" s="29"/>
      <c r="K566" s="29"/>
      <c r="L566" s="29"/>
      <c r="M566" s="29"/>
      <c r="N566" s="29"/>
      <c r="O566" s="29"/>
      <c r="P566" s="30"/>
      <c r="Q566" s="30"/>
      <c r="R566" s="30"/>
      <c r="S566" s="31"/>
      <c r="T566" s="31"/>
      <c r="U566" s="31"/>
      <c r="V566" s="31"/>
      <c r="W566" s="31"/>
      <c r="X566" s="32"/>
      <c r="Y566" s="32"/>
      <c r="Z566" s="32"/>
    </row>
    <row r="567" spans="1:26">
      <c r="A567" s="28"/>
      <c r="B567" s="17">
        <f t="shared" si="25"/>
        <v>46319</v>
      </c>
      <c r="C567" s="26">
        <f>I567+J567+K567+L567+M567+N567+O567+IF(P567="",0,P567*サマリー!$B$9)+IF(Q567="",0,IF(Q567=200,サマリー!$B$10,IF(Q567=100,サマリー!$B$11,0)))+IF(R567="",0,R567*サマリー!$B$12)</f>
        <v>0</v>
      </c>
      <c r="D567" s="26">
        <f>S567+T567+U567+V567+W567+IF(X567="",0,X567*サマリー!$B$9)+IF(Y567="",0,IF(Y567=200,サマリー!$B$10,IF(Y567=100,サマリー!$B$11,0)))+IF(Z567="",0,Z567*サマリー!$B$12)</f>
        <v>0</v>
      </c>
      <c r="E567" s="26">
        <f t="shared" si="26"/>
        <v>0</v>
      </c>
      <c r="I567" s="29"/>
      <c r="J567" s="29"/>
      <c r="K567" s="29"/>
      <c r="L567" s="29"/>
      <c r="M567" s="29"/>
      <c r="N567" s="29"/>
      <c r="O567" s="29"/>
      <c r="P567" s="30"/>
      <c r="Q567" s="30"/>
      <c r="R567" s="30"/>
      <c r="S567" s="31"/>
      <c r="T567" s="31"/>
      <c r="U567" s="31"/>
      <c r="V567" s="31"/>
      <c r="W567" s="31"/>
      <c r="X567" s="32"/>
      <c r="Y567" s="32"/>
      <c r="Z567" s="32"/>
    </row>
    <row r="568" spans="1:26">
      <c r="A568" s="28"/>
      <c r="B568" s="17">
        <f t="shared" si="25"/>
        <v>46319</v>
      </c>
      <c r="C568" s="26">
        <f>I568+J568+K568+L568+M568+N568+O568+IF(P568="",0,P568*サマリー!$B$9)+IF(Q568="",0,IF(Q568=200,サマリー!$B$10,IF(Q568=100,サマリー!$B$11,0)))+IF(R568="",0,R568*サマリー!$B$12)</f>
        <v>0</v>
      </c>
      <c r="D568" s="26">
        <f>S568+T568+U568+V568+W568+IF(X568="",0,X568*サマリー!$B$9)+IF(Y568="",0,IF(Y568=200,サマリー!$B$10,IF(Y568=100,サマリー!$B$11,0)))+IF(Z568="",0,Z568*サマリー!$B$12)</f>
        <v>0</v>
      </c>
      <c r="E568" s="26">
        <f t="shared" si="26"/>
        <v>0</v>
      </c>
      <c r="I568" s="29"/>
      <c r="J568" s="29"/>
      <c r="K568" s="29"/>
      <c r="L568" s="29"/>
      <c r="M568" s="29"/>
      <c r="N568" s="29"/>
      <c r="O568" s="29"/>
      <c r="P568" s="30"/>
      <c r="Q568" s="30"/>
      <c r="R568" s="30"/>
      <c r="S568" s="31"/>
      <c r="T568" s="31"/>
      <c r="U568" s="31"/>
      <c r="V568" s="31"/>
      <c r="W568" s="31"/>
      <c r="X568" s="32"/>
      <c r="Y568" s="32"/>
      <c r="Z568" s="32"/>
    </row>
    <row r="569" spans="1:26">
      <c r="A569" s="28"/>
      <c r="B569" s="17">
        <f t="shared" si="25"/>
        <v>46319</v>
      </c>
      <c r="C569" s="26">
        <f>I569+J569+K569+L569+M569+N569+O569+IF(P569="",0,P569*サマリー!$B$9)+IF(Q569="",0,IF(Q569=200,サマリー!$B$10,IF(Q569=100,サマリー!$B$11,0)))+IF(R569="",0,R569*サマリー!$B$12)</f>
        <v>0</v>
      </c>
      <c r="D569" s="26">
        <f>S569+T569+U569+V569+W569+IF(X569="",0,X569*サマリー!$B$9)+IF(Y569="",0,IF(Y569=200,サマリー!$B$10,IF(Y569=100,サマリー!$B$11,0)))+IF(Z569="",0,Z569*サマリー!$B$12)</f>
        <v>0</v>
      </c>
      <c r="E569" s="26">
        <f t="shared" si="26"/>
        <v>0</v>
      </c>
      <c r="I569" s="29"/>
      <c r="J569" s="29"/>
      <c r="K569" s="29"/>
      <c r="L569" s="29"/>
      <c r="M569" s="29"/>
      <c r="N569" s="29"/>
      <c r="O569" s="29"/>
      <c r="P569" s="30"/>
      <c r="Q569" s="30"/>
      <c r="R569" s="30"/>
      <c r="S569" s="31"/>
      <c r="T569" s="31"/>
      <c r="U569" s="31"/>
      <c r="V569" s="31"/>
      <c r="W569" s="31"/>
      <c r="X569" s="32"/>
      <c r="Y569" s="32"/>
      <c r="Z569" s="32"/>
    </row>
    <row r="570" spans="1:26">
      <c r="A570" s="28"/>
      <c r="B570" s="17">
        <f t="shared" si="25"/>
        <v>46319</v>
      </c>
      <c r="C570" s="26">
        <f>I570+J570+K570+L570+M570+N570+O570+IF(P570="",0,P570*サマリー!$B$9)+IF(Q570="",0,IF(Q570=200,サマリー!$B$10,IF(Q570=100,サマリー!$B$11,0)))+IF(R570="",0,R570*サマリー!$B$12)</f>
        <v>0</v>
      </c>
      <c r="D570" s="26">
        <f>S570+T570+U570+V570+W570+IF(X570="",0,X570*サマリー!$B$9)+IF(Y570="",0,IF(Y570=200,サマリー!$B$10,IF(Y570=100,サマリー!$B$11,0)))+IF(Z570="",0,Z570*サマリー!$B$12)</f>
        <v>0</v>
      </c>
      <c r="E570" s="26">
        <f t="shared" si="26"/>
        <v>0</v>
      </c>
      <c r="I570" s="29"/>
      <c r="J570" s="29"/>
      <c r="K570" s="29"/>
      <c r="L570" s="29"/>
      <c r="M570" s="29"/>
      <c r="N570" s="29"/>
      <c r="O570" s="29"/>
      <c r="P570" s="30"/>
      <c r="Q570" s="30"/>
      <c r="R570" s="30"/>
      <c r="S570" s="31"/>
      <c r="T570" s="31"/>
      <c r="U570" s="31"/>
      <c r="V570" s="31"/>
      <c r="W570" s="31"/>
      <c r="X570" s="32"/>
      <c r="Y570" s="32"/>
      <c r="Z570" s="32"/>
    </row>
    <row r="571" spans="1:26">
      <c r="A571" s="28"/>
      <c r="B571" s="17">
        <f t="shared" si="25"/>
        <v>46319</v>
      </c>
      <c r="C571" s="26">
        <f>I571+J571+K571+L571+M571+N571+O571+IF(P571="",0,P571*サマリー!$B$9)+IF(Q571="",0,IF(Q571=200,サマリー!$B$10,IF(Q571=100,サマリー!$B$11,0)))+IF(R571="",0,R571*サマリー!$B$12)</f>
        <v>0</v>
      </c>
      <c r="D571" s="26">
        <f>S571+T571+U571+V571+W571+IF(X571="",0,X571*サマリー!$B$9)+IF(Y571="",0,IF(Y571=200,サマリー!$B$10,IF(Y571=100,サマリー!$B$11,0)))+IF(Z571="",0,Z571*サマリー!$B$12)</f>
        <v>0</v>
      </c>
      <c r="E571" s="26">
        <f t="shared" si="26"/>
        <v>0</v>
      </c>
      <c r="I571" s="29"/>
      <c r="J571" s="29"/>
      <c r="K571" s="29"/>
      <c r="L571" s="29"/>
      <c r="M571" s="29"/>
      <c r="N571" s="29"/>
      <c r="O571" s="29"/>
      <c r="P571" s="30"/>
      <c r="Q571" s="30"/>
      <c r="R571" s="30"/>
      <c r="S571" s="31"/>
      <c r="T571" s="31"/>
      <c r="U571" s="31"/>
      <c r="V571" s="31"/>
      <c r="W571" s="31"/>
      <c r="X571" s="32"/>
      <c r="Y571" s="32"/>
      <c r="Z571" s="32"/>
    </row>
    <row r="572" spans="1:26">
      <c r="A572" s="28"/>
      <c r="B572" s="17">
        <f t="shared" si="25"/>
        <v>46319</v>
      </c>
      <c r="C572" s="26">
        <f>I572+J572+K572+L572+M572+N572+O572+IF(P572="",0,P572*サマリー!$B$9)+IF(Q572="",0,IF(Q572=200,サマリー!$B$10,IF(Q572=100,サマリー!$B$11,0)))+IF(R572="",0,R572*サマリー!$B$12)</f>
        <v>0</v>
      </c>
      <c r="D572" s="26">
        <f>S572+T572+U572+V572+W572+IF(X572="",0,X572*サマリー!$B$9)+IF(Y572="",0,IF(Y572=200,サマリー!$B$10,IF(Y572=100,サマリー!$B$11,0)))+IF(Z572="",0,Z572*サマリー!$B$12)</f>
        <v>0</v>
      </c>
      <c r="E572" s="26">
        <f t="shared" si="26"/>
        <v>0</v>
      </c>
      <c r="I572" s="29"/>
      <c r="J572" s="29"/>
      <c r="K572" s="29"/>
      <c r="L572" s="29"/>
      <c r="M572" s="29"/>
      <c r="N572" s="29"/>
      <c r="O572" s="29"/>
      <c r="P572" s="30"/>
      <c r="Q572" s="30"/>
      <c r="R572" s="30"/>
      <c r="S572" s="31"/>
      <c r="T572" s="31"/>
      <c r="U572" s="31"/>
      <c r="V572" s="31"/>
      <c r="W572" s="31"/>
      <c r="X572" s="32"/>
      <c r="Y572" s="32"/>
      <c r="Z572" s="32"/>
    </row>
    <row r="573" spans="1:26">
      <c r="A573" s="28"/>
      <c r="B573" s="17">
        <f t="shared" si="25"/>
        <v>46319</v>
      </c>
      <c r="C573" s="26">
        <f>I573+J573+K573+L573+M573+N573+O573+IF(P573="",0,P573*サマリー!$B$9)+IF(Q573="",0,IF(Q573=200,サマリー!$B$10,IF(Q573=100,サマリー!$B$11,0)))+IF(R573="",0,R573*サマリー!$B$12)</f>
        <v>0</v>
      </c>
      <c r="D573" s="26">
        <f>S573+T573+U573+V573+W573+IF(X573="",0,X573*サマリー!$B$9)+IF(Y573="",0,IF(Y573=200,サマリー!$B$10,IF(Y573=100,サマリー!$B$11,0)))+IF(Z573="",0,Z573*サマリー!$B$12)</f>
        <v>0</v>
      </c>
      <c r="E573" s="26">
        <f t="shared" si="26"/>
        <v>0</v>
      </c>
      <c r="I573" s="29"/>
      <c r="J573" s="29"/>
      <c r="K573" s="29"/>
      <c r="L573" s="29"/>
      <c r="M573" s="29"/>
      <c r="N573" s="29"/>
      <c r="O573" s="29"/>
      <c r="P573" s="30"/>
      <c r="Q573" s="30"/>
      <c r="R573" s="30"/>
      <c r="S573" s="31"/>
      <c r="T573" s="31"/>
      <c r="U573" s="31"/>
      <c r="V573" s="31"/>
      <c r="W573" s="31"/>
      <c r="X573" s="32"/>
      <c r="Y573" s="32"/>
      <c r="Z573" s="32"/>
    </row>
    <row r="574" spans="1:26">
      <c r="A574" s="28"/>
      <c r="B574" s="17">
        <f t="shared" si="25"/>
        <v>46319</v>
      </c>
      <c r="C574" s="26">
        <f>I574+J574+K574+L574+M574+N574+O574+IF(P574="",0,P574*サマリー!$B$9)+IF(Q574="",0,IF(Q574=200,サマリー!$B$10,IF(Q574=100,サマリー!$B$11,0)))+IF(R574="",0,R574*サマリー!$B$12)</f>
        <v>0</v>
      </c>
      <c r="D574" s="26">
        <f>S574+T574+U574+V574+W574+IF(X574="",0,X574*サマリー!$B$9)+IF(Y574="",0,IF(Y574=200,サマリー!$B$10,IF(Y574=100,サマリー!$B$11,0)))+IF(Z574="",0,Z574*サマリー!$B$12)</f>
        <v>0</v>
      </c>
      <c r="E574" s="26">
        <f t="shared" si="26"/>
        <v>0</v>
      </c>
      <c r="I574" s="29"/>
      <c r="J574" s="29"/>
      <c r="K574" s="29"/>
      <c r="L574" s="29"/>
      <c r="M574" s="29"/>
      <c r="N574" s="29"/>
      <c r="O574" s="29"/>
      <c r="P574" s="30"/>
      <c r="Q574" s="30"/>
      <c r="R574" s="30"/>
      <c r="S574" s="31"/>
      <c r="T574" s="31"/>
      <c r="U574" s="31"/>
      <c r="V574" s="31"/>
      <c r="W574" s="31"/>
      <c r="X574" s="32"/>
      <c r="Y574" s="32"/>
      <c r="Z574" s="32"/>
    </row>
    <row r="575" spans="1:26">
      <c r="A575" s="28"/>
      <c r="B575" s="17">
        <f t="shared" si="25"/>
        <v>46319</v>
      </c>
      <c r="C575" s="26">
        <f>I575+J575+K575+L575+M575+N575+O575+IF(P575="",0,P575*サマリー!$B$9)+IF(Q575="",0,IF(Q575=200,サマリー!$B$10,IF(Q575=100,サマリー!$B$11,0)))+IF(R575="",0,R575*サマリー!$B$12)</f>
        <v>0</v>
      </c>
      <c r="D575" s="26">
        <f>S575+T575+U575+V575+W575+IF(X575="",0,X575*サマリー!$B$9)+IF(Y575="",0,IF(Y575=200,サマリー!$B$10,IF(Y575=100,サマリー!$B$11,0)))+IF(Z575="",0,Z575*サマリー!$B$12)</f>
        <v>0</v>
      </c>
      <c r="E575" s="26">
        <f t="shared" si="26"/>
        <v>0</v>
      </c>
      <c r="I575" s="29"/>
      <c r="J575" s="29"/>
      <c r="K575" s="29"/>
      <c r="L575" s="29"/>
      <c r="M575" s="29"/>
      <c r="N575" s="29"/>
      <c r="O575" s="29"/>
      <c r="P575" s="30"/>
      <c r="Q575" s="30"/>
      <c r="R575" s="30"/>
      <c r="S575" s="31"/>
      <c r="T575" s="31"/>
      <c r="U575" s="31"/>
      <c r="V575" s="31"/>
      <c r="W575" s="31"/>
      <c r="X575" s="32"/>
      <c r="Y575" s="32"/>
      <c r="Z575" s="32"/>
    </row>
    <row r="576" spans="1:26">
      <c r="A576" s="28"/>
      <c r="B576" s="17">
        <f t="shared" si="25"/>
        <v>46319</v>
      </c>
      <c r="C576" s="26">
        <f>I576+J576+K576+L576+M576+N576+O576+IF(P576="",0,P576*サマリー!$B$9)+IF(Q576="",0,IF(Q576=200,サマリー!$B$10,IF(Q576=100,サマリー!$B$11,0)))+IF(R576="",0,R576*サマリー!$B$12)</f>
        <v>0</v>
      </c>
      <c r="D576" s="26">
        <f>S576+T576+U576+V576+W576+IF(X576="",0,X576*サマリー!$B$9)+IF(Y576="",0,IF(Y576=200,サマリー!$B$10,IF(Y576=100,サマリー!$B$11,0)))+IF(Z576="",0,Z576*サマリー!$B$12)</f>
        <v>0</v>
      </c>
      <c r="E576" s="26">
        <f t="shared" si="26"/>
        <v>0</v>
      </c>
      <c r="I576" s="29"/>
      <c r="J576" s="29"/>
      <c r="K576" s="29"/>
      <c r="L576" s="29"/>
      <c r="M576" s="29"/>
      <c r="N576" s="29"/>
      <c r="O576" s="29"/>
      <c r="P576" s="30"/>
      <c r="Q576" s="30"/>
      <c r="R576" s="30"/>
      <c r="S576" s="31"/>
      <c r="T576" s="31"/>
      <c r="U576" s="31"/>
      <c r="V576" s="31"/>
      <c r="W576" s="31"/>
      <c r="X576" s="32"/>
      <c r="Y576" s="32"/>
      <c r="Z576" s="32"/>
    </row>
    <row r="577" spans="1:26">
      <c r="A577" s="28"/>
      <c r="B577" s="17">
        <f t="shared" ref="B577:B640" si="27">IF(A577="",B576,IF(A577&lt;DAY(B576),DATE(YEAR(B576),MONTH(B576)+1,A577),DATE(YEAR(B576),MONTH(B576),A577)))</f>
        <v>46319</v>
      </c>
      <c r="C577" s="26">
        <f>I577+J577+K577+L577+M577+N577+O577+IF(P577="",0,P577*サマリー!$B$9)+IF(Q577="",0,IF(Q577=200,サマリー!$B$10,IF(Q577=100,サマリー!$B$11,0)))+IF(R577="",0,R577*サマリー!$B$12)</f>
        <v>0</v>
      </c>
      <c r="D577" s="26">
        <f>S577+T577+U577+V577+W577+IF(X577="",0,X577*サマリー!$B$9)+IF(Y577="",0,IF(Y577=200,サマリー!$B$10,IF(Y577=100,サマリー!$B$11,0)))+IF(Z577="",0,Z577*サマリー!$B$12)</f>
        <v>0</v>
      </c>
      <c r="E577" s="26">
        <f t="shared" si="26"/>
        <v>0</v>
      </c>
      <c r="I577" s="29"/>
      <c r="J577" s="29"/>
      <c r="K577" s="29"/>
      <c r="L577" s="29"/>
      <c r="M577" s="29"/>
      <c r="N577" s="29"/>
      <c r="O577" s="29"/>
      <c r="P577" s="30"/>
      <c r="Q577" s="30"/>
      <c r="R577" s="30"/>
      <c r="S577" s="31"/>
      <c r="T577" s="31"/>
      <c r="U577" s="31"/>
      <c r="V577" s="31"/>
      <c r="W577" s="31"/>
      <c r="X577" s="32"/>
      <c r="Y577" s="32"/>
      <c r="Z577" s="32"/>
    </row>
    <row r="578" spans="1:26">
      <c r="A578" s="28"/>
      <c r="B578" s="17">
        <f t="shared" si="27"/>
        <v>46319</v>
      </c>
      <c r="C578" s="26">
        <f>I578+J578+K578+L578+M578+N578+O578+IF(P578="",0,P578*サマリー!$B$9)+IF(Q578="",0,IF(Q578=200,サマリー!$B$10,IF(Q578=100,サマリー!$B$11,0)))+IF(R578="",0,R578*サマリー!$B$12)</f>
        <v>0</v>
      </c>
      <c r="D578" s="26">
        <f>S578+T578+U578+V578+W578+IF(X578="",0,X578*サマリー!$B$9)+IF(Y578="",0,IF(Y578=200,サマリー!$B$10,IF(Y578=100,サマリー!$B$11,0)))+IF(Z578="",0,Z578*サマリー!$B$12)</f>
        <v>0</v>
      </c>
      <c r="E578" s="26">
        <f t="shared" si="26"/>
        <v>0</v>
      </c>
      <c r="I578" s="29"/>
      <c r="J578" s="29"/>
      <c r="K578" s="29"/>
      <c r="L578" s="29"/>
      <c r="M578" s="29"/>
      <c r="N578" s="29"/>
      <c r="O578" s="29"/>
      <c r="P578" s="30"/>
      <c r="Q578" s="30"/>
      <c r="R578" s="30"/>
      <c r="S578" s="31"/>
      <c r="T578" s="31"/>
      <c r="U578" s="31"/>
      <c r="V578" s="31"/>
      <c r="W578" s="31"/>
      <c r="X578" s="32"/>
      <c r="Y578" s="32"/>
      <c r="Z578" s="32"/>
    </row>
    <row r="579" spans="1:26">
      <c r="A579" s="28"/>
      <c r="B579" s="17">
        <f t="shared" si="27"/>
        <v>46319</v>
      </c>
      <c r="C579" s="26">
        <f>I579+J579+K579+L579+M579+N579+O579+IF(P579="",0,P579*サマリー!$B$9)+IF(Q579="",0,IF(Q579=200,サマリー!$B$10,IF(Q579=100,サマリー!$B$11,0)))+IF(R579="",0,R579*サマリー!$B$12)</f>
        <v>0</v>
      </c>
      <c r="D579" s="26">
        <f>S579+T579+U579+V579+W579+IF(X579="",0,X579*サマリー!$B$9)+IF(Y579="",0,IF(Y579=200,サマリー!$B$10,IF(Y579=100,サマリー!$B$11,0)))+IF(Z579="",0,Z579*サマリー!$B$12)</f>
        <v>0</v>
      </c>
      <c r="E579" s="26">
        <f t="shared" si="26"/>
        <v>0</v>
      </c>
      <c r="I579" s="29"/>
      <c r="J579" s="29"/>
      <c r="K579" s="29"/>
      <c r="L579" s="29"/>
      <c r="M579" s="29"/>
      <c r="N579" s="29"/>
      <c r="O579" s="29"/>
      <c r="P579" s="30"/>
      <c r="Q579" s="30"/>
      <c r="R579" s="30"/>
      <c r="S579" s="31"/>
      <c r="T579" s="31"/>
      <c r="U579" s="31"/>
      <c r="V579" s="31"/>
      <c r="W579" s="31"/>
      <c r="X579" s="32"/>
      <c r="Y579" s="32"/>
      <c r="Z579" s="32"/>
    </row>
    <row r="580" spans="1:26">
      <c r="A580" s="28"/>
      <c r="B580" s="17">
        <f t="shared" si="27"/>
        <v>46319</v>
      </c>
      <c r="C580" s="26">
        <f>I580+J580+K580+L580+M580+N580+O580+IF(P580="",0,P580*サマリー!$B$9)+IF(Q580="",0,IF(Q580=200,サマリー!$B$10,IF(Q580=100,サマリー!$B$11,0)))+IF(R580="",0,R580*サマリー!$B$12)</f>
        <v>0</v>
      </c>
      <c r="D580" s="26">
        <f>S580+T580+U580+V580+W580+IF(X580="",0,X580*サマリー!$B$9)+IF(Y580="",0,IF(Y580=200,サマリー!$B$10,IF(Y580=100,サマリー!$B$11,0)))+IF(Z580="",0,Z580*サマリー!$B$12)</f>
        <v>0</v>
      </c>
      <c r="E580" s="26">
        <f t="shared" si="26"/>
        <v>0</v>
      </c>
      <c r="I580" s="29"/>
      <c r="J580" s="29"/>
      <c r="K580" s="29"/>
      <c r="L580" s="29"/>
      <c r="M580" s="29"/>
      <c r="N580" s="29"/>
      <c r="O580" s="29"/>
      <c r="P580" s="30"/>
      <c r="Q580" s="30"/>
      <c r="R580" s="30"/>
      <c r="S580" s="31"/>
      <c r="T580" s="31"/>
      <c r="U580" s="31"/>
      <c r="V580" s="31"/>
      <c r="W580" s="31"/>
      <c r="X580" s="32"/>
      <c r="Y580" s="32"/>
      <c r="Z580" s="32"/>
    </row>
    <row r="581" spans="1:26">
      <c r="A581" s="28"/>
      <c r="B581" s="17">
        <f t="shared" si="27"/>
        <v>46319</v>
      </c>
      <c r="C581" s="26">
        <f>I581+J581+K581+L581+M581+N581+O581+IF(P581="",0,P581*サマリー!$B$9)+IF(Q581="",0,IF(Q581=200,サマリー!$B$10,IF(Q581=100,サマリー!$B$11,0)))+IF(R581="",0,R581*サマリー!$B$12)</f>
        <v>0</v>
      </c>
      <c r="D581" s="26">
        <f>S581+T581+U581+V581+W581+IF(X581="",0,X581*サマリー!$B$9)+IF(Y581="",0,IF(Y581=200,サマリー!$B$10,IF(Y581=100,サマリー!$B$11,0)))+IF(Z581="",0,Z581*サマリー!$B$12)</f>
        <v>0</v>
      </c>
      <c r="E581" s="26">
        <f t="shared" si="26"/>
        <v>0</v>
      </c>
      <c r="I581" s="29"/>
      <c r="J581" s="29"/>
      <c r="K581" s="29"/>
      <c r="L581" s="29"/>
      <c r="M581" s="29"/>
      <c r="N581" s="29"/>
      <c r="O581" s="29"/>
      <c r="P581" s="30"/>
      <c r="Q581" s="30"/>
      <c r="R581" s="30"/>
      <c r="S581" s="31"/>
      <c r="T581" s="31"/>
      <c r="U581" s="31"/>
      <c r="V581" s="31"/>
      <c r="W581" s="31"/>
      <c r="X581" s="32"/>
      <c r="Y581" s="32"/>
      <c r="Z581" s="32"/>
    </row>
    <row r="582" spans="1:26">
      <c r="A582" s="28"/>
      <c r="B582" s="17">
        <f t="shared" si="27"/>
        <v>46319</v>
      </c>
      <c r="C582" s="26">
        <f>I582+J582+K582+L582+M582+N582+O582+IF(P582="",0,P582*サマリー!$B$9)+IF(Q582="",0,IF(Q582=200,サマリー!$B$10,IF(Q582=100,サマリー!$B$11,0)))+IF(R582="",0,R582*サマリー!$B$12)</f>
        <v>0</v>
      </c>
      <c r="D582" s="26">
        <f>S582+T582+U582+V582+W582+IF(X582="",0,X582*サマリー!$B$9)+IF(Y582="",0,IF(Y582=200,サマリー!$B$10,IF(Y582=100,サマリー!$B$11,0)))+IF(Z582="",0,Z582*サマリー!$B$12)</f>
        <v>0</v>
      </c>
      <c r="E582" s="26">
        <f t="shared" si="26"/>
        <v>0</v>
      </c>
      <c r="I582" s="29"/>
      <c r="J582" s="29"/>
      <c r="K582" s="29"/>
      <c r="L582" s="29"/>
      <c r="M582" s="29"/>
      <c r="N582" s="29"/>
      <c r="O582" s="29"/>
      <c r="P582" s="30"/>
      <c r="Q582" s="30"/>
      <c r="R582" s="30"/>
      <c r="S582" s="31"/>
      <c r="T582" s="31"/>
      <c r="U582" s="31"/>
      <c r="V582" s="31"/>
      <c r="W582" s="31"/>
      <c r="X582" s="32"/>
      <c r="Y582" s="32"/>
      <c r="Z582" s="32"/>
    </row>
    <row r="583" spans="1:26">
      <c r="A583" s="28"/>
      <c r="B583" s="17">
        <f t="shared" si="27"/>
        <v>46319</v>
      </c>
      <c r="C583" s="26">
        <f>I583+J583+K583+L583+M583+N583+O583+IF(P583="",0,P583*サマリー!$B$9)+IF(Q583="",0,IF(Q583=200,サマリー!$B$10,IF(Q583=100,サマリー!$B$11,0)))+IF(R583="",0,R583*サマリー!$B$12)</f>
        <v>0</v>
      </c>
      <c r="D583" s="26">
        <f>S583+T583+U583+V583+W583+IF(X583="",0,X583*サマリー!$B$9)+IF(Y583="",0,IF(Y583=200,サマリー!$B$10,IF(Y583=100,サマリー!$B$11,0)))+IF(Z583="",0,Z583*サマリー!$B$12)</f>
        <v>0</v>
      </c>
      <c r="E583" s="26">
        <f t="shared" si="26"/>
        <v>0</v>
      </c>
      <c r="I583" s="29"/>
      <c r="J583" s="29"/>
      <c r="K583" s="29"/>
      <c r="L583" s="29"/>
      <c r="M583" s="29"/>
      <c r="N583" s="29"/>
      <c r="O583" s="29"/>
      <c r="P583" s="30"/>
      <c r="Q583" s="30"/>
      <c r="R583" s="30"/>
      <c r="S583" s="31"/>
      <c r="T583" s="31"/>
      <c r="U583" s="31"/>
      <c r="V583" s="31"/>
      <c r="W583" s="31"/>
      <c r="X583" s="32"/>
      <c r="Y583" s="32"/>
      <c r="Z583" s="32"/>
    </row>
    <row r="584" spans="1:26">
      <c r="A584" s="28"/>
      <c r="B584" s="17">
        <f t="shared" si="27"/>
        <v>46319</v>
      </c>
      <c r="C584" s="26">
        <f>I584+J584+K584+L584+M584+N584+O584+IF(P584="",0,P584*サマリー!$B$9)+IF(Q584="",0,IF(Q584=200,サマリー!$B$10,IF(Q584=100,サマリー!$B$11,0)))+IF(R584="",0,R584*サマリー!$B$12)</f>
        <v>0</v>
      </c>
      <c r="D584" s="26">
        <f>S584+T584+U584+V584+W584+IF(X584="",0,X584*サマリー!$B$9)+IF(Y584="",0,IF(Y584=200,サマリー!$B$10,IF(Y584=100,サマリー!$B$11,0)))+IF(Z584="",0,Z584*サマリー!$B$12)</f>
        <v>0</v>
      </c>
      <c r="E584" s="26">
        <f t="shared" si="26"/>
        <v>0</v>
      </c>
      <c r="I584" s="29"/>
      <c r="J584" s="29"/>
      <c r="K584" s="29"/>
      <c r="L584" s="29"/>
      <c r="M584" s="29"/>
      <c r="N584" s="29"/>
      <c r="O584" s="29"/>
      <c r="P584" s="30"/>
      <c r="Q584" s="30"/>
      <c r="R584" s="30"/>
      <c r="S584" s="31"/>
      <c r="T584" s="31"/>
      <c r="U584" s="31"/>
      <c r="V584" s="31"/>
      <c r="W584" s="31"/>
      <c r="X584" s="32"/>
      <c r="Y584" s="32"/>
      <c r="Z584" s="32"/>
    </row>
    <row r="585" spans="1:26">
      <c r="A585" s="28"/>
      <c r="B585" s="17">
        <f t="shared" si="27"/>
        <v>46319</v>
      </c>
      <c r="C585" s="26">
        <f>I585+J585+K585+L585+M585+N585+O585+IF(P585="",0,P585*サマリー!$B$9)+IF(Q585="",0,IF(Q585=200,サマリー!$B$10,IF(Q585=100,サマリー!$B$11,0)))+IF(R585="",0,R585*サマリー!$B$12)</f>
        <v>0</v>
      </c>
      <c r="D585" s="26">
        <f>S585+T585+U585+V585+W585+IF(X585="",0,X585*サマリー!$B$9)+IF(Y585="",0,IF(Y585=200,サマリー!$B$10,IF(Y585=100,サマリー!$B$11,0)))+IF(Z585="",0,Z585*サマリー!$B$12)</f>
        <v>0</v>
      </c>
      <c r="E585" s="26">
        <f t="shared" si="26"/>
        <v>0</v>
      </c>
      <c r="I585" s="29"/>
      <c r="J585" s="29"/>
      <c r="K585" s="29"/>
      <c r="L585" s="29"/>
      <c r="M585" s="29"/>
      <c r="N585" s="29"/>
      <c r="O585" s="29"/>
      <c r="P585" s="30"/>
      <c r="Q585" s="30"/>
      <c r="R585" s="30"/>
      <c r="S585" s="31"/>
      <c r="T585" s="31"/>
      <c r="U585" s="31"/>
      <c r="V585" s="31"/>
      <c r="W585" s="31"/>
      <c r="X585" s="32"/>
      <c r="Y585" s="32"/>
      <c r="Z585" s="32"/>
    </row>
    <row r="586" spans="1:26">
      <c r="A586" s="28"/>
      <c r="B586" s="17">
        <f t="shared" si="27"/>
        <v>46319</v>
      </c>
      <c r="C586" s="26">
        <f>I586+J586+K586+L586+M586+N586+O586+IF(P586="",0,P586*サマリー!$B$9)+IF(Q586="",0,IF(Q586=200,サマリー!$B$10,IF(Q586=100,サマリー!$B$11,0)))+IF(R586="",0,R586*サマリー!$B$12)</f>
        <v>0</v>
      </c>
      <c r="D586" s="26">
        <f>S586+T586+U586+V586+W586+IF(X586="",0,X586*サマリー!$B$9)+IF(Y586="",0,IF(Y586=200,サマリー!$B$10,IF(Y586=100,サマリー!$B$11,0)))+IF(Z586="",0,Z586*サマリー!$B$12)</f>
        <v>0</v>
      </c>
      <c r="E586" s="26">
        <f t="shared" si="26"/>
        <v>0</v>
      </c>
      <c r="I586" s="29"/>
      <c r="J586" s="29"/>
      <c r="K586" s="29"/>
      <c r="L586" s="29"/>
      <c r="M586" s="29"/>
      <c r="N586" s="29"/>
      <c r="O586" s="29"/>
      <c r="P586" s="30"/>
      <c r="Q586" s="30"/>
      <c r="R586" s="30"/>
      <c r="S586" s="31"/>
      <c r="T586" s="31"/>
      <c r="U586" s="31"/>
      <c r="V586" s="31"/>
      <c r="W586" s="31"/>
      <c r="X586" s="32"/>
      <c r="Y586" s="32"/>
      <c r="Z586" s="32"/>
    </row>
    <row r="587" spans="1:26">
      <c r="A587" s="28"/>
      <c r="B587" s="17">
        <f t="shared" si="27"/>
        <v>46319</v>
      </c>
      <c r="C587" s="26">
        <f>I587+J587+K587+L587+M587+N587+O587+IF(P587="",0,P587*サマリー!$B$9)+IF(Q587="",0,IF(Q587=200,サマリー!$B$10,IF(Q587=100,サマリー!$B$11,0)))+IF(R587="",0,R587*サマリー!$B$12)</f>
        <v>0</v>
      </c>
      <c r="D587" s="26">
        <f>S587+T587+U587+V587+W587+IF(X587="",0,X587*サマリー!$B$9)+IF(Y587="",0,IF(Y587=200,サマリー!$B$10,IF(Y587=100,サマリー!$B$11,0)))+IF(Z587="",0,Z587*サマリー!$B$12)</f>
        <v>0</v>
      </c>
      <c r="E587" s="26">
        <f t="shared" si="26"/>
        <v>0</v>
      </c>
      <c r="I587" s="29"/>
      <c r="J587" s="29"/>
      <c r="K587" s="29"/>
      <c r="L587" s="29"/>
      <c r="M587" s="29"/>
      <c r="N587" s="29"/>
      <c r="O587" s="29"/>
      <c r="P587" s="30"/>
      <c r="Q587" s="30"/>
      <c r="R587" s="30"/>
      <c r="S587" s="31"/>
      <c r="T587" s="31"/>
      <c r="U587" s="31"/>
      <c r="V587" s="31"/>
      <c r="W587" s="31"/>
      <c r="X587" s="32"/>
      <c r="Y587" s="32"/>
      <c r="Z587" s="32"/>
    </row>
    <row r="588" spans="1:26">
      <c r="A588" s="28"/>
      <c r="B588" s="17">
        <f t="shared" si="27"/>
        <v>46319</v>
      </c>
      <c r="C588" s="26">
        <f>I588+J588+K588+L588+M588+N588+O588+IF(P588="",0,P588*サマリー!$B$9)+IF(Q588="",0,IF(Q588=200,サマリー!$B$10,IF(Q588=100,サマリー!$B$11,0)))+IF(R588="",0,R588*サマリー!$B$12)</f>
        <v>0</v>
      </c>
      <c r="D588" s="26">
        <f>S588+T588+U588+V588+W588+IF(X588="",0,X588*サマリー!$B$9)+IF(Y588="",0,IF(Y588=200,サマリー!$B$10,IF(Y588=100,サマリー!$B$11,0)))+IF(Z588="",0,Z588*サマリー!$B$12)</f>
        <v>0</v>
      </c>
      <c r="E588" s="26">
        <f t="shared" si="26"/>
        <v>0</v>
      </c>
      <c r="I588" s="29"/>
      <c r="J588" s="29"/>
      <c r="K588" s="29"/>
      <c r="L588" s="29"/>
      <c r="M588" s="29"/>
      <c r="N588" s="29"/>
      <c r="O588" s="29"/>
      <c r="P588" s="30"/>
      <c r="Q588" s="30"/>
      <c r="R588" s="30"/>
      <c r="S588" s="31"/>
      <c r="T588" s="31"/>
      <c r="U588" s="31"/>
      <c r="V588" s="31"/>
      <c r="W588" s="31"/>
      <c r="X588" s="32"/>
      <c r="Y588" s="32"/>
      <c r="Z588" s="32"/>
    </row>
    <row r="589" spans="1:26">
      <c r="A589" s="28"/>
      <c r="B589" s="17">
        <f t="shared" si="27"/>
        <v>46319</v>
      </c>
      <c r="C589" s="26">
        <f>I589+J589+K589+L589+M589+N589+O589+IF(P589="",0,P589*サマリー!$B$9)+IF(Q589="",0,IF(Q589=200,サマリー!$B$10,IF(Q589=100,サマリー!$B$11,0)))+IF(R589="",0,R589*サマリー!$B$12)</f>
        <v>0</v>
      </c>
      <c r="D589" s="26">
        <f>S589+T589+U589+V589+W589+IF(X589="",0,X589*サマリー!$B$9)+IF(Y589="",0,IF(Y589=200,サマリー!$B$10,IF(Y589=100,サマリー!$B$11,0)))+IF(Z589="",0,Z589*サマリー!$B$12)</f>
        <v>0</v>
      </c>
      <c r="E589" s="26">
        <f t="shared" si="26"/>
        <v>0</v>
      </c>
      <c r="I589" s="29"/>
      <c r="J589" s="29"/>
      <c r="K589" s="29"/>
      <c r="L589" s="29"/>
      <c r="M589" s="29"/>
      <c r="N589" s="29"/>
      <c r="O589" s="29"/>
      <c r="P589" s="30"/>
      <c r="Q589" s="30"/>
      <c r="R589" s="30"/>
      <c r="S589" s="31"/>
      <c r="T589" s="31"/>
      <c r="U589" s="31"/>
      <c r="V589" s="31"/>
      <c r="W589" s="31"/>
      <c r="X589" s="32"/>
      <c r="Y589" s="32"/>
      <c r="Z589" s="32"/>
    </row>
    <row r="590" spans="1:26">
      <c r="A590" s="28"/>
      <c r="B590" s="17">
        <f t="shared" si="27"/>
        <v>46319</v>
      </c>
      <c r="C590" s="26">
        <f>I590+J590+K590+L590+M590+N590+O590+IF(P590="",0,P590*サマリー!$B$9)+IF(Q590="",0,IF(Q590=200,サマリー!$B$10,IF(Q590=100,サマリー!$B$11,0)))+IF(R590="",0,R590*サマリー!$B$12)</f>
        <v>0</v>
      </c>
      <c r="D590" s="26">
        <f>S590+T590+U590+V590+W590+IF(X590="",0,X590*サマリー!$B$9)+IF(Y590="",0,IF(Y590=200,サマリー!$B$10,IF(Y590=100,サマリー!$B$11,0)))+IF(Z590="",0,Z590*サマリー!$B$12)</f>
        <v>0</v>
      </c>
      <c r="E590" s="26">
        <f t="shared" si="26"/>
        <v>0</v>
      </c>
      <c r="I590" s="29"/>
      <c r="J590" s="29"/>
      <c r="K590" s="29"/>
      <c r="L590" s="29"/>
      <c r="M590" s="29"/>
      <c r="N590" s="29"/>
      <c r="O590" s="29"/>
      <c r="P590" s="30"/>
      <c r="Q590" s="30"/>
      <c r="R590" s="30"/>
      <c r="S590" s="31"/>
      <c r="T590" s="31"/>
      <c r="U590" s="31"/>
      <c r="V590" s="31"/>
      <c r="W590" s="31"/>
      <c r="X590" s="32"/>
      <c r="Y590" s="32"/>
      <c r="Z590" s="32"/>
    </row>
    <row r="591" spans="1:26">
      <c r="A591" s="28"/>
      <c r="B591" s="17">
        <f t="shared" si="27"/>
        <v>46319</v>
      </c>
      <c r="C591" s="26">
        <f>I591+J591+K591+L591+M591+N591+O591+IF(P591="",0,P591*サマリー!$B$9)+IF(Q591="",0,IF(Q591=200,サマリー!$B$10,IF(Q591=100,サマリー!$B$11,0)))+IF(R591="",0,R591*サマリー!$B$12)</f>
        <v>0</v>
      </c>
      <c r="D591" s="26">
        <f>S591+T591+U591+V591+W591+IF(X591="",0,X591*サマリー!$B$9)+IF(Y591="",0,IF(Y591=200,サマリー!$B$10,IF(Y591=100,サマリー!$B$11,0)))+IF(Z591="",0,Z591*サマリー!$B$12)</f>
        <v>0</v>
      </c>
      <c r="E591" s="26">
        <f t="shared" si="26"/>
        <v>0</v>
      </c>
      <c r="I591" s="29"/>
      <c r="J591" s="29"/>
      <c r="K591" s="29"/>
      <c r="L591" s="29"/>
      <c r="M591" s="29"/>
      <c r="N591" s="29"/>
      <c r="O591" s="29"/>
      <c r="P591" s="30"/>
      <c r="Q591" s="30"/>
      <c r="R591" s="30"/>
      <c r="S591" s="31"/>
      <c r="T591" s="31"/>
      <c r="U591" s="31"/>
      <c r="V591" s="31"/>
      <c r="W591" s="31"/>
      <c r="X591" s="32"/>
      <c r="Y591" s="32"/>
      <c r="Z591" s="32"/>
    </row>
    <row r="592" spans="1:26">
      <c r="A592" s="28"/>
      <c r="B592" s="17">
        <f t="shared" si="27"/>
        <v>46319</v>
      </c>
      <c r="C592" s="26">
        <f>I592+J592+K592+L592+M592+N592+O592+IF(P592="",0,P592*サマリー!$B$9)+IF(Q592="",0,IF(Q592=200,サマリー!$B$10,IF(Q592=100,サマリー!$B$11,0)))+IF(R592="",0,R592*サマリー!$B$12)</f>
        <v>0</v>
      </c>
      <c r="D592" s="26">
        <f>S592+T592+U592+V592+W592+IF(X592="",0,X592*サマリー!$B$9)+IF(Y592="",0,IF(Y592=200,サマリー!$B$10,IF(Y592=100,サマリー!$B$11,0)))+IF(Z592="",0,Z592*サマリー!$B$12)</f>
        <v>0</v>
      </c>
      <c r="E592" s="26">
        <f t="shared" si="26"/>
        <v>0</v>
      </c>
      <c r="I592" s="29"/>
      <c r="J592" s="29"/>
      <c r="K592" s="29"/>
      <c r="L592" s="29"/>
      <c r="M592" s="29"/>
      <c r="N592" s="29"/>
      <c r="O592" s="29"/>
      <c r="P592" s="30"/>
      <c r="Q592" s="30"/>
      <c r="R592" s="30"/>
      <c r="S592" s="31"/>
      <c r="T592" s="31"/>
      <c r="U592" s="31"/>
      <c r="V592" s="31"/>
      <c r="W592" s="31"/>
      <c r="X592" s="32"/>
      <c r="Y592" s="32"/>
      <c r="Z592" s="32"/>
    </row>
    <row r="593" spans="1:26">
      <c r="A593" s="28"/>
      <c r="B593" s="17">
        <f t="shared" si="27"/>
        <v>46319</v>
      </c>
      <c r="C593" s="26">
        <f>I593+J593+K593+L593+M593+N593+O593+IF(P593="",0,P593*サマリー!$B$9)+IF(Q593="",0,IF(Q593=200,サマリー!$B$10,IF(Q593=100,サマリー!$B$11,0)))+IF(R593="",0,R593*サマリー!$B$12)</f>
        <v>0</v>
      </c>
      <c r="D593" s="26">
        <f>S593+T593+U593+V593+W593+IF(X593="",0,X593*サマリー!$B$9)+IF(Y593="",0,IF(Y593=200,サマリー!$B$10,IF(Y593=100,サマリー!$B$11,0)))+IF(Z593="",0,Z593*サマリー!$B$12)</f>
        <v>0</v>
      </c>
      <c r="E593" s="26">
        <f t="shared" si="26"/>
        <v>0</v>
      </c>
      <c r="I593" s="29"/>
      <c r="J593" s="29"/>
      <c r="K593" s="29"/>
      <c r="L593" s="29"/>
      <c r="M593" s="29"/>
      <c r="N593" s="29"/>
      <c r="O593" s="29"/>
      <c r="P593" s="30"/>
      <c r="Q593" s="30"/>
      <c r="R593" s="30"/>
      <c r="S593" s="31"/>
      <c r="T593" s="31"/>
      <c r="U593" s="31"/>
      <c r="V593" s="31"/>
      <c r="W593" s="31"/>
      <c r="X593" s="32"/>
      <c r="Y593" s="32"/>
      <c r="Z593" s="32"/>
    </row>
    <row r="594" spans="1:26">
      <c r="A594" s="28"/>
      <c r="B594" s="17">
        <f t="shared" si="27"/>
        <v>46319</v>
      </c>
      <c r="C594" s="26">
        <f>I594+J594+K594+L594+M594+N594+O594+IF(P594="",0,P594*サマリー!$B$9)+IF(Q594="",0,IF(Q594=200,サマリー!$B$10,IF(Q594=100,サマリー!$B$11,0)))+IF(R594="",0,R594*サマリー!$B$12)</f>
        <v>0</v>
      </c>
      <c r="D594" s="26">
        <f>S594+T594+U594+V594+W594+IF(X594="",0,X594*サマリー!$B$9)+IF(Y594="",0,IF(Y594=200,サマリー!$B$10,IF(Y594=100,サマリー!$B$11,0)))+IF(Z594="",0,Z594*サマリー!$B$12)</f>
        <v>0</v>
      </c>
      <c r="E594" s="26">
        <f t="shared" si="26"/>
        <v>0</v>
      </c>
      <c r="I594" s="29"/>
      <c r="J594" s="29"/>
      <c r="K594" s="29"/>
      <c r="L594" s="29"/>
      <c r="M594" s="29"/>
      <c r="N594" s="29"/>
      <c r="O594" s="29"/>
      <c r="P594" s="30"/>
      <c r="Q594" s="30"/>
      <c r="R594" s="30"/>
      <c r="S594" s="31"/>
      <c r="T594" s="31"/>
      <c r="U594" s="31"/>
      <c r="V594" s="31"/>
      <c r="W594" s="31"/>
      <c r="X594" s="32"/>
      <c r="Y594" s="32"/>
      <c r="Z594" s="32"/>
    </row>
    <row r="595" spans="1:26">
      <c r="A595" s="28"/>
      <c r="B595" s="17">
        <f t="shared" si="27"/>
        <v>46319</v>
      </c>
      <c r="C595" s="26">
        <f>I595+J595+K595+L595+M595+N595+O595+IF(P595="",0,P595*サマリー!$B$9)+IF(Q595="",0,IF(Q595=200,サマリー!$B$10,IF(Q595=100,サマリー!$B$11,0)))+IF(R595="",0,R595*サマリー!$B$12)</f>
        <v>0</v>
      </c>
      <c r="D595" s="26">
        <f>S595+T595+U595+V595+W595+IF(X595="",0,X595*サマリー!$B$9)+IF(Y595="",0,IF(Y595=200,サマリー!$B$10,IF(Y595=100,サマリー!$B$11,0)))+IF(Z595="",0,Z595*サマリー!$B$12)</f>
        <v>0</v>
      </c>
      <c r="E595" s="26">
        <f t="shared" si="26"/>
        <v>0</v>
      </c>
      <c r="I595" s="29"/>
      <c r="J595" s="29"/>
      <c r="K595" s="29"/>
      <c r="L595" s="29"/>
      <c r="M595" s="29"/>
      <c r="N595" s="29"/>
      <c r="O595" s="29"/>
      <c r="P595" s="30"/>
      <c r="Q595" s="30"/>
      <c r="R595" s="30"/>
      <c r="S595" s="31"/>
      <c r="T595" s="31"/>
      <c r="U595" s="31"/>
      <c r="V595" s="31"/>
      <c r="W595" s="31"/>
      <c r="X595" s="32"/>
      <c r="Y595" s="32"/>
      <c r="Z595" s="32"/>
    </row>
    <row r="596" spans="1:26">
      <c r="A596" s="28"/>
      <c r="B596" s="17">
        <f t="shared" si="27"/>
        <v>46319</v>
      </c>
      <c r="C596" s="26">
        <f>I596+J596+K596+L596+M596+N596+O596+IF(P596="",0,P596*サマリー!$B$9)+IF(Q596="",0,IF(Q596=200,サマリー!$B$10,IF(Q596=100,サマリー!$B$11,0)))+IF(R596="",0,R596*サマリー!$B$12)</f>
        <v>0</v>
      </c>
      <c r="D596" s="26">
        <f>S596+T596+U596+V596+W596+IF(X596="",0,X596*サマリー!$B$9)+IF(Y596="",0,IF(Y596=200,サマリー!$B$10,IF(Y596=100,サマリー!$B$11,0)))+IF(Z596="",0,Z596*サマリー!$B$12)</f>
        <v>0</v>
      </c>
      <c r="E596" s="26">
        <f t="shared" si="26"/>
        <v>0</v>
      </c>
      <c r="I596" s="29"/>
      <c r="J596" s="29"/>
      <c r="K596" s="29"/>
      <c r="L596" s="29"/>
      <c r="M596" s="29"/>
      <c r="N596" s="29"/>
      <c r="O596" s="29"/>
      <c r="P596" s="30"/>
      <c r="Q596" s="30"/>
      <c r="R596" s="30"/>
      <c r="S596" s="31"/>
      <c r="T596" s="31"/>
      <c r="U596" s="31"/>
      <c r="V596" s="31"/>
      <c r="W596" s="31"/>
      <c r="X596" s="32"/>
      <c r="Y596" s="32"/>
      <c r="Z596" s="32"/>
    </row>
    <row r="597" spans="1:26">
      <c r="A597" s="28"/>
      <c r="B597" s="17">
        <f t="shared" si="27"/>
        <v>46319</v>
      </c>
      <c r="C597" s="26">
        <f>I597+J597+K597+L597+M597+N597+O597+IF(P597="",0,P597*サマリー!$B$9)+IF(Q597="",0,IF(Q597=200,サマリー!$B$10,IF(Q597=100,サマリー!$B$11,0)))+IF(R597="",0,R597*サマリー!$B$12)</f>
        <v>0</v>
      </c>
      <c r="D597" s="26">
        <f>S597+T597+U597+V597+W597+IF(X597="",0,X597*サマリー!$B$9)+IF(Y597="",0,IF(Y597=200,サマリー!$B$10,IF(Y597=100,サマリー!$B$11,0)))+IF(Z597="",0,Z597*サマリー!$B$12)</f>
        <v>0</v>
      </c>
      <c r="E597" s="26">
        <f t="shared" si="26"/>
        <v>0</v>
      </c>
      <c r="I597" s="29"/>
      <c r="J597" s="29"/>
      <c r="K597" s="29"/>
      <c r="L597" s="29"/>
      <c r="M597" s="29"/>
      <c r="N597" s="29"/>
      <c r="O597" s="29"/>
      <c r="P597" s="30"/>
      <c r="Q597" s="30"/>
      <c r="R597" s="30"/>
      <c r="S597" s="31"/>
      <c r="T597" s="31"/>
      <c r="U597" s="31"/>
      <c r="V597" s="31"/>
      <c r="W597" s="31"/>
      <c r="X597" s="32"/>
      <c r="Y597" s="32"/>
      <c r="Z597" s="32"/>
    </row>
    <row r="598" spans="1:26">
      <c r="A598" s="28"/>
      <c r="B598" s="17">
        <f t="shared" si="27"/>
        <v>46319</v>
      </c>
      <c r="C598" s="26">
        <f>I598+J598+K598+L598+M598+N598+O598+IF(P598="",0,P598*サマリー!$B$9)+IF(Q598="",0,IF(Q598=200,サマリー!$B$10,IF(Q598=100,サマリー!$B$11,0)))+IF(R598="",0,R598*サマリー!$B$12)</f>
        <v>0</v>
      </c>
      <c r="D598" s="26">
        <f>S598+T598+U598+V598+W598+IF(X598="",0,X598*サマリー!$B$9)+IF(Y598="",0,IF(Y598=200,サマリー!$B$10,IF(Y598=100,サマリー!$B$11,0)))+IF(Z598="",0,Z598*サマリー!$B$12)</f>
        <v>0</v>
      </c>
      <c r="E598" s="26">
        <f t="shared" si="26"/>
        <v>0</v>
      </c>
      <c r="I598" s="29"/>
      <c r="J598" s="29"/>
      <c r="K598" s="29"/>
      <c r="L598" s="29"/>
      <c r="M598" s="29"/>
      <c r="N598" s="29"/>
      <c r="O598" s="29"/>
      <c r="P598" s="30"/>
      <c r="Q598" s="30"/>
      <c r="R598" s="30"/>
      <c r="S598" s="31"/>
      <c r="T598" s="31"/>
      <c r="U598" s="31"/>
      <c r="V598" s="31"/>
      <c r="W598" s="31"/>
      <c r="X598" s="32"/>
      <c r="Y598" s="32"/>
      <c r="Z598" s="32"/>
    </row>
    <row r="599" spans="1:26">
      <c r="A599" s="28"/>
      <c r="B599" s="17">
        <f t="shared" si="27"/>
        <v>46319</v>
      </c>
      <c r="C599" s="26">
        <f>I599+J599+K599+L599+M599+N599+O599+IF(P599="",0,P599*サマリー!$B$9)+IF(Q599="",0,IF(Q599=200,サマリー!$B$10,IF(Q599=100,サマリー!$B$11,0)))+IF(R599="",0,R599*サマリー!$B$12)</f>
        <v>0</v>
      </c>
      <c r="D599" s="26">
        <f>S599+T599+U599+V599+W599+IF(X599="",0,X599*サマリー!$B$9)+IF(Y599="",0,IF(Y599=200,サマリー!$B$10,IF(Y599=100,サマリー!$B$11,0)))+IF(Z599="",0,Z599*サマリー!$B$12)</f>
        <v>0</v>
      </c>
      <c r="E599" s="26">
        <f t="shared" si="26"/>
        <v>0</v>
      </c>
      <c r="I599" s="29"/>
      <c r="J599" s="29"/>
      <c r="K599" s="29"/>
      <c r="L599" s="29"/>
      <c r="M599" s="29"/>
      <c r="N599" s="29"/>
      <c r="O599" s="29"/>
      <c r="P599" s="30"/>
      <c r="Q599" s="30"/>
      <c r="R599" s="30"/>
      <c r="S599" s="31"/>
      <c r="T599" s="31"/>
      <c r="U599" s="31"/>
      <c r="V599" s="31"/>
      <c r="W599" s="31"/>
      <c r="X599" s="32"/>
      <c r="Y599" s="32"/>
      <c r="Z599" s="32"/>
    </row>
    <row r="600" spans="1:26">
      <c r="A600" s="28"/>
      <c r="B600" s="17">
        <f t="shared" si="27"/>
        <v>46319</v>
      </c>
      <c r="C600" s="26">
        <f>I600+J600+K600+L600+M600+N600+O600+IF(P600="",0,P600*サマリー!$B$9)+IF(Q600="",0,IF(Q600=200,サマリー!$B$10,IF(Q600=100,サマリー!$B$11,0)))+IF(R600="",0,R600*サマリー!$B$12)</f>
        <v>0</v>
      </c>
      <c r="D600" s="26">
        <f>S600+T600+U600+V600+W600+IF(X600="",0,X600*サマリー!$B$9)+IF(Y600="",0,IF(Y600=200,サマリー!$B$10,IF(Y600=100,サマリー!$B$11,0)))+IF(Z600="",0,Z600*サマリー!$B$12)</f>
        <v>0</v>
      </c>
      <c r="E600" s="26">
        <f t="shared" si="26"/>
        <v>0</v>
      </c>
      <c r="I600" s="29"/>
      <c r="J600" s="29"/>
      <c r="K600" s="29"/>
      <c r="L600" s="29"/>
      <c r="M600" s="29"/>
      <c r="N600" s="29"/>
      <c r="O600" s="29"/>
      <c r="P600" s="30"/>
      <c r="Q600" s="30"/>
      <c r="R600" s="30"/>
      <c r="S600" s="31"/>
      <c r="T600" s="31"/>
      <c r="U600" s="31"/>
      <c r="V600" s="31"/>
      <c r="W600" s="31"/>
      <c r="X600" s="32"/>
      <c r="Y600" s="32"/>
      <c r="Z600" s="32"/>
    </row>
    <row r="601" spans="1:26">
      <c r="A601" s="28"/>
      <c r="B601" s="17">
        <f t="shared" si="27"/>
        <v>46319</v>
      </c>
      <c r="C601" s="26">
        <f>I601+J601+K601+L601+M601+N601+O601+IF(P601="",0,P601*サマリー!$B$9)+IF(Q601="",0,IF(Q601=200,サマリー!$B$10,IF(Q601=100,サマリー!$B$11,0)))+IF(R601="",0,R601*サマリー!$B$12)</f>
        <v>0</v>
      </c>
      <c r="D601" s="26">
        <f>S601+T601+U601+V601+W601+IF(X601="",0,X601*サマリー!$B$9)+IF(Y601="",0,IF(Y601=200,サマリー!$B$10,IF(Y601=100,サマリー!$B$11,0)))+IF(Z601="",0,Z601*サマリー!$B$12)</f>
        <v>0</v>
      </c>
      <c r="E601" s="26">
        <f t="shared" si="26"/>
        <v>0</v>
      </c>
      <c r="I601" s="29"/>
      <c r="J601" s="29"/>
      <c r="K601" s="29"/>
      <c r="L601" s="29"/>
      <c r="M601" s="29"/>
      <c r="N601" s="29"/>
      <c r="O601" s="29"/>
      <c r="P601" s="30"/>
      <c r="Q601" s="30"/>
      <c r="R601" s="30"/>
      <c r="S601" s="31"/>
      <c r="T601" s="31"/>
      <c r="U601" s="31"/>
      <c r="V601" s="31"/>
      <c r="W601" s="31"/>
      <c r="X601" s="32"/>
      <c r="Y601" s="32"/>
      <c r="Z601" s="32"/>
    </row>
    <row r="602" spans="1:26">
      <c r="A602" s="28"/>
      <c r="B602" s="17">
        <f t="shared" si="27"/>
        <v>46319</v>
      </c>
      <c r="C602" s="26">
        <f>I602+J602+K602+L602+M602+N602+O602+IF(P602="",0,P602*サマリー!$B$9)+IF(Q602="",0,IF(Q602=200,サマリー!$B$10,IF(Q602=100,サマリー!$B$11,0)))+IF(R602="",0,R602*サマリー!$B$12)</f>
        <v>0</v>
      </c>
      <c r="D602" s="26">
        <f>S602+T602+U602+V602+W602+IF(X602="",0,X602*サマリー!$B$9)+IF(Y602="",0,IF(Y602=200,サマリー!$B$10,IF(Y602=100,サマリー!$B$11,0)))+IF(Z602="",0,Z602*サマリー!$B$12)</f>
        <v>0</v>
      </c>
      <c r="E602" s="26">
        <f t="shared" si="26"/>
        <v>0</v>
      </c>
      <c r="I602" s="29"/>
      <c r="J602" s="29"/>
      <c r="K602" s="29"/>
      <c r="L602" s="29"/>
      <c r="M602" s="29"/>
      <c r="N602" s="29"/>
      <c r="O602" s="29"/>
      <c r="P602" s="30"/>
      <c r="Q602" s="30"/>
      <c r="R602" s="30"/>
      <c r="S602" s="31"/>
      <c r="T602" s="31"/>
      <c r="U602" s="31"/>
      <c r="V602" s="31"/>
      <c r="W602" s="31"/>
      <c r="X602" s="32"/>
      <c r="Y602" s="32"/>
      <c r="Z602" s="32"/>
    </row>
    <row r="603" spans="1:26">
      <c r="A603" s="28"/>
      <c r="B603" s="17">
        <f t="shared" si="27"/>
        <v>46319</v>
      </c>
      <c r="C603" s="26">
        <f>I603+J603+K603+L603+M603+N603+O603+IF(P603="",0,P603*サマリー!$B$9)+IF(Q603="",0,IF(Q603=200,サマリー!$B$10,IF(Q603=100,サマリー!$B$11,0)))+IF(R603="",0,R603*サマリー!$B$12)</f>
        <v>0</v>
      </c>
      <c r="D603" s="26">
        <f>S603+T603+U603+V603+W603+IF(X603="",0,X603*サマリー!$B$9)+IF(Y603="",0,IF(Y603=200,サマリー!$B$10,IF(Y603=100,サマリー!$B$11,0)))+IF(Z603="",0,Z603*サマリー!$B$12)</f>
        <v>0</v>
      </c>
      <c r="E603" s="26">
        <f t="shared" si="26"/>
        <v>0</v>
      </c>
      <c r="I603" s="29"/>
      <c r="J603" s="29"/>
      <c r="K603" s="29"/>
      <c r="L603" s="29"/>
      <c r="M603" s="29"/>
      <c r="N603" s="29"/>
      <c r="O603" s="29"/>
      <c r="P603" s="30"/>
      <c r="Q603" s="30"/>
      <c r="R603" s="30"/>
      <c r="S603" s="31"/>
      <c r="T603" s="31"/>
      <c r="U603" s="31"/>
      <c r="V603" s="31"/>
      <c r="W603" s="31"/>
      <c r="X603" s="32"/>
      <c r="Y603" s="32"/>
      <c r="Z603" s="32"/>
    </row>
    <row r="604" spans="1:26">
      <c r="A604" s="28"/>
      <c r="B604" s="17">
        <f t="shared" si="27"/>
        <v>46319</v>
      </c>
      <c r="C604" s="26">
        <f>I604+J604+K604+L604+M604+N604+O604+IF(P604="",0,P604*サマリー!$B$9)+IF(Q604="",0,IF(Q604=200,サマリー!$B$10,IF(Q604=100,サマリー!$B$11,0)))+IF(R604="",0,R604*サマリー!$B$12)</f>
        <v>0</v>
      </c>
      <c r="D604" s="26">
        <f>S604+T604+U604+V604+W604+IF(X604="",0,X604*サマリー!$B$9)+IF(Y604="",0,IF(Y604=200,サマリー!$B$10,IF(Y604=100,サマリー!$B$11,0)))+IF(Z604="",0,Z604*サマリー!$B$12)</f>
        <v>0</v>
      </c>
      <c r="E604" s="26">
        <f t="shared" si="26"/>
        <v>0</v>
      </c>
      <c r="I604" s="29"/>
      <c r="J604" s="29"/>
      <c r="K604" s="29"/>
      <c r="L604" s="29"/>
      <c r="M604" s="29"/>
      <c r="N604" s="29"/>
      <c r="O604" s="29"/>
      <c r="P604" s="30"/>
      <c r="Q604" s="30"/>
      <c r="R604" s="30"/>
      <c r="S604" s="31"/>
      <c r="T604" s="31"/>
      <c r="U604" s="31"/>
      <c r="V604" s="31"/>
      <c r="W604" s="31"/>
      <c r="X604" s="32"/>
      <c r="Y604" s="32"/>
      <c r="Z604" s="32"/>
    </row>
    <row r="605" spans="1:26">
      <c r="A605" s="28"/>
      <c r="B605" s="17">
        <f t="shared" si="27"/>
        <v>46319</v>
      </c>
      <c r="C605" s="26">
        <f>I605+J605+K605+L605+M605+N605+O605+IF(P605="",0,P605*サマリー!$B$9)+IF(Q605="",0,IF(Q605=200,サマリー!$B$10,IF(Q605=100,サマリー!$B$11,0)))+IF(R605="",0,R605*サマリー!$B$12)</f>
        <v>0</v>
      </c>
      <c r="D605" s="26">
        <f>S605+T605+U605+V605+W605+IF(X605="",0,X605*サマリー!$B$9)+IF(Y605="",0,IF(Y605=200,サマリー!$B$10,IF(Y605=100,サマリー!$B$11,0)))+IF(Z605="",0,Z605*サマリー!$B$12)</f>
        <v>0</v>
      </c>
      <c r="E605" s="26">
        <f t="shared" si="26"/>
        <v>0</v>
      </c>
      <c r="I605" s="29"/>
      <c r="J605" s="29"/>
      <c r="K605" s="29"/>
      <c r="L605" s="29"/>
      <c r="M605" s="29"/>
      <c r="N605" s="29"/>
      <c r="O605" s="29"/>
      <c r="P605" s="30"/>
      <c r="Q605" s="30"/>
      <c r="R605" s="30"/>
      <c r="S605" s="31"/>
      <c r="T605" s="31"/>
      <c r="U605" s="31"/>
      <c r="V605" s="31"/>
      <c r="W605" s="31"/>
      <c r="X605" s="32"/>
      <c r="Y605" s="32"/>
      <c r="Z605" s="32"/>
    </row>
    <row r="606" spans="1:26">
      <c r="A606" s="28"/>
      <c r="B606" s="17">
        <f t="shared" si="27"/>
        <v>46319</v>
      </c>
      <c r="C606" s="26">
        <f>I606+J606+K606+L606+M606+N606+O606+IF(P606="",0,P606*サマリー!$B$9)+IF(Q606="",0,IF(Q606=200,サマリー!$B$10,IF(Q606=100,サマリー!$B$11,0)))+IF(R606="",0,R606*サマリー!$B$12)</f>
        <v>0</v>
      </c>
      <c r="D606" s="26">
        <f>S606+T606+U606+V606+W606+IF(X606="",0,X606*サマリー!$B$9)+IF(Y606="",0,IF(Y606=200,サマリー!$B$10,IF(Y606=100,サマリー!$B$11,0)))+IF(Z606="",0,Z606*サマリー!$B$12)</f>
        <v>0</v>
      </c>
      <c r="E606" s="26">
        <f t="shared" si="26"/>
        <v>0</v>
      </c>
      <c r="I606" s="29"/>
      <c r="J606" s="29"/>
      <c r="K606" s="29"/>
      <c r="L606" s="29"/>
      <c r="M606" s="29"/>
      <c r="N606" s="29"/>
      <c r="O606" s="29"/>
      <c r="P606" s="30"/>
      <c r="Q606" s="30"/>
      <c r="R606" s="30"/>
      <c r="S606" s="31"/>
      <c r="T606" s="31"/>
      <c r="U606" s="31"/>
      <c r="V606" s="31"/>
      <c r="W606" s="31"/>
      <c r="X606" s="32"/>
      <c r="Y606" s="32"/>
      <c r="Z606" s="32"/>
    </row>
    <row r="607" spans="1:26">
      <c r="A607" s="28"/>
      <c r="B607" s="17">
        <f t="shared" si="27"/>
        <v>46319</v>
      </c>
      <c r="C607" s="26">
        <f>I607+J607+K607+L607+M607+N607+O607+IF(P607="",0,P607*サマリー!$B$9)+IF(Q607="",0,IF(Q607=200,サマリー!$B$10,IF(Q607=100,サマリー!$B$11,0)))+IF(R607="",0,R607*サマリー!$B$12)</f>
        <v>0</v>
      </c>
      <c r="D607" s="26">
        <f>S607+T607+U607+V607+W607+IF(X607="",0,X607*サマリー!$B$9)+IF(Y607="",0,IF(Y607=200,サマリー!$B$10,IF(Y607=100,サマリー!$B$11,0)))+IF(Z607="",0,Z607*サマリー!$B$12)</f>
        <v>0</v>
      </c>
      <c r="E607" s="26">
        <f t="shared" si="26"/>
        <v>0</v>
      </c>
      <c r="I607" s="29"/>
      <c r="J607" s="29"/>
      <c r="K607" s="29"/>
      <c r="L607" s="29"/>
      <c r="M607" s="29"/>
      <c r="N607" s="29"/>
      <c r="O607" s="29"/>
      <c r="P607" s="30"/>
      <c r="Q607" s="30"/>
      <c r="R607" s="30"/>
      <c r="S607" s="31"/>
      <c r="T607" s="31"/>
      <c r="U607" s="31"/>
      <c r="V607" s="31"/>
      <c r="W607" s="31"/>
      <c r="X607" s="32"/>
      <c r="Y607" s="32"/>
      <c r="Z607" s="32"/>
    </row>
    <row r="608" spans="1:26">
      <c r="A608" s="28"/>
      <c r="B608" s="17">
        <f t="shared" si="27"/>
        <v>46319</v>
      </c>
      <c r="C608" s="26">
        <f>I608+J608+K608+L608+M608+N608+O608+IF(P608="",0,P608*サマリー!$B$9)+IF(Q608="",0,IF(Q608=200,サマリー!$B$10,IF(Q608=100,サマリー!$B$11,0)))+IF(R608="",0,R608*サマリー!$B$12)</f>
        <v>0</v>
      </c>
      <c r="D608" s="26">
        <f>S608+T608+U608+V608+W608+IF(X608="",0,X608*サマリー!$B$9)+IF(Y608="",0,IF(Y608=200,サマリー!$B$10,IF(Y608=100,サマリー!$B$11,0)))+IF(Z608="",0,Z608*サマリー!$B$12)</f>
        <v>0</v>
      </c>
      <c r="E608" s="26">
        <f t="shared" si="26"/>
        <v>0</v>
      </c>
      <c r="I608" s="29"/>
      <c r="J608" s="29"/>
      <c r="K608" s="29"/>
      <c r="L608" s="29"/>
      <c r="M608" s="29"/>
      <c r="N608" s="29"/>
      <c r="O608" s="29"/>
      <c r="P608" s="30"/>
      <c r="Q608" s="30"/>
      <c r="R608" s="30"/>
      <c r="S608" s="31"/>
      <c r="T608" s="31"/>
      <c r="U608" s="31"/>
      <c r="V608" s="31"/>
      <c r="W608" s="31"/>
      <c r="X608" s="32"/>
      <c r="Y608" s="32"/>
      <c r="Z608" s="32"/>
    </row>
    <row r="609" spans="1:26">
      <c r="A609" s="28"/>
      <c r="B609" s="17">
        <f t="shared" si="27"/>
        <v>46319</v>
      </c>
      <c r="C609" s="26">
        <f>I609+J609+K609+L609+M609+N609+O609+IF(P609="",0,P609*サマリー!$B$9)+IF(Q609="",0,IF(Q609=200,サマリー!$B$10,IF(Q609=100,サマリー!$B$11,0)))+IF(R609="",0,R609*サマリー!$B$12)</f>
        <v>0</v>
      </c>
      <c r="D609" s="26">
        <f>S609+T609+U609+V609+W609+IF(X609="",0,X609*サマリー!$B$9)+IF(Y609="",0,IF(Y609=200,サマリー!$B$10,IF(Y609=100,サマリー!$B$11,0)))+IF(Z609="",0,Z609*サマリー!$B$12)</f>
        <v>0</v>
      </c>
      <c r="E609" s="26">
        <f t="shared" si="26"/>
        <v>0</v>
      </c>
      <c r="I609" s="29"/>
      <c r="J609" s="29"/>
      <c r="K609" s="29"/>
      <c r="L609" s="29"/>
      <c r="M609" s="29"/>
      <c r="N609" s="29"/>
      <c r="O609" s="29"/>
      <c r="P609" s="30"/>
      <c r="Q609" s="30"/>
      <c r="R609" s="30"/>
      <c r="S609" s="31"/>
      <c r="T609" s="31"/>
      <c r="U609" s="31"/>
      <c r="V609" s="31"/>
      <c r="W609" s="31"/>
      <c r="X609" s="32"/>
      <c r="Y609" s="32"/>
      <c r="Z609" s="32"/>
    </row>
    <row r="610" spans="1:26">
      <c r="A610" s="28"/>
      <c r="B610" s="17">
        <f t="shared" si="27"/>
        <v>46319</v>
      </c>
      <c r="C610" s="26">
        <f>I610+J610+K610+L610+M610+N610+O610+IF(P610="",0,P610*サマリー!$B$9)+IF(Q610="",0,IF(Q610=200,サマリー!$B$10,IF(Q610=100,サマリー!$B$11,0)))+IF(R610="",0,R610*サマリー!$B$12)</f>
        <v>0</v>
      </c>
      <c r="D610" s="26">
        <f>S610+T610+U610+V610+W610+IF(X610="",0,X610*サマリー!$B$9)+IF(Y610="",0,IF(Y610=200,サマリー!$B$10,IF(Y610=100,サマリー!$B$11,0)))+IF(Z610="",0,Z610*サマリー!$B$12)</f>
        <v>0</v>
      </c>
      <c r="E610" s="26">
        <f t="shared" si="26"/>
        <v>0</v>
      </c>
      <c r="I610" s="29"/>
      <c r="J610" s="29"/>
      <c r="K610" s="29"/>
      <c r="L610" s="29"/>
      <c r="M610" s="29"/>
      <c r="N610" s="29"/>
      <c r="O610" s="29"/>
      <c r="P610" s="30"/>
      <c r="Q610" s="30"/>
      <c r="R610" s="30"/>
      <c r="S610" s="31"/>
      <c r="T610" s="31"/>
      <c r="U610" s="31"/>
      <c r="V610" s="31"/>
      <c r="W610" s="31"/>
      <c r="X610" s="32"/>
      <c r="Y610" s="32"/>
      <c r="Z610" s="32"/>
    </row>
    <row r="611" spans="1:26">
      <c r="A611" s="28"/>
      <c r="B611" s="17">
        <f t="shared" si="27"/>
        <v>46319</v>
      </c>
      <c r="C611" s="26">
        <f>I611+J611+K611+L611+M611+N611+O611+IF(P611="",0,P611*サマリー!$B$9)+IF(Q611="",0,IF(Q611=200,サマリー!$B$10,IF(Q611=100,サマリー!$B$11,0)))+IF(R611="",0,R611*サマリー!$B$12)</f>
        <v>0</v>
      </c>
      <c r="D611" s="26">
        <f>S611+T611+U611+V611+W611+IF(X611="",0,X611*サマリー!$B$9)+IF(Y611="",0,IF(Y611=200,サマリー!$B$10,IF(Y611=100,サマリー!$B$11,0)))+IF(Z611="",0,Z611*サマリー!$B$12)</f>
        <v>0</v>
      </c>
      <c r="E611" s="26">
        <f t="shared" ref="E611:E674" si="28">C611+D611</f>
        <v>0</v>
      </c>
      <c r="I611" s="29"/>
      <c r="J611" s="29"/>
      <c r="K611" s="29"/>
      <c r="L611" s="29"/>
      <c r="M611" s="29"/>
      <c r="N611" s="29"/>
      <c r="O611" s="29"/>
      <c r="P611" s="30"/>
      <c r="Q611" s="30"/>
      <c r="R611" s="30"/>
      <c r="S611" s="31"/>
      <c r="T611" s="31"/>
      <c r="U611" s="31"/>
      <c r="V611" s="31"/>
      <c r="W611" s="31"/>
      <c r="X611" s="32"/>
      <c r="Y611" s="32"/>
      <c r="Z611" s="32"/>
    </row>
    <row r="612" spans="1:26">
      <c r="A612" s="28"/>
      <c r="B612" s="17">
        <f t="shared" si="27"/>
        <v>46319</v>
      </c>
      <c r="C612" s="26">
        <f>I612+J612+K612+L612+M612+N612+O612+IF(P612="",0,P612*サマリー!$B$9)+IF(Q612="",0,IF(Q612=200,サマリー!$B$10,IF(Q612=100,サマリー!$B$11,0)))+IF(R612="",0,R612*サマリー!$B$12)</f>
        <v>0</v>
      </c>
      <c r="D612" s="26">
        <f>S612+T612+U612+V612+W612+IF(X612="",0,X612*サマリー!$B$9)+IF(Y612="",0,IF(Y612=200,サマリー!$B$10,IF(Y612=100,サマリー!$B$11,0)))+IF(Z612="",0,Z612*サマリー!$B$12)</f>
        <v>0</v>
      </c>
      <c r="E612" s="26">
        <f t="shared" si="28"/>
        <v>0</v>
      </c>
      <c r="I612" s="29"/>
      <c r="J612" s="29"/>
      <c r="K612" s="29"/>
      <c r="L612" s="29"/>
      <c r="M612" s="29"/>
      <c r="N612" s="29"/>
      <c r="O612" s="29"/>
      <c r="P612" s="30"/>
      <c r="Q612" s="30"/>
      <c r="R612" s="30"/>
      <c r="S612" s="31"/>
      <c r="T612" s="31"/>
      <c r="U612" s="31"/>
      <c r="V612" s="31"/>
      <c r="W612" s="31"/>
      <c r="X612" s="32"/>
      <c r="Y612" s="32"/>
      <c r="Z612" s="32"/>
    </row>
    <row r="613" spans="1:26">
      <c r="A613" s="28"/>
      <c r="B613" s="17">
        <f t="shared" si="27"/>
        <v>46319</v>
      </c>
      <c r="C613" s="26">
        <f>I613+J613+K613+L613+M613+N613+O613+IF(P613="",0,P613*サマリー!$B$9)+IF(Q613="",0,IF(Q613=200,サマリー!$B$10,IF(Q613=100,サマリー!$B$11,0)))+IF(R613="",0,R613*サマリー!$B$12)</f>
        <v>0</v>
      </c>
      <c r="D613" s="26">
        <f>S613+T613+U613+V613+W613+IF(X613="",0,X613*サマリー!$B$9)+IF(Y613="",0,IF(Y613=200,サマリー!$B$10,IF(Y613=100,サマリー!$B$11,0)))+IF(Z613="",0,Z613*サマリー!$B$12)</f>
        <v>0</v>
      </c>
      <c r="E613" s="26">
        <f t="shared" si="28"/>
        <v>0</v>
      </c>
      <c r="I613" s="29"/>
      <c r="J613" s="29"/>
      <c r="K613" s="29"/>
      <c r="L613" s="29"/>
      <c r="M613" s="29"/>
      <c r="N613" s="29"/>
      <c r="O613" s="29"/>
      <c r="P613" s="30"/>
      <c r="Q613" s="30"/>
      <c r="R613" s="30"/>
      <c r="S613" s="31"/>
      <c r="T613" s="31"/>
      <c r="U613" s="31"/>
      <c r="V613" s="31"/>
      <c r="W613" s="31"/>
      <c r="X613" s="32"/>
      <c r="Y613" s="32"/>
      <c r="Z613" s="32"/>
    </row>
    <row r="614" spans="1:26">
      <c r="A614" s="28"/>
      <c r="B614" s="17">
        <f t="shared" si="27"/>
        <v>46319</v>
      </c>
      <c r="C614" s="26">
        <f>I614+J614+K614+L614+M614+N614+O614+IF(P614="",0,P614*サマリー!$B$9)+IF(Q614="",0,IF(Q614=200,サマリー!$B$10,IF(Q614=100,サマリー!$B$11,0)))+IF(R614="",0,R614*サマリー!$B$12)</f>
        <v>0</v>
      </c>
      <c r="D614" s="26">
        <f>S614+T614+U614+V614+W614+IF(X614="",0,X614*サマリー!$B$9)+IF(Y614="",0,IF(Y614=200,サマリー!$B$10,IF(Y614=100,サマリー!$B$11,0)))+IF(Z614="",0,Z614*サマリー!$B$12)</f>
        <v>0</v>
      </c>
      <c r="E614" s="26">
        <f t="shared" si="28"/>
        <v>0</v>
      </c>
      <c r="I614" s="29"/>
      <c r="J614" s="29"/>
      <c r="K614" s="29"/>
      <c r="L614" s="29"/>
      <c r="M614" s="29"/>
      <c r="N614" s="29"/>
      <c r="O614" s="29"/>
      <c r="P614" s="30"/>
      <c r="Q614" s="30"/>
      <c r="R614" s="30"/>
      <c r="S614" s="31"/>
      <c r="T614" s="31"/>
      <c r="U614" s="31"/>
      <c r="V614" s="31"/>
      <c r="W614" s="31"/>
      <c r="X614" s="32"/>
      <c r="Y614" s="32"/>
      <c r="Z614" s="32"/>
    </row>
    <row r="615" spans="1:26">
      <c r="A615" s="28"/>
      <c r="B615" s="17">
        <f t="shared" si="27"/>
        <v>46319</v>
      </c>
      <c r="C615" s="26">
        <f>I615+J615+K615+L615+M615+N615+O615+IF(P615="",0,P615*サマリー!$B$9)+IF(Q615="",0,IF(Q615=200,サマリー!$B$10,IF(Q615=100,サマリー!$B$11,0)))+IF(R615="",0,R615*サマリー!$B$12)</f>
        <v>0</v>
      </c>
      <c r="D615" s="26">
        <f>S615+T615+U615+V615+W615+IF(X615="",0,X615*サマリー!$B$9)+IF(Y615="",0,IF(Y615=200,サマリー!$B$10,IF(Y615=100,サマリー!$B$11,0)))+IF(Z615="",0,Z615*サマリー!$B$12)</f>
        <v>0</v>
      </c>
      <c r="E615" s="26">
        <f t="shared" si="28"/>
        <v>0</v>
      </c>
      <c r="I615" s="29"/>
      <c r="J615" s="29"/>
      <c r="K615" s="29"/>
      <c r="L615" s="29"/>
      <c r="M615" s="29"/>
      <c r="N615" s="29"/>
      <c r="O615" s="29"/>
      <c r="P615" s="30"/>
      <c r="Q615" s="30"/>
      <c r="R615" s="30"/>
      <c r="S615" s="31"/>
      <c r="T615" s="31"/>
      <c r="U615" s="31"/>
      <c r="V615" s="31"/>
      <c r="W615" s="31"/>
      <c r="X615" s="32"/>
      <c r="Y615" s="32"/>
      <c r="Z615" s="32"/>
    </row>
    <row r="616" spans="1:26">
      <c r="A616" s="28"/>
      <c r="B616" s="17">
        <f t="shared" si="27"/>
        <v>46319</v>
      </c>
      <c r="C616" s="26">
        <f>I616+J616+K616+L616+M616+N616+O616+IF(P616="",0,P616*サマリー!$B$9)+IF(Q616="",0,IF(Q616=200,サマリー!$B$10,IF(Q616=100,サマリー!$B$11,0)))+IF(R616="",0,R616*サマリー!$B$12)</f>
        <v>0</v>
      </c>
      <c r="D616" s="26">
        <f>S616+T616+U616+V616+W616+IF(X616="",0,X616*サマリー!$B$9)+IF(Y616="",0,IF(Y616=200,サマリー!$B$10,IF(Y616=100,サマリー!$B$11,0)))+IF(Z616="",0,Z616*サマリー!$B$12)</f>
        <v>0</v>
      </c>
      <c r="E616" s="26">
        <f t="shared" si="28"/>
        <v>0</v>
      </c>
      <c r="I616" s="29"/>
      <c r="J616" s="29"/>
      <c r="K616" s="29"/>
      <c r="L616" s="29"/>
      <c r="M616" s="29"/>
      <c r="N616" s="29"/>
      <c r="O616" s="29"/>
      <c r="P616" s="30"/>
      <c r="Q616" s="30"/>
      <c r="R616" s="30"/>
      <c r="S616" s="31"/>
      <c r="T616" s="31"/>
      <c r="U616" s="31"/>
      <c r="V616" s="31"/>
      <c r="W616" s="31"/>
      <c r="X616" s="32"/>
      <c r="Y616" s="32"/>
      <c r="Z616" s="32"/>
    </row>
    <row r="617" spans="1:26">
      <c r="A617" s="28"/>
      <c r="B617" s="17">
        <f t="shared" si="27"/>
        <v>46319</v>
      </c>
      <c r="C617" s="26">
        <f>I617+J617+K617+L617+M617+N617+O617+IF(P617="",0,P617*サマリー!$B$9)+IF(Q617="",0,IF(Q617=200,サマリー!$B$10,IF(Q617=100,サマリー!$B$11,0)))+IF(R617="",0,R617*サマリー!$B$12)</f>
        <v>0</v>
      </c>
      <c r="D617" s="26">
        <f>S617+T617+U617+V617+W617+IF(X617="",0,X617*サマリー!$B$9)+IF(Y617="",0,IF(Y617=200,サマリー!$B$10,IF(Y617=100,サマリー!$B$11,0)))+IF(Z617="",0,Z617*サマリー!$B$12)</f>
        <v>0</v>
      </c>
      <c r="E617" s="26">
        <f t="shared" si="28"/>
        <v>0</v>
      </c>
      <c r="I617" s="29"/>
      <c r="J617" s="29"/>
      <c r="K617" s="29"/>
      <c r="L617" s="29"/>
      <c r="M617" s="29"/>
      <c r="N617" s="29"/>
      <c r="O617" s="29"/>
      <c r="P617" s="30"/>
      <c r="Q617" s="30"/>
      <c r="R617" s="30"/>
      <c r="S617" s="31"/>
      <c r="T617" s="31"/>
      <c r="U617" s="31"/>
      <c r="V617" s="31"/>
      <c r="W617" s="31"/>
      <c r="X617" s="32"/>
      <c r="Y617" s="32"/>
      <c r="Z617" s="32"/>
    </row>
    <row r="618" spans="1:26">
      <c r="A618" s="28"/>
      <c r="B618" s="17">
        <f t="shared" si="27"/>
        <v>46319</v>
      </c>
      <c r="C618" s="26">
        <f>I618+J618+K618+L618+M618+N618+O618+IF(P618="",0,P618*サマリー!$B$9)+IF(Q618="",0,IF(Q618=200,サマリー!$B$10,IF(Q618=100,サマリー!$B$11,0)))+IF(R618="",0,R618*サマリー!$B$12)</f>
        <v>0</v>
      </c>
      <c r="D618" s="26">
        <f>S618+T618+U618+V618+W618+IF(X618="",0,X618*サマリー!$B$9)+IF(Y618="",0,IF(Y618=200,サマリー!$B$10,IF(Y618=100,サマリー!$B$11,0)))+IF(Z618="",0,Z618*サマリー!$B$12)</f>
        <v>0</v>
      </c>
      <c r="E618" s="26">
        <f t="shared" si="28"/>
        <v>0</v>
      </c>
      <c r="I618" s="29"/>
      <c r="J618" s="29"/>
      <c r="K618" s="29"/>
      <c r="L618" s="29"/>
      <c r="M618" s="29"/>
      <c r="N618" s="29"/>
      <c r="O618" s="29"/>
      <c r="P618" s="30"/>
      <c r="Q618" s="30"/>
      <c r="R618" s="30"/>
      <c r="S618" s="31"/>
      <c r="T618" s="31"/>
      <c r="U618" s="31"/>
      <c r="V618" s="31"/>
      <c r="W618" s="31"/>
      <c r="X618" s="32"/>
      <c r="Y618" s="32"/>
      <c r="Z618" s="32"/>
    </row>
    <row r="619" spans="1:26">
      <c r="A619" s="28"/>
      <c r="B619" s="17">
        <f t="shared" si="27"/>
        <v>46319</v>
      </c>
      <c r="C619" s="26">
        <f>I619+J619+K619+L619+M619+N619+O619+IF(P619="",0,P619*サマリー!$B$9)+IF(Q619="",0,IF(Q619=200,サマリー!$B$10,IF(Q619=100,サマリー!$B$11,0)))+IF(R619="",0,R619*サマリー!$B$12)</f>
        <v>0</v>
      </c>
      <c r="D619" s="26">
        <f>S619+T619+U619+V619+W619+IF(X619="",0,X619*サマリー!$B$9)+IF(Y619="",0,IF(Y619=200,サマリー!$B$10,IF(Y619=100,サマリー!$B$11,0)))+IF(Z619="",0,Z619*サマリー!$B$12)</f>
        <v>0</v>
      </c>
      <c r="E619" s="26">
        <f t="shared" si="28"/>
        <v>0</v>
      </c>
      <c r="I619" s="29"/>
      <c r="J619" s="29"/>
      <c r="K619" s="29"/>
      <c r="L619" s="29"/>
      <c r="M619" s="29"/>
      <c r="N619" s="29"/>
      <c r="O619" s="29"/>
      <c r="P619" s="30"/>
      <c r="Q619" s="30"/>
      <c r="R619" s="30"/>
      <c r="S619" s="31"/>
      <c r="T619" s="31"/>
      <c r="U619" s="31"/>
      <c r="V619" s="31"/>
      <c r="W619" s="31"/>
      <c r="X619" s="32"/>
      <c r="Y619" s="32"/>
      <c r="Z619" s="32"/>
    </row>
    <row r="620" spans="1:26">
      <c r="A620" s="28"/>
      <c r="B620" s="17">
        <f t="shared" si="27"/>
        <v>46319</v>
      </c>
      <c r="C620" s="26">
        <f>I620+J620+K620+L620+M620+N620+O620+IF(P620="",0,P620*サマリー!$B$9)+IF(Q620="",0,IF(Q620=200,サマリー!$B$10,IF(Q620=100,サマリー!$B$11,0)))+IF(R620="",0,R620*サマリー!$B$12)</f>
        <v>0</v>
      </c>
      <c r="D620" s="26">
        <f>S620+T620+U620+V620+W620+IF(X620="",0,X620*サマリー!$B$9)+IF(Y620="",0,IF(Y620=200,サマリー!$B$10,IF(Y620=100,サマリー!$B$11,0)))+IF(Z620="",0,Z620*サマリー!$B$12)</f>
        <v>0</v>
      </c>
      <c r="E620" s="26">
        <f t="shared" si="28"/>
        <v>0</v>
      </c>
      <c r="I620" s="29"/>
      <c r="J620" s="29"/>
      <c r="K620" s="29"/>
      <c r="L620" s="29"/>
      <c r="M620" s="29"/>
      <c r="N620" s="29"/>
      <c r="O620" s="29"/>
      <c r="P620" s="30"/>
      <c r="Q620" s="30"/>
      <c r="R620" s="30"/>
      <c r="S620" s="31"/>
      <c r="T620" s="31"/>
      <c r="U620" s="31"/>
      <c r="V620" s="31"/>
      <c r="W620" s="31"/>
      <c r="X620" s="32"/>
      <c r="Y620" s="32"/>
      <c r="Z620" s="32"/>
    </row>
    <row r="621" spans="1:26">
      <c r="A621" s="28"/>
      <c r="B621" s="17">
        <f t="shared" si="27"/>
        <v>46319</v>
      </c>
      <c r="C621" s="26">
        <f>I621+J621+K621+L621+M621+N621+O621+IF(P621="",0,P621*サマリー!$B$9)+IF(Q621="",0,IF(Q621=200,サマリー!$B$10,IF(Q621=100,サマリー!$B$11,0)))+IF(R621="",0,R621*サマリー!$B$12)</f>
        <v>0</v>
      </c>
      <c r="D621" s="26">
        <f>S621+T621+U621+V621+W621+IF(X621="",0,X621*サマリー!$B$9)+IF(Y621="",0,IF(Y621=200,サマリー!$B$10,IF(Y621=100,サマリー!$B$11,0)))+IF(Z621="",0,Z621*サマリー!$B$12)</f>
        <v>0</v>
      </c>
      <c r="E621" s="26">
        <f t="shared" si="28"/>
        <v>0</v>
      </c>
      <c r="I621" s="29"/>
      <c r="J621" s="29"/>
      <c r="K621" s="29"/>
      <c r="L621" s="29"/>
      <c r="M621" s="29"/>
      <c r="N621" s="29"/>
      <c r="O621" s="29"/>
      <c r="P621" s="30"/>
      <c r="Q621" s="30"/>
      <c r="R621" s="30"/>
      <c r="S621" s="31"/>
      <c r="T621" s="31"/>
      <c r="U621" s="31"/>
      <c r="V621" s="31"/>
      <c r="W621" s="31"/>
      <c r="X621" s="32"/>
      <c r="Y621" s="32"/>
      <c r="Z621" s="32"/>
    </row>
    <row r="622" spans="1:26">
      <c r="A622" s="28"/>
      <c r="B622" s="17">
        <f t="shared" si="27"/>
        <v>46319</v>
      </c>
      <c r="C622" s="26">
        <f>I622+J622+K622+L622+M622+N622+O622+IF(P622="",0,P622*サマリー!$B$9)+IF(Q622="",0,IF(Q622=200,サマリー!$B$10,IF(Q622=100,サマリー!$B$11,0)))+IF(R622="",0,R622*サマリー!$B$12)</f>
        <v>0</v>
      </c>
      <c r="D622" s="26">
        <f>S622+T622+U622+V622+W622+IF(X622="",0,X622*サマリー!$B$9)+IF(Y622="",0,IF(Y622=200,サマリー!$B$10,IF(Y622=100,サマリー!$B$11,0)))+IF(Z622="",0,Z622*サマリー!$B$12)</f>
        <v>0</v>
      </c>
      <c r="E622" s="26">
        <f t="shared" si="28"/>
        <v>0</v>
      </c>
      <c r="I622" s="29"/>
      <c r="J622" s="29"/>
      <c r="K622" s="29"/>
      <c r="L622" s="29"/>
      <c r="M622" s="29"/>
      <c r="N622" s="29"/>
      <c r="O622" s="29"/>
      <c r="P622" s="30"/>
      <c r="Q622" s="30"/>
      <c r="R622" s="30"/>
      <c r="S622" s="31"/>
      <c r="T622" s="31"/>
      <c r="U622" s="31"/>
      <c r="V622" s="31"/>
      <c r="W622" s="31"/>
      <c r="X622" s="32"/>
      <c r="Y622" s="32"/>
      <c r="Z622" s="32"/>
    </row>
    <row r="623" spans="1:26">
      <c r="A623" s="28"/>
      <c r="B623" s="17">
        <f t="shared" si="27"/>
        <v>46319</v>
      </c>
      <c r="C623" s="26">
        <f>I623+J623+K623+L623+M623+N623+O623+IF(P623="",0,P623*サマリー!$B$9)+IF(Q623="",0,IF(Q623=200,サマリー!$B$10,IF(Q623=100,サマリー!$B$11,0)))+IF(R623="",0,R623*サマリー!$B$12)</f>
        <v>0</v>
      </c>
      <c r="D623" s="26">
        <f>S623+T623+U623+V623+W623+IF(X623="",0,X623*サマリー!$B$9)+IF(Y623="",0,IF(Y623=200,サマリー!$B$10,IF(Y623=100,サマリー!$B$11,0)))+IF(Z623="",0,Z623*サマリー!$B$12)</f>
        <v>0</v>
      </c>
      <c r="E623" s="26">
        <f t="shared" si="28"/>
        <v>0</v>
      </c>
      <c r="I623" s="29"/>
      <c r="J623" s="29"/>
      <c r="K623" s="29"/>
      <c r="L623" s="29"/>
      <c r="M623" s="29"/>
      <c r="N623" s="29"/>
      <c r="O623" s="29"/>
      <c r="P623" s="30"/>
      <c r="Q623" s="30"/>
      <c r="R623" s="30"/>
      <c r="S623" s="31"/>
      <c r="T623" s="31"/>
      <c r="U623" s="31"/>
      <c r="V623" s="31"/>
      <c r="W623" s="31"/>
      <c r="X623" s="32"/>
      <c r="Y623" s="32"/>
      <c r="Z623" s="32"/>
    </row>
    <row r="624" spans="1:26">
      <c r="A624" s="28"/>
      <c r="B624" s="17">
        <f t="shared" si="27"/>
        <v>46319</v>
      </c>
      <c r="C624" s="26">
        <f>I624+J624+K624+L624+M624+N624+O624+IF(P624="",0,P624*サマリー!$B$9)+IF(Q624="",0,IF(Q624=200,サマリー!$B$10,IF(Q624=100,サマリー!$B$11,0)))+IF(R624="",0,R624*サマリー!$B$12)</f>
        <v>0</v>
      </c>
      <c r="D624" s="26">
        <f>S624+T624+U624+V624+W624+IF(X624="",0,X624*サマリー!$B$9)+IF(Y624="",0,IF(Y624=200,サマリー!$B$10,IF(Y624=100,サマリー!$B$11,0)))+IF(Z624="",0,Z624*サマリー!$B$12)</f>
        <v>0</v>
      </c>
      <c r="E624" s="26">
        <f t="shared" si="28"/>
        <v>0</v>
      </c>
      <c r="I624" s="29"/>
      <c r="J624" s="29"/>
      <c r="K624" s="29"/>
      <c r="L624" s="29"/>
      <c r="M624" s="29"/>
      <c r="N624" s="29"/>
      <c r="O624" s="29"/>
      <c r="P624" s="30"/>
      <c r="Q624" s="30"/>
      <c r="R624" s="30"/>
      <c r="S624" s="31"/>
      <c r="T624" s="31"/>
      <c r="U624" s="31"/>
      <c r="V624" s="31"/>
      <c r="W624" s="31"/>
      <c r="X624" s="32"/>
      <c r="Y624" s="32"/>
      <c r="Z624" s="32"/>
    </row>
    <row r="625" spans="1:26">
      <c r="A625" s="28"/>
      <c r="B625" s="17">
        <f t="shared" si="27"/>
        <v>46319</v>
      </c>
      <c r="C625" s="26">
        <f>I625+J625+K625+L625+M625+N625+O625+IF(P625="",0,P625*サマリー!$B$9)+IF(Q625="",0,IF(Q625=200,サマリー!$B$10,IF(Q625=100,サマリー!$B$11,0)))+IF(R625="",0,R625*サマリー!$B$12)</f>
        <v>0</v>
      </c>
      <c r="D625" s="26">
        <f>S625+T625+U625+V625+W625+IF(X625="",0,X625*サマリー!$B$9)+IF(Y625="",0,IF(Y625=200,サマリー!$B$10,IF(Y625=100,サマリー!$B$11,0)))+IF(Z625="",0,Z625*サマリー!$B$12)</f>
        <v>0</v>
      </c>
      <c r="E625" s="26">
        <f t="shared" si="28"/>
        <v>0</v>
      </c>
      <c r="I625" s="29"/>
      <c r="J625" s="29"/>
      <c r="K625" s="29"/>
      <c r="L625" s="29"/>
      <c r="M625" s="29"/>
      <c r="N625" s="29"/>
      <c r="O625" s="29"/>
      <c r="P625" s="30"/>
      <c r="Q625" s="30"/>
      <c r="R625" s="30"/>
      <c r="S625" s="31"/>
      <c r="T625" s="31"/>
      <c r="U625" s="31"/>
      <c r="V625" s="31"/>
      <c r="W625" s="31"/>
      <c r="X625" s="32"/>
      <c r="Y625" s="32"/>
      <c r="Z625" s="32"/>
    </row>
    <row r="626" spans="1:26">
      <c r="A626" s="28"/>
      <c r="B626" s="17">
        <f t="shared" si="27"/>
        <v>46319</v>
      </c>
      <c r="C626" s="26">
        <f>I626+J626+K626+L626+M626+N626+O626+IF(P626="",0,P626*サマリー!$B$9)+IF(Q626="",0,IF(Q626=200,サマリー!$B$10,IF(Q626=100,サマリー!$B$11,0)))+IF(R626="",0,R626*サマリー!$B$12)</f>
        <v>0</v>
      </c>
      <c r="D626" s="26">
        <f>S626+T626+U626+V626+W626+IF(X626="",0,X626*サマリー!$B$9)+IF(Y626="",0,IF(Y626=200,サマリー!$B$10,IF(Y626=100,サマリー!$B$11,0)))+IF(Z626="",0,Z626*サマリー!$B$12)</f>
        <v>0</v>
      </c>
      <c r="E626" s="26">
        <f t="shared" si="28"/>
        <v>0</v>
      </c>
      <c r="I626" s="29"/>
      <c r="J626" s="29"/>
      <c r="K626" s="29"/>
      <c r="L626" s="29"/>
      <c r="M626" s="29"/>
      <c r="N626" s="29"/>
      <c r="O626" s="29"/>
      <c r="P626" s="30"/>
      <c r="Q626" s="30"/>
      <c r="R626" s="30"/>
      <c r="S626" s="31"/>
      <c r="T626" s="31"/>
      <c r="U626" s="31"/>
      <c r="V626" s="31"/>
      <c r="W626" s="31"/>
      <c r="X626" s="32"/>
      <c r="Y626" s="32"/>
      <c r="Z626" s="32"/>
    </row>
    <row r="627" spans="1:26">
      <c r="A627" s="28"/>
      <c r="B627" s="17">
        <f t="shared" si="27"/>
        <v>46319</v>
      </c>
      <c r="C627" s="26">
        <f>I627+J627+K627+L627+M627+N627+O627+IF(P627="",0,P627*サマリー!$B$9)+IF(Q627="",0,IF(Q627=200,サマリー!$B$10,IF(Q627=100,サマリー!$B$11,0)))+IF(R627="",0,R627*サマリー!$B$12)</f>
        <v>0</v>
      </c>
      <c r="D627" s="26">
        <f>S627+T627+U627+V627+W627+IF(X627="",0,X627*サマリー!$B$9)+IF(Y627="",0,IF(Y627=200,サマリー!$B$10,IF(Y627=100,サマリー!$B$11,0)))+IF(Z627="",0,Z627*サマリー!$B$12)</f>
        <v>0</v>
      </c>
      <c r="E627" s="26">
        <f t="shared" si="28"/>
        <v>0</v>
      </c>
      <c r="I627" s="29"/>
      <c r="J627" s="29"/>
      <c r="K627" s="29"/>
      <c r="L627" s="29"/>
      <c r="M627" s="29"/>
      <c r="N627" s="29"/>
      <c r="O627" s="29"/>
      <c r="P627" s="30"/>
      <c r="Q627" s="30"/>
      <c r="R627" s="30"/>
      <c r="S627" s="31"/>
      <c r="T627" s="31"/>
      <c r="U627" s="31"/>
      <c r="V627" s="31"/>
      <c r="W627" s="31"/>
      <c r="X627" s="32"/>
      <c r="Y627" s="32"/>
      <c r="Z627" s="32"/>
    </row>
    <row r="628" spans="1:26">
      <c r="A628" s="28"/>
      <c r="B628" s="17">
        <f t="shared" si="27"/>
        <v>46319</v>
      </c>
      <c r="C628" s="26">
        <f>I628+J628+K628+L628+M628+N628+O628+IF(P628="",0,P628*サマリー!$B$9)+IF(Q628="",0,IF(Q628=200,サマリー!$B$10,IF(Q628=100,サマリー!$B$11,0)))+IF(R628="",0,R628*サマリー!$B$12)</f>
        <v>0</v>
      </c>
      <c r="D628" s="26">
        <f>S628+T628+U628+V628+W628+IF(X628="",0,X628*サマリー!$B$9)+IF(Y628="",0,IF(Y628=200,サマリー!$B$10,IF(Y628=100,サマリー!$B$11,0)))+IF(Z628="",0,Z628*サマリー!$B$12)</f>
        <v>0</v>
      </c>
      <c r="E628" s="26">
        <f t="shared" si="28"/>
        <v>0</v>
      </c>
      <c r="I628" s="29"/>
      <c r="J628" s="29"/>
      <c r="K628" s="29"/>
      <c r="L628" s="29"/>
      <c r="M628" s="29"/>
      <c r="N628" s="29"/>
      <c r="O628" s="29"/>
      <c r="P628" s="30"/>
      <c r="Q628" s="30"/>
      <c r="R628" s="30"/>
      <c r="S628" s="31"/>
      <c r="T628" s="31"/>
      <c r="U628" s="31"/>
      <c r="V628" s="31"/>
      <c r="W628" s="31"/>
      <c r="X628" s="32"/>
      <c r="Y628" s="32"/>
      <c r="Z628" s="32"/>
    </row>
    <row r="629" spans="1:26">
      <c r="A629" s="28"/>
      <c r="B629" s="17">
        <f t="shared" si="27"/>
        <v>46319</v>
      </c>
      <c r="C629" s="26">
        <f>I629+J629+K629+L629+M629+N629+O629+IF(P629="",0,P629*サマリー!$B$9)+IF(Q629="",0,IF(Q629=200,サマリー!$B$10,IF(Q629=100,サマリー!$B$11,0)))+IF(R629="",0,R629*サマリー!$B$12)</f>
        <v>0</v>
      </c>
      <c r="D629" s="26">
        <f>S629+T629+U629+V629+W629+IF(X629="",0,X629*サマリー!$B$9)+IF(Y629="",0,IF(Y629=200,サマリー!$B$10,IF(Y629=100,サマリー!$B$11,0)))+IF(Z629="",0,Z629*サマリー!$B$12)</f>
        <v>0</v>
      </c>
      <c r="E629" s="26">
        <f t="shared" si="28"/>
        <v>0</v>
      </c>
      <c r="I629" s="29"/>
      <c r="J629" s="29"/>
      <c r="K629" s="29"/>
      <c r="L629" s="29"/>
      <c r="M629" s="29"/>
      <c r="N629" s="29"/>
      <c r="O629" s="29"/>
      <c r="P629" s="30"/>
      <c r="Q629" s="30"/>
      <c r="R629" s="30"/>
      <c r="S629" s="31"/>
      <c r="T629" s="31"/>
      <c r="U629" s="31"/>
      <c r="V629" s="31"/>
      <c r="W629" s="31"/>
      <c r="X629" s="32"/>
      <c r="Y629" s="32"/>
      <c r="Z629" s="32"/>
    </row>
    <row r="630" spans="1:26">
      <c r="A630" s="28"/>
      <c r="B630" s="17">
        <f t="shared" si="27"/>
        <v>46319</v>
      </c>
      <c r="C630" s="26">
        <f>I630+J630+K630+L630+M630+N630+O630+IF(P630="",0,P630*サマリー!$B$9)+IF(Q630="",0,IF(Q630=200,サマリー!$B$10,IF(Q630=100,サマリー!$B$11,0)))+IF(R630="",0,R630*サマリー!$B$12)</f>
        <v>0</v>
      </c>
      <c r="D630" s="26">
        <f>S630+T630+U630+V630+W630+IF(X630="",0,X630*サマリー!$B$9)+IF(Y630="",0,IF(Y630=200,サマリー!$B$10,IF(Y630=100,サマリー!$B$11,0)))+IF(Z630="",0,Z630*サマリー!$B$12)</f>
        <v>0</v>
      </c>
      <c r="E630" s="26">
        <f t="shared" si="28"/>
        <v>0</v>
      </c>
      <c r="I630" s="29"/>
      <c r="J630" s="29"/>
      <c r="K630" s="29"/>
      <c r="L630" s="29"/>
      <c r="M630" s="29"/>
      <c r="N630" s="29"/>
      <c r="O630" s="29"/>
      <c r="P630" s="30"/>
      <c r="Q630" s="30"/>
      <c r="R630" s="30"/>
      <c r="S630" s="31"/>
      <c r="T630" s="31"/>
      <c r="U630" s="31"/>
      <c r="V630" s="31"/>
      <c r="W630" s="31"/>
      <c r="X630" s="32"/>
      <c r="Y630" s="32"/>
      <c r="Z630" s="32"/>
    </row>
    <row r="631" spans="1:26">
      <c r="A631" s="28"/>
      <c r="B631" s="17">
        <f t="shared" si="27"/>
        <v>46319</v>
      </c>
      <c r="C631" s="26">
        <f>I631+J631+K631+L631+M631+N631+O631+IF(P631="",0,P631*サマリー!$B$9)+IF(Q631="",0,IF(Q631=200,サマリー!$B$10,IF(Q631=100,サマリー!$B$11,0)))+IF(R631="",0,R631*サマリー!$B$12)</f>
        <v>0</v>
      </c>
      <c r="D631" s="26">
        <f>S631+T631+U631+V631+W631+IF(X631="",0,X631*サマリー!$B$9)+IF(Y631="",0,IF(Y631=200,サマリー!$B$10,IF(Y631=100,サマリー!$B$11,0)))+IF(Z631="",0,Z631*サマリー!$B$12)</f>
        <v>0</v>
      </c>
      <c r="E631" s="26">
        <f t="shared" si="28"/>
        <v>0</v>
      </c>
      <c r="I631" s="29"/>
      <c r="J631" s="29"/>
      <c r="K631" s="29"/>
      <c r="L631" s="29"/>
      <c r="M631" s="29"/>
      <c r="N631" s="29"/>
      <c r="O631" s="29"/>
      <c r="P631" s="30"/>
      <c r="Q631" s="30"/>
      <c r="R631" s="30"/>
      <c r="S631" s="31"/>
      <c r="T631" s="31"/>
      <c r="U631" s="31"/>
      <c r="V631" s="31"/>
      <c r="W631" s="31"/>
      <c r="X631" s="32"/>
      <c r="Y631" s="32"/>
      <c r="Z631" s="32"/>
    </row>
    <row r="632" spans="1:26">
      <c r="A632" s="28"/>
      <c r="B632" s="17">
        <f t="shared" si="27"/>
        <v>46319</v>
      </c>
      <c r="C632" s="26">
        <f>I632+J632+K632+L632+M632+N632+O632+IF(P632="",0,P632*サマリー!$B$9)+IF(Q632="",0,IF(Q632=200,サマリー!$B$10,IF(Q632=100,サマリー!$B$11,0)))+IF(R632="",0,R632*サマリー!$B$12)</f>
        <v>0</v>
      </c>
      <c r="D632" s="26">
        <f>S632+T632+U632+V632+W632+IF(X632="",0,X632*サマリー!$B$9)+IF(Y632="",0,IF(Y632=200,サマリー!$B$10,IF(Y632=100,サマリー!$B$11,0)))+IF(Z632="",0,Z632*サマリー!$B$12)</f>
        <v>0</v>
      </c>
      <c r="E632" s="26">
        <f t="shared" si="28"/>
        <v>0</v>
      </c>
      <c r="I632" s="29"/>
      <c r="J632" s="29"/>
      <c r="K632" s="29"/>
      <c r="L632" s="29"/>
      <c r="M632" s="29"/>
      <c r="N632" s="29"/>
      <c r="O632" s="29"/>
      <c r="P632" s="30"/>
      <c r="Q632" s="30"/>
      <c r="R632" s="30"/>
      <c r="S632" s="31"/>
      <c r="T632" s="31"/>
      <c r="U632" s="31"/>
      <c r="V632" s="31"/>
      <c r="W632" s="31"/>
      <c r="X632" s="32"/>
      <c r="Y632" s="32"/>
      <c r="Z632" s="32"/>
    </row>
    <row r="633" spans="1:26">
      <c r="A633" s="28"/>
      <c r="B633" s="17">
        <f t="shared" si="27"/>
        <v>46319</v>
      </c>
      <c r="C633" s="26">
        <f>I633+J633+K633+L633+M633+N633+O633+IF(P633="",0,P633*サマリー!$B$9)+IF(Q633="",0,IF(Q633=200,サマリー!$B$10,IF(Q633=100,サマリー!$B$11,0)))+IF(R633="",0,R633*サマリー!$B$12)</f>
        <v>0</v>
      </c>
      <c r="D633" s="26">
        <f>S633+T633+U633+V633+W633+IF(X633="",0,X633*サマリー!$B$9)+IF(Y633="",0,IF(Y633=200,サマリー!$B$10,IF(Y633=100,サマリー!$B$11,0)))+IF(Z633="",0,Z633*サマリー!$B$12)</f>
        <v>0</v>
      </c>
      <c r="E633" s="26">
        <f t="shared" si="28"/>
        <v>0</v>
      </c>
      <c r="I633" s="29"/>
      <c r="J633" s="29"/>
      <c r="K633" s="29"/>
      <c r="L633" s="29"/>
      <c r="M633" s="29"/>
      <c r="N633" s="29"/>
      <c r="O633" s="29"/>
      <c r="P633" s="30"/>
      <c r="Q633" s="30"/>
      <c r="R633" s="30"/>
      <c r="S633" s="31"/>
      <c r="T633" s="31"/>
      <c r="U633" s="31"/>
      <c r="V633" s="31"/>
      <c r="W633" s="31"/>
      <c r="X633" s="32"/>
      <c r="Y633" s="32"/>
      <c r="Z633" s="32"/>
    </row>
    <row r="634" spans="1:26">
      <c r="A634" s="28"/>
      <c r="B634" s="17">
        <f t="shared" si="27"/>
        <v>46319</v>
      </c>
      <c r="C634" s="26">
        <f>I634+J634+K634+L634+M634+N634+O634+IF(P634="",0,P634*サマリー!$B$9)+IF(Q634="",0,IF(Q634=200,サマリー!$B$10,IF(Q634=100,サマリー!$B$11,0)))+IF(R634="",0,R634*サマリー!$B$12)</f>
        <v>0</v>
      </c>
      <c r="D634" s="26">
        <f>S634+T634+U634+V634+W634+IF(X634="",0,X634*サマリー!$B$9)+IF(Y634="",0,IF(Y634=200,サマリー!$B$10,IF(Y634=100,サマリー!$B$11,0)))+IF(Z634="",0,Z634*サマリー!$B$12)</f>
        <v>0</v>
      </c>
      <c r="E634" s="26">
        <f t="shared" si="28"/>
        <v>0</v>
      </c>
      <c r="I634" s="29"/>
      <c r="J634" s="29"/>
      <c r="K634" s="29"/>
      <c r="L634" s="29"/>
      <c r="M634" s="29"/>
      <c r="N634" s="29"/>
      <c r="O634" s="29"/>
      <c r="P634" s="30"/>
      <c r="Q634" s="30"/>
      <c r="R634" s="30"/>
      <c r="S634" s="31"/>
      <c r="T634" s="31"/>
      <c r="U634" s="31"/>
      <c r="V634" s="31"/>
      <c r="W634" s="31"/>
      <c r="X634" s="32"/>
      <c r="Y634" s="32"/>
      <c r="Z634" s="32"/>
    </row>
    <row r="635" spans="1:26">
      <c r="A635" s="28"/>
      <c r="B635" s="17">
        <f t="shared" si="27"/>
        <v>46319</v>
      </c>
      <c r="C635" s="26">
        <f>I635+J635+K635+L635+M635+N635+O635+IF(P635="",0,P635*サマリー!$B$9)+IF(Q635="",0,IF(Q635=200,サマリー!$B$10,IF(Q635=100,サマリー!$B$11,0)))+IF(R635="",0,R635*サマリー!$B$12)</f>
        <v>0</v>
      </c>
      <c r="D635" s="26">
        <f>S635+T635+U635+V635+W635+IF(X635="",0,X635*サマリー!$B$9)+IF(Y635="",0,IF(Y635=200,サマリー!$B$10,IF(Y635=100,サマリー!$B$11,0)))+IF(Z635="",0,Z635*サマリー!$B$12)</f>
        <v>0</v>
      </c>
      <c r="E635" s="26">
        <f t="shared" si="28"/>
        <v>0</v>
      </c>
      <c r="I635" s="29"/>
      <c r="J635" s="29"/>
      <c r="K635" s="29"/>
      <c r="L635" s="29"/>
      <c r="M635" s="29"/>
      <c r="N635" s="29"/>
      <c r="O635" s="29"/>
      <c r="P635" s="30"/>
      <c r="Q635" s="30"/>
      <c r="R635" s="30"/>
      <c r="S635" s="31"/>
      <c r="T635" s="31"/>
      <c r="U635" s="31"/>
      <c r="V635" s="31"/>
      <c r="W635" s="31"/>
      <c r="X635" s="32"/>
      <c r="Y635" s="32"/>
      <c r="Z635" s="32"/>
    </row>
    <row r="636" spans="1:26">
      <c r="A636" s="28"/>
      <c r="B636" s="17">
        <f t="shared" si="27"/>
        <v>46319</v>
      </c>
      <c r="C636" s="26">
        <f>I636+J636+K636+L636+M636+N636+O636+IF(P636="",0,P636*サマリー!$B$9)+IF(Q636="",0,IF(Q636=200,サマリー!$B$10,IF(Q636=100,サマリー!$B$11,0)))+IF(R636="",0,R636*サマリー!$B$12)</f>
        <v>0</v>
      </c>
      <c r="D636" s="26">
        <f>S636+T636+U636+V636+W636+IF(X636="",0,X636*サマリー!$B$9)+IF(Y636="",0,IF(Y636=200,サマリー!$B$10,IF(Y636=100,サマリー!$B$11,0)))+IF(Z636="",0,Z636*サマリー!$B$12)</f>
        <v>0</v>
      </c>
      <c r="E636" s="26">
        <f t="shared" si="28"/>
        <v>0</v>
      </c>
      <c r="I636" s="29"/>
      <c r="J636" s="29"/>
      <c r="K636" s="29"/>
      <c r="L636" s="29"/>
      <c r="M636" s="29"/>
      <c r="N636" s="29"/>
      <c r="O636" s="29"/>
      <c r="P636" s="30"/>
      <c r="Q636" s="30"/>
      <c r="R636" s="30"/>
      <c r="S636" s="31"/>
      <c r="T636" s="31"/>
      <c r="U636" s="31"/>
      <c r="V636" s="31"/>
      <c r="W636" s="31"/>
      <c r="X636" s="32"/>
      <c r="Y636" s="32"/>
      <c r="Z636" s="32"/>
    </row>
    <row r="637" spans="1:26">
      <c r="A637" s="28"/>
      <c r="B637" s="17">
        <f t="shared" si="27"/>
        <v>46319</v>
      </c>
      <c r="C637" s="26">
        <f>I637+J637+K637+L637+M637+N637+O637+IF(P637="",0,P637*サマリー!$B$9)+IF(Q637="",0,IF(Q637=200,サマリー!$B$10,IF(Q637=100,サマリー!$B$11,0)))+IF(R637="",0,R637*サマリー!$B$12)</f>
        <v>0</v>
      </c>
      <c r="D637" s="26">
        <f>S637+T637+U637+V637+W637+IF(X637="",0,X637*サマリー!$B$9)+IF(Y637="",0,IF(Y637=200,サマリー!$B$10,IF(Y637=100,サマリー!$B$11,0)))+IF(Z637="",0,Z637*サマリー!$B$12)</f>
        <v>0</v>
      </c>
      <c r="E637" s="26">
        <f t="shared" si="28"/>
        <v>0</v>
      </c>
      <c r="I637" s="29"/>
      <c r="J637" s="29"/>
      <c r="K637" s="29"/>
      <c r="L637" s="29"/>
      <c r="M637" s="29"/>
      <c r="N637" s="29"/>
      <c r="O637" s="29"/>
      <c r="P637" s="30"/>
      <c r="Q637" s="30"/>
      <c r="R637" s="30"/>
      <c r="S637" s="31"/>
      <c r="T637" s="31"/>
      <c r="U637" s="31"/>
      <c r="V637" s="31"/>
      <c r="W637" s="31"/>
      <c r="X637" s="32"/>
      <c r="Y637" s="32"/>
      <c r="Z637" s="32"/>
    </row>
    <row r="638" spans="1:26">
      <c r="A638" s="28"/>
      <c r="B638" s="17">
        <f t="shared" si="27"/>
        <v>46319</v>
      </c>
      <c r="C638" s="26">
        <f>I638+J638+K638+L638+M638+N638+O638+IF(P638="",0,P638*サマリー!$B$9)+IF(Q638="",0,IF(Q638=200,サマリー!$B$10,IF(Q638=100,サマリー!$B$11,0)))+IF(R638="",0,R638*サマリー!$B$12)</f>
        <v>0</v>
      </c>
      <c r="D638" s="26">
        <f>S638+T638+U638+V638+W638+IF(X638="",0,X638*サマリー!$B$9)+IF(Y638="",0,IF(Y638=200,サマリー!$B$10,IF(Y638=100,サマリー!$B$11,0)))+IF(Z638="",0,Z638*サマリー!$B$12)</f>
        <v>0</v>
      </c>
      <c r="E638" s="26">
        <f t="shared" si="28"/>
        <v>0</v>
      </c>
      <c r="I638" s="29"/>
      <c r="J638" s="29"/>
      <c r="K638" s="29"/>
      <c r="L638" s="29"/>
      <c r="M638" s="29"/>
      <c r="N638" s="29"/>
      <c r="O638" s="29"/>
      <c r="P638" s="30"/>
      <c r="Q638" s="30"/>
      <c r="R638" s="30"/>
      <c r="S638" s="31"/>
      <c r="T638" s="31"/>
      <c r="U638" s="31"/>
      <c r="V638" s="31"/>
      <c r="W638" s="31"/>
      <c r="X638" s="32"/>
      <c r="Y638" s="32"/>
      <c r="Z638" s="32"/>
    </row>
    <row r="639" spans="1:26">
      <c r="A639" s="28"/>
      <c r="B639" s="17">
        <f t="shared" si="27"/>
        <v>46319</v>
      </c>
      <c r="C639" s="26">
        <f>I639+J639+K639+L639+M639+N639+O639+IF(P639="",0,P639*サマリー!$B$9)+IF(Q639="",0,IF(Q639=200,サマリー!$B$10,IF(Q639=100,サマリー!$B$11,0)))+IF(R639="",0,R639*サマリー!$B$12)</f>
        <v>0</v>
      </c>
      <c r="D639" s="26">
        <f>S639+T639+U639+V639+W639+IF(X639="",0,X639*サマリー!$B$9)+IF(Y639="",0,IF(Y639=200,サマリー!$B$10,IF(Y639=100,サマリー!$B$11,0)))+IF(Z639="",0,Z639*サマリー!$B$12)</f>
        <v>0</v>
      </c>
      <c r="E639" s="26">
        <f t="shared" si="28"/>
        <v>0</v>
      </c>
      <c r="I639" s="29"/>
      <c r="J639" s="29"/>
      <c r="K639" s="29"/>
      <c r="L639" s="29"/>
      <c r="M639" s="29"/>
      <c r="N639" s="29"/>
      <c r="O639" s="29"/>
      <c r="P639" s="30"/>
      <c r="Q639" s="30"/>
      <c r="R639" s="30"/>
      <c r="S639" s="31"/>
      <c r="T639" s="31"/>
      <c r="U639" s="31"/>
      <c r="V639" s="31"/>
      <c r="W639" s="31"/>
      <c r="X639" s="32"/>
      <c r="Y639" s="32"/>
      <c r="Z639" s="32"/>
    </row>
    <row r="640" spans="1:26">
      <c r="A640" s="28"/>
      <c r="B640" s="17">
        <f t="shared" si="27"/>
        <v>46319</v>
      </c>
      <c r="C640" s="26">
        <f>I640+J640+K640+L640+M640+N640+O640+IF(P640="",0,P640*サマリー!$B$9)+IF(Q640="",0,IF(Q640=200,サマリー!$B$10,IF(Q640=100,サマリー!$B$11,0)))+IF(R640="",0,R640*サマリー!$B$12)</f>
        <v>0</v>
      </c>
      <c r="D640" s="26">
        <f>S640+T640+U640+V640+W640+IF(X640="",0,X640*サマリー!$B$9)+IF(Y640="",0,IF(Y640=200,サマリー!$B$10,IF(Y640=100,サマリー!$B$11,0)))+IF(Z640="",0,Z640*サマリー!$B$12)</f>
        <v>0</v>
      </c>
      <c r="E640" s="26">
        <f t="shared" si="28"/>
        <v>0</v>
      </c>
      <c r="I640" s="29"/>
      <c r="J640" s="29"/>
      <c r="K640" s="29"/>
      <c r="L640" s="29"/>
      <c r="M640" s="29"/>
      <c r="N640" s="29"/>
      <c r="O640" s="29"/>
      <c r="P640" s="30"/>
      <c r="Q640" s="30"/>
      <c r="R640" s="30"/>
      <c r="S640" s="31"/>
      <c r="T640" s="31"/>
      <c r="U640" s="31"/>
      <c r="V640" s="31"/>
      <c r="W640" s="31"/>
      <c r="X640" s="32"/>
      <c r="Y640" s="32"/>
      <c r="Z640" s="32"/>
    </row>
    <row r="641" spans="1:26">
      <c r="A641" s="28"/>
      <c r="B641" s="17">
        <f t="shared" ref="B641:B704" si="29">IF(A641="",B640,IF(A641&lt;DAY(B640),DATE(YEAR(B640),MONTH(B640)+1,A641),DATE(YEAR(B640),MONTH(B640),A641)))</f>
        <v>46319</v>
      </c>
      <c r="C641" s="26">
        <f>I641+J641+K641+L641+M641+N641+O641+IF(P641="",0,P641*サマリー!$B$9)+IF(Q641="",0,IF(Q641=200,サマリー!$B$10,IF(Q641=100,サマリー!$B$11,0)))+IF(R641="",0,R641*サマリー!$B$12)</f>
        <v>0</v>
      </c>
      <c r="D641" s="26">
        <f>S641+T641+U641+V641+W641+IF(X641="",0,X641*サマリー!$B$9)+IF(Y641="",0,IF(Y641=200,サマリー!$B$10,IF(Y641=100,サマリー!$B$11,0)))+IF(Z641="",0,Z641*サマリー!$B$12)</f>
        <v>0</v>
      </c>
      <c r="E641" s="26">
        <f t="shared" si="28"/>
        <v>0</v>
      </c>
      <c r="I641" s="29"/>
      <c r="J641" s="29"/>
      <c r="K641" s="29"/>
      <c r="L641" s="29"/>
      <c r="M641" s="29"/>
      <c r="N641" s="29"/>
      <c r="O641" s="29"/>
      <c r="P641" s="30"/>
      <c r="Q641" s="30"/>
      <c r="R641" s="30"/>
      <c r="S641" s="31"/>
      <c r="T641" s="31"/>
      <c r="U641" s="31"/>
      <c r="V641" s="31"/>
      <c r="W641" s="31"/>
      <c r="X641" s="32"/>
      <c r="Y641" s="32"/>
      <c r="Z641" s="32"/>
    </row>
    <row r="642" spans="1:26">
      <c r="A642" s="28"/>
      <c r="B642" s="17">
        <f t="shared" si="29"/>
        <v>46319</v>
      </c>
      <c r="C642" s="26">
        <f>I642+J642+K642+L642+M642+N642+O642+IF(P642="",0,P642*サマリー!$B$9)+IF(Q642="",0,IF(Q642=200,サマリー!$B$10,IF(Q642=100,サマリー!$B$11,0)))+IF(R642="",0,R642*サマリー!$B$12)</f>
        <v>0</v>
      </c>
      <c r="D642" s="26">
        <f>S642+T642+U642+V642+W642+IF(X642="",0,X642*サマリー!$B$9)+IF(Y642="",0,IF(Y642=200,サマリー!$B$10,IF(Y642=100,サマリー!$B$11,0)))+IF(Z642="",0,Z642*サマリー!$B$12)</f>
        <v>0</v>
      </c>
      <c r="E642" s="26">
        <f t="shared" si="28"/>
        <v>0</v>
      </c>
      <c r="I642" s="29"/>
      <c r="J642" s="29"/>
      <c r="K642" s="29"/>
      <c r="L642" s="29"/>
      <c r="M642" s="29"/>
      <c r="N642" s="29"/>
      <c r="O642" s="29"/>
      <c r="P642" s="30"/>
      <c r="Q642" s="30"/>
      <c r="R642" s="30"/>
      <c r="S642" s="31"/>
      <c r="T642" s="31"/>
      <c r="U642" s="31"/>
      <c r="V642" s="31"/>
      <c r="W642" s="31"/>
      <c r="X642" s="32"/>
      <c r="Y642" s="32"/>
      <c r="Z642" s="32"/>
    </row>
    <row r="643" spans="1:26">
      <c r="A643" s="28"/>
      <c r="B643" s="17">
        <f t="shared" si="29"/>
        <v>46319</v>
      </c>
      <c r="C643" s="26">
        <f>I643+J643+K643+L643+M643+N643+O643+IF(P643="",0,P643*サマリー!$B$9)+IF(Q643="",0,IF(Q643=200,サマリー!$B$10,IF(Q643=100,サマリー!$B$11,0)))+IF(R643="",0,R643*サマリー!$B$12)</f>
        <v>0</v>
      </c>
      <c r="D643" s="26">
        <f>S643+T643+U643+V643+W643+IF(X643="",0,X643*サマリー!$B$9)+IF(Y643="",0,IF(Y643=200,サマリー!$B$10,IF(Y643=100,サマリー!$B$11,0)))+IF(Z643="",0,Z643*サマリー!$B$12)</f>
        <v>0</v>
      </c>
      <c r="E643" s="26">
        <f t="shared" si="28"/>
        <v>0</v>
      </c>
      <c r="I643" s="29"/>
      <c r="J643" s="29"/>
      <c r="K643" s="29"/>
      <c r="L643" s="29"/>
      <c r="M643" s="29"/>
      <c r="N643" s="29"/>
      <c r="O643" s="29"/>
      <c r="P643" s="30"/>
      <c r="Q643" s="30"/>
      <c r="R643" s="30"/>
      <c r="S643" s="31"/>
      <c r="T643" s="31"/>
      <c r="U643" s="31"/>
      <c r="V643" s="31"/>
      <c r="W643" s="31"/>
      <c r="X643" s="32"/>
      <c r="Y643" s="32"/>
      <c r="Z643" s="32"/>
    </row>
    <row r="644" spans="1:26">
      <c r="A644" s="28"/>
      <c r="B644" s="17">
        <f t="shared" si="29"/>
        <v>46319</v>
      </c>
      <c r="C644" s="26">
        <f>I644+J644+K644+L644+M644+N644+O644+IF(P644="",0,P644*サマリー!$B$9)+IF(Q644="",0,IF(Q644=200,サマリー!$B$10,IF(Q644=100,サマリー!$B$11,0)))+IF(R644="",0,R644*サマリー!$B$12)</f>
        <v>0</v>
      </c>
      <c r="D644" s="26">
        <f>S644+T644+U644+V644+W644+IF(X644="",0,X644*サマリー!$B$9)+IF(Y644="",0,IF(Y644=200,サマリー!$B$10,IF(Y644=100,サマリー!$B$11,0)))+IF(Z644="",0,Z644*サマリー!$B$12)</f>
        <v>0</v>
      </c>
      <c r="E644" s="26">
        <f t="shared" si="28"/>
        <v>0</v>
      </c>
      <c r="I644" s="29"/>
      <c r="J644" s="29"/>
      <c r="K644" s="29"/>
      <c r="L644" s="29"/>
      <c r="M644" s="29"/>
      <c r="N644" s="29"/>
      <c r="O644" s="29"/>
      <c r="P644" s="30"/>
      <c r="Q644" s="30"/>
      <c r="R644" s="30"/>
      <c r="S644" s="31"/>
      <c r="T644" s="31"/>
      <c r="U644" s="31"/>
      <c r="V644" s="31"/>
      <c r="W644" s="31"/>
      <c r="X644" s="32"/>
      <c r="Y644" s="32"/>
      <c r="Z644" s="32"/>
    </row>
    <row r="645" spans="1:26">
      <c r="A645" s="28"/>
      <c r="B645" s="17">
        <f t="shared" si="29"/>
        <v>46319</v>
      </c>
      <c r="C645" s="26">
        <f>I645+J645+K645+L645+M645+N645+O645+IF(P645="",0,P645*サマリー!$B$9)+IF(Q645="",0,IF(Q645=200,サマリー!$B$10,IF(Q645=100,サマリー!$B$11,0)))+IF(R645="",0,R645*サマリー!$B$12)</f>
        <v>0</v>
      </c>
      <c r="D645" s="26">
        <f>S645+T645+U645+V645+W645+IF(X645="",0,X645*サマリー!$B$9)+IF(Y645="",0,IF(Y645=200,サマリー!$B$10,IF(Y645=100,サマリー!$B$11,0)))+IF(Z645="",0,Z645*サマリー!$B$12)</f>
        <v>0</v>
      </c>
      <c r="E645" s="26">
        <f t="shared" si="28"/>
        <v>0</v>
      </c>
      <c r="I645" s="29"/>
      <c r="J645" s="29"/>
      <c r="K645" s="29"/>
      <c r="L645" s="29"/>
      <c r="M645" s="29"/>
      <c r="N645" s="29"/>
      <c r="O645" s="29"/>
      <c r="P645" s="30"/>
      <c r="Q645" s="30"/>
      <c r="R645" s="30"/>
      <c r="S645" s="31"/>
      <c r="T645" s="31"/>
      <c r="U645" s="31"/>
      <c r="V645" s="31"/>
      <c r="W645" s="31"/>
      <c r="X645" s="32"/>
      <c r="Y645" s="32"/>
      <c r="Z645" s="32"/>
    </row>
    <row r="646" spans="1:26">
      <c r="A646" s="28"/>
      <c r="B646" s="17">
        <f t="shared" si="29"/>
        <v>46319</v>
      </c>
      <c r="C646" s="26">
        <f>I646+J646+K646+L646+M646+N646+O646+IF(P646="",0,P646*サマリー!$B$9)+IF(Q646="",0,IF(Q646=200,サマリー!$B$10,IF(Q646=100,サマリー!$B$11,0)))+IF(R646="",0,R646*サマリー!$B$12)</f>
        <v>0</v>
      </c>
      <c r="D646" s="26">
        <f>S646+T646+U646+V646+W646+IF(X646="",0,X646*サマリー!$B$9)+IF(Y646="",0,IF(Y646=200,サマリー!$B$10,IF(Y646=100,サマリー!$B$11,0)))+IF(Z646="",0,Z646*サマリー!$B$12)</f>
        <v>0</v>
      </c>
      <c r="E646" s="26">
        <f t="shared" si="28"/>
        <v>0</v>
      </c>
      <c r="I646" s="29"/>
      <c r="J646" s="29"/>
      <c r="K646" s="29"/>
      <c r="L646" s="29"/>
      <c r="M646" s="29"/>
      <c r="N646" s="29"/>
      <c r="O646" s="29"/>
      <c r="P646" s="30"/>
      <c r="Q646" s="30"/>
      <c r="R646" s="30"/>
      <c r="S646" s="31"/>
      <c r="T646" s="31"/>
      <c r="U646" s="31"/>
      <c r="V646" s="31"/>
      <c r="W646" s="31"/>
      <c r="X646" s="32"/>
      <c r="Y646" s="32"/>
      <c r="Z646" s="32"/>
    </row>
    <row r="647" spans="1:26">
      <c r="A647" s="28"/>
      <c r="B647" s="17">
        <f t="shared" si="29"/>
        <v>46319</v>
      </c>
      <c r="C647" s="26">
        <f>I647+J647+K647+L647+M647+N647+O647+IF(P647="",0,P647*サマリー!$B$9)+IF(Q647="",0,IF(Q647=200,サマリー!$B$10,IF(Q647=100,サマリー!$B$11,0)))+IF(R647="",0,R647*サマリー!$B$12)</f>
        <v>0</v>
      </c>
      <c r="D647" s="26">
        <f>S647+T647+U647+V647+W647+IF(X647="",0,X647*サマリー!$B$9)+IF(Y647="",0,IF(Y647=200,サマリー!$B$10,IF(Y647=100,サマリー!$B$11,0)))+IF(Z647="",0,Z647*サマリー!$B$12)</f>
        <v>0</v>
      </c>
      <c r="E647" s="26">
        <f t="shared" si="28"/>
        <v>0</v>
      </c>
      <c r="I647" s="29"/>
      <c r="J647" s="29"/>
      <c r="K647" s="29"/>
      <c r="L647" s="29"/>
      <c r="M647" s="29"/>
      <c r="N647" s="29"/>
      <c r="O647" s="29"/>
      <c r="P647" s="30"/>
      <c r="Q647" s="30"/>
      <c r="R647" s="30"/>
      <c r="S647" s="31"/>
      <c r="T647" s="31"/>
      <c r="U647" s="31"/>
      <c r="V647" s="31"/>
      <c r="W647" s="31"/>
      <c r="X647" s="32"/>
      <c r="Y647" s="32"/>
      <c r="Z647" s="32"/>
    </row>
    <row r="648" spans="1:26">
      <c r="A648" s="28"/>
      <c r="B648" s="17">
        <f t="shared" si="29"/>
        <v>46319</v>
      </c>
      <c r="C648" s="26">
        <f>I648+J648+K648+L648+M648+N648+O648+IF(P648="",0,P648*サマリー!$B$9)+IF(Q648="",0,IF(Q648=200,サマリー!$B$10,IF(Q648=100,サマリー!$B$11,0)))+IF(R648="",0,R648*サマリー!$B$12)</f>
        <v>0</v>
      </c>
      <c r="D648" s="26">
        <f>S648+T648+U648+V648+W648+IF(X648="",0,X648*サマリー!$B$9)+IF(Y648="",0,IF(Y648=200,サマリー!$B$10,IF(Y648=100,サマリー!$B$11,0)))+IF(Z648="",0,Z648*サマリー!$B$12)</f>
        <v>0</v>
      </c>
      <c r="E648" s="26">
        <f t="shared" si="28"/>
        <v>0</v>
      </c>
      <c r="I648" s="29"/>
      <c r="J648" s="29"/>
      <c r="K648" s="29"/>
      <c r="L648" s="29"/>
      <c r="M648" s="29"/>
      <c r="N648" s="29"/>
      <c r="O648" s="29"/>
      <c r="P648" s="30"/>
      <c r="Q648" s="30"/>
      <c r="R648" s="30"/>
      <c r="S648" s="31"/>
      <c r="T648" s="31"/>
      <c r="U648" s="31"/>
      <c r="V648" s="31"/>
      <c r="W648" s="31"/>
      <c r="X648" s="32"/>
      <c r="Y648" s="32"/>
      <c r="Z648" s="32"/>
    </row>
    <row r="649" spans="1:26">
      <c r="A649" s="28"/>
      <c r="B649" s="17">
        <f t="shared" si="29"/>
        <v>46319</v>
      </c>
      <c r="C649" s="26">
        <f>I649+J649+K649+L649+M649+N649+O649+IF(P649="",0,P649*サマリー!$B$9)+IF(Q649="",0,IF(Q649=200,サマリー!$B$10,IF(Q649=100,サマリー!$B$11,0)))+IF(R649="",0,R649*サマリー!$B$12)</f>
        <v>0</v>
      </c>
      <c r="D649" s="26">
        <f>S649+T649+U649+V649+W649+IF(X649="",0,X649*サマリー!$B$9)+IF(Y649="",0,IF(Y649=200,サマリー!$B$10,IF(Y649=100,サマリー!$B$11,0)))+IF(Z649="",0,Z649*サマリー!$B$12)</f>
        <v>0</v>
      </c>
      <c r="E649" s="26">
        <f t="shared" si="28"/>
        <v>0</v>
      </c>
      <c r="I649" s="29"/>
      <c r="J649" s="29"/>
      <c r="K649" s="29"/>
      <c r="L649" s="29"/>
      <c r="M649" s="29"/>
      <c r="N649" s="29"/>
      <c r="O649" s="29"/>
      <c r="P649" s="30"/>
      <c r="Q649" s="30"/>
      <c r="R649" s="30"/>
      <c r="S649" s="31"/>
      <c r="T649" s="31"/>
      <c r="U649" s="31"/>
      <c r="V649" s="31"/>
      <c r="W649" s="31"/>
      <c r="X649" s="32"/>
      <c r="Y649" s="32"/>
      <c r="Z649" s="32"/>
    </row>
    <row r="650" spans="1:26">
      <c r="A650" s="28"/>
      <c r="B650" s="17">
        <f t="shared" si="29"/>
        <v>46319</v>
      </c>
      <c r="C650" s="26">
        <f>I650+J650+K650+L650+M650+N650+O650+IF(P650="",0,P650*サマリー!$B$9)+IF(Q650="",0,IF(Q650=200,サマリー!$B$10,IF(Q650=100,サマリー!$B$11,0)))+IF(R650="",0,R650*サマリー!$B$12)</f>
        <v>0</v>
      </c>
      <c r="D650" s="26">
        <f>S650+T650+U650+V650+W650+IF(X650="",0,X650*サマリー!$B$9)+IF(Y650="",0,IF(Y650=200,サマリー!$B$10,IF(Y650=100,サマリー!$B$11,0)))+IF(Z650="",0,Z650*サマリー!$B$12)</f>
        <v>0</v>
      </c>
      <c r="E650" s="26">
        <f t="shared" si="28"/>
        <v>0</v>
      </c>
      <c r="I650" s="29"/>
      <c r="J650" s="29"/>
      <c r="K650" s="29"/>
      <c r="L650" s="29"/>
      <c r="M650" s="29"/>
      <c r="N650" s="29"/>
      <c r="O650" s="29"/>
      <c r="P650" s="30"/>
      <c r="Q650" s="30"/>
      <c r="R650" s="30"/>
      <c r="S650" s="31"/>
      <c r="T650" s="31"/>
      <c r="U650" s="31"/>
      <c r="V650" s="31"/>
      <c r="W650" s="31"/>
      <c r="X650" s="32"/>
      <c r="Y650" s="32"/>
      <c r="Z650" s="32"/>
    </row>
    <row r="651" spans="1:26">
      <c r="A651" s="28"/>
      <c r="B651" s="17">
        <f t="shared" si="29"/>
        <v>46319</v>
      </c>
      <c r="C651" s="26">
        <f>I651+J651+K651+L651+M651+N651+O651+IF(P651="",0,P651*サマリー!$B$9)+IF(Q651="",0,IF(Q651=200,サマリー!$B$10,IF(Q651=100,サマリー!$B$11,0)))+IF(R651="",0,R651*サマリー!$B$12)</f>
        <v>0</v>
      </c>
      <c r="D651" s="26">
        <f>S651+T651+U651+V651+W651+IF(X651="",0,X651*サマリー!$B$9)+IF(Y651="",0,IF(Y651=200,サマリー!$B$10,IF(Y651=100,サマリー!$B$11,0)))+IF(Z651="",0,Z651*サマリー!$B$12)</f>
        <v>0</v>
      </c>
      <c r="E651" s="26">
        <f t="shared" si="28"/>
        <v>0</v>
      </c>
      <c r="I651" s="29"/>
      <c r="J651" s="29"/>
      <c r="K651" s="29"/>
      <c r="L651" s="29"/>
      <c r="M651" s="29"/>
      <c r="N651" s="29"/>
      <c r="O651" s="29"/>
      <c r="P651" s="30"/>
      <c r="Q651" s="30"/>
      <c r="R651" s="30"/>
      <c r="S651" s="31"/>
      <c r="T651" s="31"/>
      <c r="U651" s="31"/>
      <c r="V651" s="31"/>
      <c r="W651" s="31"/>
      <c r="X651" s="32"/>
      <c r="Y651" s="32"/>
      <c r="Z651" s="32"/>
    </row>
    <row r="652" spans="1:26">
      <c r="A652" s="28"/>
      <c r="B652" s="17">
        <f t="shared" si="29"/>
        <v>46319</v>
      </c>
      <c r="C652" s="26">
        <f>I652+J652+K652+L652+M652+N652+O652+IF(P652="",0,P652*サマリー!$B$9)+IF(Q652="",0,IF(Q652=200,サマリー!$B$10,IF(Q652=100,サマリー!$B$11,0)))+IF(R652="",0,R652*サマリー!$B$12)</f>
        <v>0</v>
      </c>
      <c r="D652" s="26">
        <f>S652+T652+U652+V652+W652+IF(X652="",0,X652*サマリー!$B$9)+IF(Y652="",0,IF(Y652=200,サマリー!$B$10,IF(Y652=100,サマリー!$B$11,0)))+IF(Z652="",0,Z652*サマリー!$B$12)</f>
        <v>0</v>
      </c>
      <c r="E652" s="26">
        <f t="shared" si="28"/>
        <v>0</v>
      </c>
      <c r="I652" s="29"/>
      <c r="J652" s="29"/>
      <c r="K652" s="29"/>
      <c r="L652" s="29"/>
      <c r="M652" s="29"/>
      <c r="N652" s="29"/>
      <c r="O652" s="29"/>
      <c r="P652" s="30"/>
      <c r="Q652" s="30"/>
      <c r="R652" s="30"/>
      <c r="S652" s="31"/>
      <c r="T652" s="31"/>
      <c r="U652" s="31"/>
      <c r="V652" s="31"/>
      <c r="W652" s="31"/>
      <c r="X652" s="32"/>
      <c r="Y652" s="32"/>
      <c r="Z652" s="32"/>
    </row>
    <row r="653" spans="1:26">
      <c r="A653" s="28"/>
      <c r="B653" s="17">
        <f t="shared" si="29"/>
        <v>46319</v>
      </c>
      <c r="C653" s="26">
        <f>I653+J653+K653+L653+M653+N653+O653+IF(P653="",0,P653*サマリー!$B$9)+IF(Q653="",0,IF(Q653=200,サマリー!$B$10,IF(Q653=100,サマリー!$B$11,0)))+IF(R653="",0,R653*サマリー!$B$12)</f>
        <v>0</v>
      </c>
      <c r="D653" s="26">
        <f>S653+T653+U653+V653+W653+IF(X653="",0,X653*サマリー!$B$9)+IF(Y653="",0,IF(Y653=200,サマリー!$B$10,IF(Y653=100,サマリー!$B$11,0)))+IF(Z653="",0,Z653*サマリー!$B$12)</f>
        <v>0</v>
      </c>
      <c r="E653" s="26">
        <f t="shared" si="28"/>
        <v>0</v>
      </c>
      <c r="I653" s="29"/>
      <c r="J653" s="29"/>
      <c r="K653" s="29"/>
      <c r="L653" s="29"/>
      <c r="M653" s="29"/>
      <c r="N653" s="29"/>
      <c r="O653" s="29"/>
      <c r="P653" s="30"/>
      <c r="Q653" s="30"/>
      <c r="R653" s="30"/>
      <c r="S653" s="31"/>
      <c r="T653" s="31"/>
      <c r="U653" s="31"/>
      <c r="V653" s="31"/>
      <c r="W653" s="31"/>
      <c r="X653" s="32"/>
      <c r="Y653" s="32"/>
      <c r="Z653" s="32"/>
    </row>
    <row r="654" spans="1:26">
      <c r="A654" s="28"/>
      <c r="B654" s="17">
        <f t="shared" si="29"/>
        <v>46319</v>
      </c>
      <c r="C654" s="26">
        <f>I654+J654+K654+L654+M654+N654+O654+IF(P654="",0,P654*サマリー!$B$9)+IF(Q654="",0,IF(Q654=200,サマリー!$B$10,IF(Q654=100,サマリー!$B$11,0)))+IF(R654="",0,R654*サマリー!$B$12)</f>
        <v>0</v>
      </c>
      <c r="D654" s="26">
        <f>S654+T654+U654+V654+W654+IF(X654="",0,X654*サマリー!$B$9)+IF(Y654="",0,IF(Y654=200,サマリー!$B$10,IF(Y654=100,サマリー!$B$11,0)))+IF(Z654="",0,Z654*サマリー!$B$12)</f>
        <v>0</v>
      </c>
      <c r="E654" s="26">
        <f t="shared" si="28"/>
        <v>0</v>
      </c>
      <c r="I654" s="29"/>
      <c r="J654" s="29"/>
      <c r="K654" s="29"/>
      <c r="L654" s="29"/>
      <c r="M654" s="29"/>
      <c r="N654" s="29"/>
      <c r="O654" s="29"/>
      <c r="P654" s="30"/>
      <c r="Q654" s="30"/>
      <c r="R654" s="30"/>
      <c r="S654" s="31"/>
      <c r="T654" s="31"/>
      <c r="U654" s="31"/>
      <c r="V654" s="31"/>
      <c r="W654" s="31"/>
      <c r="X654" s="32"/>
      <c r="Y654" s="32"/>
      <c r="Z654" s="32"/>
    </row>
    <row r="655" spans="1:26">
      <c r="A655" s="28"/>
      <c r="B655" s="17">
        <f t="shared" si="29"/>
        <v>46319</v>
      </c>
      <c r="C655" s="26">
        <f>I655+J655+K655+L655+M655+N655+O655+IF(P655="",0,P655*サマリー!$B$9)+IF(Q655="",0,IF(Q655=200,サマリー!$B$10,IF(Q655=100,サマリー!$B$11,0)))+IF(R655="",0,R655*サマリー!$B$12)</f>
        <v>0</v>
      </c>
      <c r="D655" s="26">
        <f>S655+T655+U655+V655+W655+IF(X655="",0,X655*サマリー!$B$9)+IF(Y655="",0,IF(Y655=200,サマリー!$B$10,IF(Y655=100,サマリー!$B$11,0)))+IF(Z655="",0,Z655*サマリー!$B$12)</f>
        <v>0</v>
      </c>
      <c r="E655" s="26">
        <f t="shared" si="28"/>
        <v>0</v>
      </c>
      <c r="I655" s="29"/>
      <c r="J655" s="29"/>
      <c r="K655" s="29"/>
      <c r="L655" s="29"/>
      <c r="M655" s="29"/>
      <c r="N655" s="29"/>
      <c r="O655" s="29"/>
      <c r="P655" s="30"/>
      <c r="Q655" s="30"/>
      <c r="R655" s="30"/>
      <c r="S655" s="31"/>
      <c r="T655" s="31"/>
      <c r="U655" s="31"/>
      <c r="V655" s="31"/>
      <c r="W655" s="31"/>
      <c r="X655" s="32"/>
      <c r="Y655" s="32"/>
      <c r="Z655" s="32"/>
    </row>
    <row r="656" spans="1:26">
      <c r="A656" s="28"/>
      <c r="B656" s="17">
        <f t="shared" si="29"/>
        <v>46319</v>
      </c>
      <c r="C656" s="26">
        <f>I656+J656+K656+L656+M656+N656+O656+IF(P656="",0,P656*サマリー!$B$9)+IF(Q656="",0,IF(Q656=200,サマリー!$B$10,IF(Q656=100,サマリー!$B$11,0)))+IF(R656="",0,R656*サマリー!$B$12)</f>
        <v>0</v>
      </c>
      <c r="D656" s="26">
        <f>S656+T656+U656+V656+W656+IF(X656="",0,X656*サマリー!$B$9)+IF(Y656="",0,IF(Y656=200,サマリー!$B$10,IF(Y656=100,サマリー!$B$11,0)))+IF(Z656="",0,Z656*サマリー!$B$12)</f>
        <v>0</v>
      </c>
      <c r="E656" s="26">
        <f t="shared" si="28"/>
        <v>0</v>
      </c>
      <c r="I656" s="29"/>
      <c r="J656" s="29"/>
      <c r="K656" s="29"/>
      <c r="L656" s="29"/>
      <c r="M656" s="29"/>
      <c r="N656" s="29"/>
      <c r="O656" s="29"/>
      <c r="P656" s="30"/>
      <c r="Q656" s="30"/>
      <c r="R656" s="30"/>
      <c r="S656" s="31"/>
      <c r="T656" s="31"/>
      <c r="U656" s="31"/>
      <c r="V656" s="31"/>
      <c r="W656" s="31"/>
      <c r="X656" s="32"/>
      <c r="Y656" s="32"/>
      <c r="Z656" s="32"/>
    </row>
    <row r="657" spans="1:26">
      <c r="A657" s="28"/>
      <c r="B657" s="17">
        <f t="shared" si="29"/>
        <v>46319</v>
      </c>
      <c r="C657" s="26">
        <f>I657+J657+K657+L657+M657+N657+O657+IF(P657="",0,P657*サマリー!$B$9)+IF(Q657="",0,IF(Q657=200,サマリー!$B$10,IF(Q657=100,サマリー!$B$11,0)))+IF(R657="",0,R657*サマリー!$B$12)</f>
        <v>0</v>
      </c>
      <c r="D657" s="26">
        <f>S657+T657+U657+V657+W657+IF(X657="",0,X657*サマリー!$B$9)+IF(Y657="",0,IF(Y657=200,サマリー!$B$10,IF(Y657=100,サマリー!$B$11,0)))+IF(Z657="",0,Z657*サマリー!$B$12)</f>
        <v>0</v>
      </c>
      <c r="E657" s="26">
        <f t="shared" si="28"/>
        <v>0</v>
      </c>
      <c r="I657" s="29"/>
      <c r="J657" s="29"/>
      <c r="K657" s="29"/>
      <c r="L657" s="29"/>
      <c r="M657" s="29"/>
      <c r="N657" s="29"/>
      <c r="O657" s="29"/>
      <c r="P657" s="30"/>
      <c r="Q657" s="30"/>
      <c r="R657" s="30"/>
      <c r="S657" s="31"/>
      <c r="T657" s="31"/>
      <c r="U657" s="31"/>
      <c r="V657" s="31"/>
      <c r="W657" s="31"/>
      <c r="X657" s="32"/>
      <c r="Y657" s="32"/>
      <c r="Z657" s="32"/>
    </row>
    <row r="658" spans="1:26">
      <c r="A658" s="28"/>
      <c r="B658" s="17">
        <f t="shared" si="29"/>
        <v>46319</v>
      </c>
      <c r="C658" s="26">
        <f>I658+J658+K658+L658+M658+N658+O658+IF(P658="",0,P658*サマリー!$B$9)+IF(Q658="",0,IF(Q658=200,サマリー!$B$10,IF(Q658=100,サマリー!$B$11,0)))+IF(R658="",0,R658*サマリー!$B$12)</f>
        <v>0</v>
      </c>
      <c r="D658" s="26">
        <f>S658+T658+U658+V658+W658+IF(X658="",0,X658*サマリー!$B$9)+IF(Y658="",0,IF(Y658=200,サマリー!$B$10,IF(Y658=100,サマリー!$B$11,0)))+IF(Z658="",0,Z658*サマリー!$B$12)</f>
        <v>0</v>
      </c>
      <c r="E658" s="26">
        <f t="shared" si="28"/>
        <v>0</v>
      </c>
      <c r="I658" s="29"/>
      <c r="J658" s="29"/>
      <c r="K658" s="29"/>
      <c r="L658" s="29"/>
      <c r="M658" s="29"/>
      <c r="N658" s="29"/>
      <c r="O658" s="29"/>
      <c r="P658" s="30"/>
      <c r="Q658" s="30"/>
      <c r="R658" s="30"/>
      <c r="S658" s="31"/>
      <c r="T658" s="31"/>
      <c r="U658" s="31"/>
      <c r="V658" s="31"/>
      <c r="W658" s="31"/>
      <c r="X658" s="32"/>
      <c r="Y658" s="32"/>
      <c r="Z658" s="32"/>
    </row>
    <row r="659" spans="1:26">
      <c r="A659" s="28"/>
      <c r="B659" s="17">
        <f t="shared" si="29"/>
        <v>46319</v>
      </c>
      <c r="C659" s="26">
        <f>I659+J659+K659+L659+M659+N659+O659+IF(P659="",0,P659*サマリー!$B$9)+IF(Q659="",0,IF(Q659=200,サマリー!$B$10,IF(Q659=100,サマリー!$B$11,0)))+IF(R659="",0,R659*サマリー!$B$12)</f>
        <v>0</v>
      </c>
      <c r="D659" s="26">
        <f>S659+T659+U659+V659+W659+IF(X659="",0,X659*サマリー!$B$9)+IF(Y659="",0,IF(Y659=200,サマリー!$B$10,IF(Y659=100,サマリー!$B$11,0)))+IF(Z659="",0,Z659*サマリー!$B$12)</f>
        <v>0</v>
      </c>
      <c r="E659" s="26">
        <f t="shared" si="28"/>
        <v>0</v>
      </c>
      <c r="I659" s="29"/>
      <c r="J659" s="29"/>
      <c r="K659" s="29"/>
      <c r="L659" s="29"/>
      <c r="M659" s="29"/>
      <c r="N659" s="29"/>
      <c r="O659" s="29"/>
      <c r="P659" s="30"/>
      <c r="Q659" s="30"/>
      <c r="R659" s="30"/>
      <c r="S659" s="31"/>
      <c r="T659" s="31"/>
      <c r="U659" s="31"/>
      <c r="V659" s="31"/>
      <c r="W659" s="31"/>
      <c r="X659" s="32"/>
      <c r="Y659" s="32"/>
      <c r="Z659" s="32"/>
    </row>
    <row r="660" spans="1:26">
      <c r="A660" s="28"/>
      <c r="B660" s="17">
        <f t="shared" si="29"/>
        <v>46319</v>
      </c>
      <c r="C660" s="26">
        <f>I660+J660+K660+L660+M660+N660+O660+IF(P660="",0,P660*サマリー!$B$9)+IF(Q660="",0,IF(Q660=200,サマリー!$B$10,IF(Q660=100,サマリー!$B$11,0)))+IF(R660="",0,R660*サマリー!$B$12)</f>
        <v>0</v>
      </c>
      <c r="D660" s="26">
        <f>S660+T660+U660+V660+W660+IF(X660="",0,X660*サマリー!$B$9)+IF(Y660="",0,IF(Y660=200,サマリー!$B$10,IF(Y660=100,サマリー!$B$11,0)))+IF(Z660="",0,Z660*サマリー!$B$12)</f>
        <v>0</v>
      </c>
      <c r="E660" s="26">
        <f t="shared" si="28"/>
        <v>0</v>
      </c>
      <c r="I660" s="29"/>
      <c r="J660" s="29"/>
      <c r="K660" s="29"/>
      <c r="L660" s="29"/>
      <c r="M660" s="29"/>
      <c r="N660" s="29"/>
      <c r="O660" s="29"/>
      <c r="P660" s="30"/>
      <c r="Q660" s="30"/>
      <c r="R660" s="30"/>
      <c r="S660" s="31"/>
      <c r="T660" s="31"/>
      <c r="U660" s="31"/>
      <c r="V660" s="31"/>
      <c r="W660" s="31"/>
      <c r="X660" s="32"/>
      <c r="Y660" s="32"/>
      <c r="Z660" s="32"/>
    </row>
    <row r="661" spans="1:26">
      <c r="A661" s="28"/>
      <c r="B661" s="17">
        <f t="shared" si="29"/>
        <v>46319</v>
      </c>
      <c r="C661" s="26">
        <f>I661+J661+K661+L661+M661+N661+O661+IF(P661="",0,P661*サマリー!$B$9)+IF(Q661="",0,IF(Q661=200,サマリー!$B$10,IF(Q661=100,サマリー!$B$11,0)))+IF(R661="",0,R661*サマリー!$B$12)</f>
        <v>0</v>
      </c>
      <c r="D661" s="26">
        <f>S661+T661+U661+V661+W661+IF(X661="",0,X661*サマリー!$B$9)+IF(Y661="",0,IF(Y661=200,サマリー!$B$10,IF(Y661=100,サマリー!$B$11,0)))+IF(Z661="",0,Z661*サマリー!$B$12)</f>
        <v>0</v>
      </c>
      <c r="E661" s="26">
        <f t="shared" si="28"/>
        <v>0</v>
      </c>
      <c r="I661" s="29"/>
      <c r="J661" s="29"/>
      <c r="K661" s="29"/>
      <c r="L661" s="29"/>
      <c r="M661" s="29"/>
      <c r="N661" s="29"/>
      <c r="O661" s="29"/>
      <c r="P661" s="30"/>
      <c r="Q661" s="30"/>
      <c r="R661" s="30"/>
      <c r="S661" s="31"/>
      <c r="T661" s="31"/>
      <c r="U661" s="31"/>
      <c r="V661" s="31"/>
      <c r="W661" s="31"/>
      <c r="X661" s="32"/>
      <c r="Y661" s="32"/>
      <c r="Z661" s="32"/>
    </row>
    <row r="662" spans="1:26">
      <c r="A662" s="28"/>
      <c r="B662" s="17">
        <f t="shared" si="29"/>
        <v>46319</v>
      </c>
      <c r="C662" s="26">
        <f>I662+J662+K662+L662+M662+N662+O662+IF(P662="",0,P662*サマリー!$B$9)+IF(Q662="",0,IF(Q662=200,サマリー!$B$10,IF(Q662=100,サマリー!$B$11,0)))+IF(R662="",0,R662*サマリー!$B$12)</f>
        <v>0</v>
      </c>
      <c r="D662" s="26">
        <f>S662+T662+U662+V662+W662+IF(X662="",0,X662*サマリー!$B$9)+IF(Y662="",0,IF(Y662=200,サマリー!$B$10,IF(Y662=100,サマリー!$B$11,0)))+IF(Z662="",0,Z662*サマリー!$B$12)</f>
        <v>0</v>
      </c>
      <c r="E662" s="26">
        <f t="shared" si="28"/>
        <v>0</v>
      </c>
      <c r="I662" s="29"/>
      <c r="J662" s="29"/>
      <c r="K662" s="29"/>
      <c r="L662" s="29"/>
      <c r="M662" s="29"/>
      <c r="N662" s="29"/>
      <c r="O662" s="29"/>
      <c r="P662" s="30"/>
      <c r="Q662" s="30"/>
      <c r="R662" s="30"/>
      <c r="S662" s="31"/>
      <c r="T662" s="31"/>
      <c r="U662" s="31"/>
      <c r="V662" s="31"/>
      <c r="W662" s="31"/>
      <c r="X662" s="32"/>
      <c r="Y662" s="32"/>
      <c r="Z662" s="32"/>
    </row>
    <row r="663" spans="1:26">
      <c r="A663" s="28"/>
      <c r="B663" s="17">
        <f t="shared" si="29"/>
        <v>46319</v>
      </c>
      <c r="C663" s="26">
        <f>I663+J663+K663+L663+M663+N663+O663+IF(P663="",0,P663*サマリー!$B$9)+IF(Q663="",0,IF(Q663=200,サマリー!$B$10,IF(Q663=100,サマリー!$B$11,0)))+IF(R663="",0,R663*サマリー!$B$12)</f>
        <v>0</v>
      </c>
      <c r="D663" s="26">
        <f>S663+T663+U663+V663+W663+IF(X663="",0,X663*サマリー!$B$9)+IF(Y663="",0,IF(Y663=200,サマリー!$B$10,IF(Y663=100,サマリー!$B$11,0)))+IF(Z663="",0,Z663*サマリー!$B$12)</f>
        <v>0</v>
      </c>
      <c r="E663" s="26">
        <f t="shared" si="28"/>
        <v>0</v>
      </c>
      <c r="I663" s="29"/>
      <c r="J663" s="29"/>
      <c r="K663" s="29"/>
      <c r="L663" s="29"/>
      <c r="M663" s="29"/>
      <c r="N663" s="29"/>
      <c r="O663" s="29"/>
      <c r="P663" s="30"/>
      <c r="Q663" s="30"/>
      <c r="R663" s="30"/>
      <c r="S663" s="31"/>
      <c r="T663" s="31"/>
      <c r="U663" s="31"/>
      <c r="V663" s="31"/>
      <c r="W663" s="31"/>
      <c r="X663" s="32"/>
      <c r="Y663" s="32"/>
      <c r="Z663" s="32"/>
    </row>
    <row r="664" spans="1:26">
      <c r="A664" s="28"/>
      <c r="B664" s="17">
        <f t="shared" si="29"/>
        <v>46319</v>
      </c>
      <c r="C664" s="26">
        <f>I664+J664+K664+L664+M664+N664+O664+IF(P664="",0,P664*サマリー!$B$9)+IF(Q664="",0,IF(Q664=200,サマリー!$B$10,IF(Q664=100,サマリー!$B$11,0)))+IF(R664="",0,R664*サマリー!$B$12)</f>
        <v>0</v>
      </c>
      <c r="D664" s="26">
        <f>S664+T664+U664+V664+W664+IF(X664="",0,X664*サマリー!$B$9)+IF(Y664="",0,IF(Y664=200,サマリー!$B$10,IF(Y664=100,サマリー!$B$11,0)))+IF(Z664="",0,Z664*サマリー!$B$12)</f>
        <v>0</v>
      </c>
      <c r="E664" s="26">
        <f t="shared" si="28"/>
        <v>0</v>
      </c>
      <c r="I664" s="29"/>
      <c r="J664" s="29"/>
      <c r="K664" s="29"/>
      <c r="L664" s="29"/>
      <c r="M664" s="29"/>
      <c r="N664" s="29"/>
      <c r="O664" s="29"/>
      <c r="P664" s="30"/>
      <c r="Q664" s="30"/>
      <c r="R664" s="30"/>
      <c r="S664" s="31"/>
      <c r="T664" s="31"/>
      <c r="U664" s="31"/>
      <c r="V664" s="31"/>
      <c r="W664" s="31"/>
      <c r="X664" s="32"/>
      <c r="Y664" s="32"/>
      <c r="Z664" s="32"/>
    </row>
    <row r="665" spans="1:26">
      <c r="A665" s="28"/>
      <c r="B665" s="17">
        <f t="shared" si="29"/>
        <v>46319</v>
      </c>
      <c r="C665" s="26">
        <f>I665+J665+K665+L665+M665+N665+O665+IF(P665="",0,P665*サマリー!$B$9)+IF(Q665="",0,IF(Q665=200,サマリー!$B$10,IF(Q665=100,サマリー!$B$11,0)))+IF(R665="",0,R665*サマリー!$B$12)</f>
        <v>0</v>
      </c>
      <c r="D665" s="26">
        <f>S665+T665+U665+V665+W665+IF(X665="",0,X665*サマリー!$B$9)+IF(Y665="",0,IF(Y665=200,サマリー!$B$10,IF(Y665=100,サマリー!$B$11,0)))+IF(Z665="",0,Z665*サマリー!$B$12)</f>
        <v>0</v>
      </c>
      <c r="E665" s="26">
        <f t="shared" si="28"/>
        <v>0</v>
      </c>
      <c r="I665" s="29"/>
      <c r="J665" s="29"/>
      <c r="K665" s="29"/>
      <c r="L665" s="29"/>
      <c r="M665" s="29"/>
      <c r="N665" s="29"/>
      <c r="O665" s="29"/>
      <c r="P665" s="30"/>
      <c r="Q665" s="30"/>
      <c r="R665" s="30"/>
      <c r="S665" s="31"/>
      <c r="T665" s="31"/>
      <c r="U665" s="31"/>
      <c r="V665" s="31"/>
      <c r="W665" s="31"/>
      <c r="X665" s="32"/>
      <c r="Y665" s="32"/>
      <c r="Z665" s="32"/>
    </row>
    <row r="666" spans="1:26">
      <c r="A666" s="28"/>
      <c r="B666" s="17">
        <f t="shared" si="29"/>
        <v>46319</v>
      </c>
      <c r="C666" s="26">
        <f>I666+J666+K666+L666+M666+N666+O666+IF(P666="",0,P666*サマリー!$B$9)+IF(Q666="",0,IF(Q666=200,サマリー!$B$10,IF(Q666=100,サマリー!$B$11,0)))+IF(R666="",0,R666*サマリー!$B$12)</f>
        <v>0</v>
      </c>
      <c r="D666" s="26">
        <f>S666+T666+U666+V666+W666+IF(X666="",0,X666*サマリー!$B$9)+IF(Y666="",0,IF(Y666=200,サマリー!$B$10,IF(Y666=100,サマリー!$B$11,0)))+IF(Z666="",0,Z666*サマリー!$B$12)</f>
        <v>0</v>
      </c>
      <c r="E666" s="26">
        <f t="shared" si="28"/>
        <v>0</v>
      </c>
      <c r="I666" s="29"/>
      <c r="J666" s="29"/>
      <c r="K666" s="29"/>
      <c r="L666" s="29"/>
      <c r="M666" s="29"/>
      <c r="N666" s="29"/>
      <c r="O666" s="29"/>
      <c r="P666" s="30"/>
      <c r="Q666" s="30"/>
      <c r="R666" s="30"/>
      <c r="S666" s="31"/>
      <c r="T666" s="31"/>
      <c r="U666" s="31"/>
      <c r="V666" s="31"/>
      <c r="W666" s="31"/>
      <c r="X666" s="32"/>
      <c r="Y666" s="32"/>
      <c r="Z666" s="32"/>
    </row>
    <row r="667" spans="1:26">
      <c r="A667" s="28"/>
      <c r="B667" s="17">
        <f t="shared" si="29"/>
        <v>46319</v>
      </c>
      <c r="C667" s="26">
        <f>I667+J667+K667+L667+M667+N667+O667+IF(P667="",0,P667*サマリー!$B$9)+IF(Q667="",0,IF(Q667=200,サマリー!$B$10,IF(Q667=100,サマリー!$B$11,0)))+IF(R667="",0,R667*サマリー!$B$12)</f>
        <v>0</v>
      </c>
      <c r="D667" s="26">
        <f>S667+T667+U667+V667+W667+IF(X667="",0,X667*サマリー!$B$9)+IF(Y667="",0,IF(Y667=200,サマリー!$B$10,IF(Y667=100,サマリー!$B$11,0)))+IF(Z667="",0,Z667*サマリー!$B$12)</f>
        <v>0</v>
      </c>
      <c r="E667" s="26">
        <f t="shared" si="28"/>
        <v>0</v>
      </c>
      <c r="I667" s="29"/>
      <c r="J667" s="29"/>
      <c r="K667" s="29"/>
      <c r="L667" s="29"/>
      <c r="M667" s="29"/>
      <c r="N667" s="29"/>
      <c r="O667" s="29"/>
      <c r="P667" s="30"/>
      <c r="Q667" s="30"/>
      <c r="R667" s="30"/>
      <c r="S667" s="31"/>
      <c r="T667" s="31"/>
      <c r="U667" s="31"/>
      <c r="V667" s="31"/>
      <c r="W667" s="31"/>
      <c r="X667" s="32"/>
      <c r="Y667" s="32"/>
      <c r="Z667" s="32"/>
    </row>
    <row r="668" spans="1:26">
      <c r="A668" s="28"/>
      <c r="B668" s="17">
        <f t="shared" si="29"/>
        <v>46319</v>
      </c>
      <c r="C668" s="26">
        <f>I668+J668+K668+L668+M668+N668+O668+IF(P668="",0,P668*サマリー!$B$9)+IF(Q668="",0,IF(Q668=200,サマリー!$B$10,IF(Q668=100,サマリー!$B$11,0)))+IF(R668="",0,R668*サマリー!$B$12)</f>
        <v>0</v>
      </c>
      <c r="D668" s="26">
        <f>S668+T668+U668+V668+W668+IF(X668="",0,X668*サマリー!$B$9)+IF(Y668="",0,IF(Y668=200,サマリー!$B$10,IF(Y668=100,サマリー!$B$11,0)))+IF(Z668="",0,Z668*サマリー!$B$12)</f>
        <v>0</v>
      </c>
      <c r="E668" s="26">
        <f t="shared" si="28"/>
        <v>0</v>
      </c>
      <c r="I668" s="29"/>
      <c r="J668" s="29"/>
      <c r="K668" s="29"/>
      <c r="L668" s="29"/>
      <c r="M668" s="29"/>
      <c r="N668" s="29"/>
      <c r="O668" s="29"/>
      <c r="P668" s="30"/>
      <c r="Q668" s="30"/>
      <c r="R668" s="30"/>
      <c r="S668" s="31"/>
      <c r="T668" s="31"/>
      <c r="U668" s="31"/>
      <c r="V668" s="31"/>
      <c r="W668" s="31"/>
      <c r="X668" s="32"/>
      <c r="Y668" s="32"/>
      <c r="Z668" s="32"/>
    </row>
    <row r="669" spans="1:26">
      <c r="A669" s="28"/>
      <c r="B669" s="17">
        <f t="shared" si="29"/>
        <v>46319</v>
      </c>
      <c r="C669" s="26">
        <f>I669+J669+K669+L669+M669+N669+O669+IF(P669="",0,P669*サマリー!$B$9)+IF(Q669="",0,IF(Q669=200,サマリー!$B$10,IF(Q669=100,サマリー!$B$11,0)))+IF(R669="",0,R669*サマリー!$B$12)</f>
        <v>0</v>
      </c>
      <c r="D669" s="26">
        <f>S669+T669+U669+V669+W669+IF(X669="",0,X669*サマリー!$B$9)+IF(Y669="",0,IF(Y669=200,サマリー!$B$10,IF(Y669=100,サマリー!$B$11,0)))+IF(Z669="",0,Z669*サマリー!$B$12)</f>
        <v>0</v>
      </c>
      <c r="E669" s="26">
        <f t="shared" si="28"/>
        <v>0</v>
      </c>
      <c r="I669" s="29"/>
      <c r="J669" s="29"/>
      <c r="K669" s="29"/>
      <c r="L669" s="29"/>
      <c r="M669" s="29"/>
      <c r="N669" s="29"/>
      <c r="O669" s="29"/>
      <c r="P669" s="30"/>
      <c r="Q669" s="30"/>
      <c r="R669" s="30"/>
      <c r="S669" s="31"/>
      <c r="T669" s="31"/>
      <c r="U669" s="31"/>
      <c r="V669" s="31"/>
      <c r="W669" s="31"/>
      <c r="X669" s="32"/>
      <c r="Y669" s="32"/>
      <c r="Z669" s="32"/>
    </row>
    <row r="670" spans="1:26">
      <c r="A670" s="28"/>
      <c r="B670" s="17">
        <f t="shared" si="29"/>
        <v>46319</v>
      </c>
      <c r="C670" s="26">
        <f>I670+J670+K670+L670+M670+N670+O670+IF(P670="",0,P670*サマリー!$B$9)+IF(Q670="",0,IF(Q670=200,サマリー!$B$10,IF(Q670=100,サマリー!$B$11,0)))+IF(R670="",0,R670*サマリー!$B$12)</f>
        <v>0</v>
      </c>
      <c r="D670" s="26">
        <f>S670+T670+U670+V670+W670+IF(X670="",0,X670*サマリー!$B$9)+IF(Y670="",0,IF(Y670=200,サマリー!$B$10,IF(Y670=100,サマリー!$B$11,0)))+IF(Z670="",0,Z670*サマリー!$B$12)</f>
        <v>0</v>
      </c>
      <c r="E670" s="26">
        <f t="shared" si="28"/>
        <v>0</v>
      </c>
      <c r="I670" s="29"/>
      <c r="J670" s="29"/>
      <c r="K670" s="29"/>
      <c r="L670" s="29"/>
      <c r="M670" s="29"/>
      <c r="N670" s="29"/>
      <c r="O670" s="29"/>
      <c r="P670" s="30"/>
      <c r="Q670" s="30"/>
      <c r="R670" s="30"/>
      <c r="S670" s="31"/>
      <c r="T670" s="31"/>
      <c r="U670" s="31"/>
      <c r="V670" s="31"/>
      <c r="W670" s="31"/>
      <c r="X670" s="32"/>
      <c r="Y670" s="32"/>
      <c r="Z670" s="32"/>
    </row>
    <row r="671" spans="1:26">
      <c r="A671" s="28"/>
      <c r="B671" s="17">
        <f t="shared" si="29"/>
        <v>46319</v>
      </c>
      <c r="C671" s="26">
        <f>I671+J671+K671+L671+M671+N671+O671+IF(P671="",0,P671*サマリー!$B$9)+IF(Q671="",0,IF(Q671=200,サマリー!$B$10,IF(Q671=100,サマリー!$B$11,0)))+IF(R671="",0,R671*サマリー!$B$12)</f>
        <v>0</v>
      </c>
      <c r="D671" s="26">
        <f>S671+T671+U671+V671+W671+IF(X671="",0,X671*サマリー!$B$9)+IF(Y671="",0,IF(Y671=200,サマリー!$B$10,IF(Y671=100,サマリー!$B$11,0)))+IF(Z671="",0,Z671*サマリー!$B$12)</f>
        <v>0</v>
      </c>
      <c r="E671" s="26">
        <f t="shared" si="28"/>
        <v>0</v>
      </c>
      <c r="I671" s="29"/>
      <c r="J671" s="29"/>
      <c r="K671" s="29"/>
      <c r="L671" s="29"/>
      <c r="M671" s="29"/>
      <c r="N671" s="29"/>
      <c r="O671" s="29"/>
      <c r="P671" s="30"/>
      <c r="Q671" s="30"/>
      <c r="R671" s="30"/>
      <c r="S671" s="31"/>
      <c r="T671" s="31"/>
      <c r="U671" s="31"/>
      <c r="V671" s="31"/>
      <c r="W671" s="31"/>
      <c r="X671" s="32"/>
      <c r="Y671" s="32"/>
      <c r="Z671" s="32"/>
    </row>
    <row r="672" spans="1:26">
      <c r="A672" s="28"/>
      <c r="B672" s="17">
        <f t="shared" si="29"/>
        <v>46319</v>
      </c>
      <c r="C672" s="26">
        <f>I672+J672+K672+L672+M672+N672+O672+IF(P672="",0,P672*サマリー!$B$9)+IF(Q672="",0,IF(Q672=200,サマリー!$B$10,IF(Q672=100,サマリー!$B$11,0)))+IF(R672="",0,R672*サマリー!$B$12)</f>
        <v>0</v>
      </c>
      <c r="D672" s="26">
        <f>S672+T672+U672+V672+W672+IF(X672="",0,X672*サマリー!$B$9)+IF(Y672="",0,IF(Y672=200,サマリー!$B$10,IF(Y672=100,サマリー!$B$11,0)))+IF(Z672="",0,Z672*サマリー!$B$12)</f>
        <v>0</v>
      </c>
      <c r="E672" s="26">
        <f t="shared" si="28"/>
        <v>0</v>
      </c>
      <c r="I672" s="29"/>
      <c r="J672" s="29"/>
      <c r="K672" s="29"/>
      <c r="L672" s="29"/>
      <c r="M672" s="29"/>
      <c r="N672" s="29"/>
      <c r="O672" s="29"/>
      <c r="P672" s="30"/>
      <c r="Q672" s="30"/>
      <c r="R672" s="30"/>
      <c r="S672" s="31"/>
      <c r="T672" s="31"/>
      <c r="U672" s="31"/>
      <c r="V672" s="31"/>
      <c r="W672" s="31"/>
      <c r="X672" s="32"/>
      <c r="Y672" s="32"/>
      <c r="Z672" s="32"/>
    </row>
    <row r="673" spans="1:26">
      <c r="A673" s="28"/>
      <c r="B673" s="17">
        <f t="shared" si="29"/>
        <v>46319</v>
      </c>
      <c r="C673" s="26">
        <f>I673+J673+K673+L673+M673+N673+O673+IF(P673="",0,P673*サマリー!$B$9)+IF(Q673="",0,IF(Q673=200,サマリー!$B$10,IF(Q673=100,サマリー!$B$11,0)))+IF(R673="",0,R673*サマリー!$B$12)</f>
        <v>0</v>
      </c>
      <c r="D673" s="26">
        <f>S673+T673+U673+V673+W673+IF(X673="",0,X673*サマリー!$B$9)+IF(Y673="",0,IF(Y673=200,サマリー!$B$10,IF(Y673=100,サマリー!$B$11,0)))+IF(Z673="",0,Z673*サマリー!$B$12)</f>
        <v>0</v>
      </c>
      <c r="E673" s="26">
        <f t="shared" si="28"/>
        <v>0</v>
      </c>
      <c r="I673" s="29"/>
      <c r="J673" s="29"/>
      <c r="K673" s="29"/>
      <c r="L673" s="29"/>
      <c r="M673" s="29"/>
      <c r="N673" s="29"/>
      <c r="O673" s="29"/>
      <c r="P673" s="30"/>
      <c r="Q673" s="30"/>
      <c r="R673" s="30"/>
      <c r="S673" s="31"/>
      <c r="T673" s="31"/>
      <c r="U673" s="31"/>
      <c r="V673" s="31"/>
      <c r="W673" s="31"/>
      <c r="X673" s="32"/>
      <c r="Y673" s="32"/>
      <c r="Z673" s="32"/>
    </row>
    <row r="674" spans="1:26">
      <c r="A674" s="28"/>
      <c r="B674" s="17">
        <f t="shared" si="29"/>
        <v>46319</v>
      </c>
      <c r="C674" s="26">
        <f>I674+J674+K674+L674+M674+N674+O674+IF(P674="",0,P674*サマリー!$B$9)+IF(Q674="",0,IF(Q674=200,サマリー!$B$10,IF(Q674=100,サマリー!$B$11,0)))+IF(R674="",0,R674*サマリー!$B$12)</f>
        <v>0</v>
      </c>
      <c r="D674" s="26">
        <f>S674+T674+U674+V674+W674+IF(X674="",0,X674*サマリー!$B$9)+IF(Y674="",0,IF(Y674=200,サマリー!$B$10,IF(Y674=100,サマリー!$B$11,0)))+IF(Z674="",0,Z674*サマリー!$B$12)</f>
        <v>0</v>
      </c>
      <c r="E674" s="26">
        <f t="shared" si="28"/>
        <v>0</v>
      </c>
      <c r="I674" s="29"/>
      <c r="J674" s="29"/>
      <c r="K674" s="29"/>
      <c r="L674" s="29"/>
      <c r="M674" s="29"/>
      <c r="N674" s="29"/>
      <c r="O674" s="29"/>
      <c r="P674" s="30"/>
      <c r="Q674" s="30"/>
      <c r="R674" s="30"/>
      <c r="S674" s="31"/>
      <c r="T674" s="31"/>
      <c r="U674" s="31"/>
      <c r="V674" s="31"/>
      <c r="W674" s="31"/>
      <c r="X674" s="32"/>
      <c r="Y674" s="32"/>
      <c r="Z674" s="32"/>
    </row>
    <row r="675" spans="1:26">
      <c r="A675" s="28"/>
      <c r="B675" s="17">
        <f t="shared" si="29"/>
        <v>46319</v>
      </c>
      <c r="C675" s="26">
        <f>I675+J675+K675+L675+M675+N675+O675+IF(P675="",0,P675*サマリー!$B$9)+IF(Q675="",0,IF(Q675=200,サマリー!$B$10,IF(Q675=100,サマリー!$B$11,0)))+IF(R675="",0,R675*サマリー!$B$12)</f>
        <v>0</v>
      </c>
      <c r="D675" s="26">
        <f>S675+T675+U675+V675+W675+IF(X675="",0,X675*サマリー!$B$9)+IF(Y675="",0,IF(Y675=200,サマリー!$B$10,IF(Y675=100,サマリー!$B$11,0)))+IF(Z675="",0,Z675*サマリー!$B$12)</f>
        <v>0</v>
      </c>
      <c r="E675" s="26">
        <f t="shared" ref="E675:E738" si="30">C675+D675</f>
        <v>0</v>
      </c>
      <c r="I675" s="29"/>
      <c r="J675" s="29"/>
      <c r="K675" s="29"/>
      <c r="L675" s="29"/>
      <c r="M675" s="29"/>
      <c r="N675" s="29"/>
      <c r="O675" s="29"/>
      <c r="P675" s="30"/>
      <c r="Q675" s="30"/>
      <c r="R675" s="30"/>
      <c r="S675" s="31"/>
      <c r="T675" s="31"/>
      <c r="U675" s="31"/>
      <c r="V675" s="31"/>
      <c r="W675" s="31"/>
      <c r="X675" s="32"/>
      <c r="Y675" s="32"/>
      <c r="Z675" s="32"/>
    </row>
    <row r="676" spans="1:26">
      <c r="A676" s="28"/>
      <c r="B676" s="17">
        <f t="shared" si="29"/>
        <v>46319</v>
      </c>
      <c r="C676" s="26">
        <f>I676+J676+K676+L676+M676+N676+O676+IF(P676="",0,P676*サマリー!$B$9)+IF(Q676="",0,IF(Q676=200,サマリー!$B$10,IF(Q676=100,サマリー!$B$11,0)))+IF(R676="",0,R676*サマリー!$B$12)</f>
        <v>0</v>
      </c>
      <c r="D676" s="26">
        <f>S676+T676+U676+V676+W676+IF(X676="",0,X676*サマリー!$B$9)+IF(Y676="",0,IF(Y676=200,サマリー!$B$10,IF(Y676=100,サマリー!$B$11,0)))+IF(Z676="",0,Z676*サマリー!$B$12)</f>
        <v>0</v>
      </c>
      <c r="E676" s="26">
        <f t="shared" si="30"/>
        <v>0</v>
      </c>
      <c r="I676" s="29"/>
      <c r="J676" s="29"/>
      <c r="K676" s="29"/>
      <c r="L676" s="29"/>
      <c r="M676" s="29"/>
      <c r="N676" s="29"/>
      <c r="O676" s="29"/>
      <c r="P676" s="30"/>
      <c r="Q676" s="30"/>
      <c r="R676" s="30"/>
      <c r="S676" s="31"/>
      <c r="T676" s="31"/>
      <c r="U676" s="31"/>
      <c r="V676" s="31"/>
      <c r="W676" s="31"/>
      <c r="X676" s="32"/>
      <c r="Y676" s="32"/>
      <c r="Z676" s="32"/>
    </row>
    <row r="677" spans="1:26">
      <c r="A677" s="28"/>
      <c r="B677" s="17">
        <f t="shared" si="29"/>
        <v>46319</v>
      </c>
      <c r="C677" s="26">
        <f>I677+J677+K677+L677+M677+N677+O677+IF(P677="",0,P677*サマリー!$B$9)+IF(Q677="",0,IF(Q677=200,サマリー!$B$10,IF(Q677=100,サマリー!$B$11,0)))+IF(R677="",0,R677*サマリー!$B$12)</f>
        <v>0</v>
      </c>
      <c r="D677" s="26">
        <f>S677+T677+U677+V677+W677+IF(X677="",0,X677*サマリー!$B$9)+IF(Y677="",0,IF(Y677=200,サマリー!$B$10,IF(Y677=100,サマリー!$B$11,0)))+IF(Z677="",0,Z677*サマリー!$B$12)</f>
        <v>0</v>
      </c>
      <c r="E677" s="26">
        <f t="shared" si="30"/>
        <v>0</v>
      </c>
      <c r="I677" s="29"/>
      <c r="J677" s="29"/>
      <c r="K677" s="29"/>
      <c r="L677" s="29"/>
      <c r="M677" s="29"/>
      <c r="N677" s="29"/>
      <c r="O677" s="29"/>
      <c r="P677" s="30"/>
      <c r="Q677" s="30"/>
      <c r="R677" s="30"/>
      <c r="S677" s="31"/>
      <c r="T677" s="31"/>
      <c r="U677" s="31"/>
      <c r="V677" s="31"/>
      <c r="W677" s="31"/>
      <c r="X677" s="32"/>
      <c r="Y677" s="32"/>
      <c r="Z677" s="32"/>
    </row>
    <row r="678" spans="1:26">
      <c r="A678" s="28"/>
      <c r="B678" s="17">
        <f t="shared" si="29"/>
        <v>46319</v>
      </c>
      <c r="C678" s="26">
        <f>I678+J678+K678+L678+M678+N678+O678+IF(P678="",0,P678*サマリー!$B$9)+IF(Q678="",0,IF(Q678=200,サマリー!$B$10,IF(Q678=100,サマリー!$B$11,0)))+IF(R678="",0,R678*サマリー!$B$12)</f>
        <v>0</v>
      </c>
      <c r="D678" s="26">
        <f>S678+T678+U678+V678+W678+IF(X678="",0,X678*サマリー!$B$9)+IF(Y678="",0,IF(Y678=200,サマリー!$B$10,IF(Y678=100,サマリー!$B$11,0)))+IF(Z678="",0,Z678*サマリー!$B$12)</f>
        <v>0</v>
      </c>
      <c r="E678" s="26">
        <f t="shared" si="30"/>
        <v>0</v>
      </c>
      <c r="I678" s="29"/>
      <c r="J678" s="29"/>
      <c r="K678" s="29"/>
      <c r="L678" s="29"/>
      <c r="M678" s="29"/>
      <c r="N678" s="29"/>
      <c r="O678" s="29"/>
      <c r="P678" s="30"/>
      <c r="Q678" s="30"/>
      <c r="R678" s="30"/>
      <c r="S678" s="31"/>
      <c r="T678" s="31"/>
      <c r="U678" s="31"/>
      <c r="V678" s="31"/>
      <c r="W678" s="31"/>
      <c r="X678" s="32"/>
      <c r="Y678" s="32"/>
      <c r="Z678" s="32"/>
    </row>
    <row r="679" spans="1:26">
      <c r="A679" s="28"/>
      <c r="B679" s="17">
        <f t="shared" si="29"/>
        <v>46319</v>
      </c>
      <c r="C679" s="26">
        <f>I679+J679+K679+L679+M679+N679+O679+IF(P679="",0,P679*サマリー!$B$9)+IF(Q679="",0,IF(Q679=200,サマリー!$B$10,IF(Q679=100,サマリー!$B$11,0)))+IF(R679="",0,R679*サマリー!$B$12)</f>
        <v>0</v>
      </c>
      <c r="D679" s="26">
        <f>S679+T679+U679+V679+W679+IF(X679="",0,X679*サマリー!$B$9)+IF(Y679="",0,IF(Y679=200,サマリー!$B$10,IF(Y679=100,サマリー!$B$11,0)))+IF(Z679="",0,Z679*サマリー!$B$12)</f>
        <v>0</v>
      </c>
      <c r="E679" s="26">
        <f t="shared" si="30"/>
        <v>0</v>
      </c>
      <c r="I679" s="29"/>
      <c r="J679" s="29"/>
      <c r="K679" s="29"/>
      <c r="L679" s="29"/>
      <c r="M679" s="29"/>
      <c r="N679" s="29"/>
      <c r="O679" s="29"/>
      <c r="P679" s="30"/>
      <c r="Q679" s="30"/>
      <c r="R679" s="30"/>
      <c r="S679" s="31"/>
      <c r="T679" s="31"/>
      <c r="U679" s="31"/>
      <c r="V679" s="31"/>
      <c r="W679" s="31"/>
      <c r="X679" s="32"/>
      <c r="Y679" s="32"/>
      <c r="Z679" s="32"/>
    </row>
    <row r="680" spans="1:26">
      <c r="A680" s="28"/>
      <c r="B680" s="17">
        <f t="shared" si="29"/>
        <v>46319</v>
      </c>
      <c r="C680" s="26">
        <f>I680+J680+K680+L680+M680+N680+O680+IF(P680="",0,P680*サマリー!$B$9)+IF(Q680="",0,IF(Q680=200,サマリー!$B$10,IF(Q680=100,サマリー!$B$11,0)))+IF(R680="",0,R680*サマリー!$B$12)</f>
        <v>0</v>
      </c>
      <c r="D680" s="26">
        <f>S680+T680+U680+V680+W680+IF(X680="",0,X680*サマリー!$B$9)+IF(Y680="",0,IF(Y680=200,サマリー!$B$10,IF(Y680=100,サマリー!$B$11,0)))+IF(Z680="",0,Z680*サマリー!$B$12)</f>
        <v>0</v>
      </c>
      <c r="E680" s="26">
        <f t="shared" si="30"/>
        <v>0</v>
      </c>
      <c r="I680" s="29"/>
      <c r="J680" s="29"/>
      <c r="K680" s="29"/>
      <c r="L680" s="29"/>
      <c r="M680" s="29"/>
      <c r="N680" s="29"/>
      <c r="O680" s="29"/>
      <c r="P680" s="30"/>
      <c r="Q680" s="30"/>
      <c r="R680" s="30"/>
      <c r="S680" s="31"/>
      <c r="T680" s="31"/>
      <c r="U680" s="31"/>
      <c r="V680" s="31"/>
      <c r="W680" s="31"/>
      <c r="X680" s="32"/>
      <c r="Y680" s="32"/>
      <c r="Z680" s="32"/>
    </row>
    <row r="681" spans="1:26">
      <c r="A681" s="28"/>
      <c r="B681" s="17">
        <f t="shared" si="29"/>
        <v>46319</v>
      </c>
      <c r="C681" s="26">
        <f>I681+J681+K681+L681+M681+N681+O681+IF(P681="",0,P681*サマリー!$B$9)+IF(Q681="",0,IF(Q681=200,サマリー!$B$10,IF(Q681=100,サマリー!$B$11,0)))+IF(R681="",0,R681*サマリー!$B$12)</f>
        <v>0</v>
      </c>
      <c r="D681" s="26">
        <f>S681+T681+U681+V681+W681+IF(X681="",0,X681*サマリー!$B$9)+IF(Y681="",0,IF(Y681=200,サマリー!$B$10,IF(Y681=100,サマリー!$B$11,0)))+IF(Z681="",0,Z681*サマリー!$B$12)</f>
        <v>0</v>
      </c>
      <c r="E681" s="26">
        <f t="shared" si="30"/>
        <v>0</v>
      </c>
      <c r="I681" s="29"/>
      <c r="J681" s="29"/>
      <c r="K681" s="29"/>
      <c r="L681" s="29"/>
      <c r="M681" s="29"/>
      <c r="N681" s="29"/>
      <c r="O681" s="29"/>
      <c r="P681" s="30"/>
      <c r="Q681" s="30"/>
      <c r="R681" s="30"/>
      <c r="S681" s="31"/>
      <c r="T681" s="31"/>
      <c r="U681" s="31"/>
      <c r="V681" s="31"/>
      <c r="W681" s="31"/>
      <c r="X681" s="32"/>
      <c r="Y681" s="32"/>
      <c r="Z681" s="32"/>
    </row>
    <row r="682" spans="1:26">
      <c r="A682" s="28"/>
      <c r="B682" s="17">
        <f t="shared" si="29"/>
        <v>46319</v>
      </c>
      <c r="C682" s="26">
        <f>I682+J682+K682+L682+M682+N682+O682+IF(P682="",0,P682*サマリー!$B$9)+IF(Q682="",0,IF(Q682=200,サマリー!$B$10,IF(Q682=100,サマリー!$B$11,0)))+IF(R682="",0,R682*サマリー!$B$12)</f>
        <v>0</v>
      </c>
      <c r="D682" s="26">
        <f>S682+T682+U682+V682+W682+IF(X682="",0,X682*サマリー!$B$9)+IF(Y682="",0,IF(Y682=200,サマリー!$B$10,IF(Y682=100,サマリー!$B$11,0)))+IF(Z682="",0,Z682*サマリー!$B$12)</f>
        <v>0</v>
      </c>
      <c r="E682" s="26">
        <f t="shared" si="30"/>
        <v>0</v>
      </c>
      <c r="I682" s="29"/>
      <c r="J682" s="29"/>
      <c r="K682" s="29"/>
      <c r="L682" s="29"/>
      <c r="M682" s="29"/>
      <c r="N682" s="29"/>
      <c r="O682" s="29"/>
      <c r="P682" s="30"/>
      <c r="Q682" s="30"/>
      <c r="R682" s="30"/>
      <c r="S682" s="31"/>
      <c r="T682" s="31"/>
      <c r="U682" s="31"/>
      <c r="V682" s="31"/>
      <c r="W682" s="31"/>
      <c r="X682" s="32"/>
      <c r="Y682" s="32"/>
      <c r="Z682" s="32"/>
    </row>
    <row r="683" spans="1:26">
      <c r="A683" s="28"/>
      <c r="B683" s="17">
        <f t="shared" si="29"/>
        <v>46319</v>
      </c>
      <c r="C683" s="26">
        <f>I683+J683+K683+L683+M683+N683+O683+IF(P683="",0,P683*サマリー!$B$9)+IF(Q683="",0,IF(Q683=200,サマリー!$B$10,IF(Q683=100,サマリー!$B$11,0)))+IF(R683="",0,R683*サマリー!$B$12)</f>
        <v>0</v>
      </c>
      <c r="D683" s="26">
        <f>S683+T683+U683+V683+W683+IF(X683="",0,X683*サマリー!$B$9)+IF(Y683="",0,IF(Y683=200,サマリー!$B$10,IF(Y683=100,サマリー!$B$11,0)))+IF(Z683="",0,Z683*サマリー!$B$12)</f>
        <v>0</v>
      </c>
      <c r="E683" s="26">
        <f t="shared" si="30"/>
        <v>0</v>
      </c>
      <c r="I683" s="29"/>
      <c r="J683" s="29"/>
      <c r="K683" s="29"/>
      <c r="L683" s="29"/>
      <c r="M683" s="29"/>
      <c r="N683" s="29"/>
      <c r="O683" s="29"/>
      <c r="P683" s="30"/>
      <c r="Q683" s="30"/>
      <c r="R683" s="30"/>
      <c r="S683" s="31"/>
      <c r="T683" s="31"/>
      <c r="U683" s="31"/>
      <c r="V683" s="31"/>
      <c r="W683" s="31"/>
      <c r="X683" s="32"/>
      <c r="Y683" s="32"/>
      <c r="Z683" s="32"/>
    </row>
    <row r="684" spans="1:26">
      <c r="A684" s="28"/>
      <c r="B684" s="17">
        <f t="shared" si="29"/>
        <v>46319</v>
      </c>
      <c r="C684" s="26">
        <f>I684+J684+K684+L684+M684+N684+O684+IF(P684="",0,P684*サマリー!$B$9)+IF(Q684="",0,IF(Q684=200,サマリー!$B$10,IF(Q684=100,サマリー!$B$11,0)))+IF(R684="",0,R684*サマリー!$B$12)</f>
        <v>0</v>
      </c>
      <c r="D684" s="26">
        <f>S684+T684+U684+V684+W684+IF(X684="",0,X684*サマリー!$B$9)+IF(Y684="",0,IF(Y684=200,サマリー!$B$10,IF(Y684=100,サマリー!$B$11,0)))+IF(Z684="",0,Z684*サマリー!$B$12)</f>
        <v>0</v>
      </c>
      <c r="E684" s="26">
        <f t="shared" si="30"/>
        <v>0</v>
      </c>
      <c r="I684" s="29"/>
      <c r="J684" s="29"/>
      <c r="K684" s="29"/>
      <c r="L684" s="29"/>
      <c r="M684" s="29"/>
      <c r="N684" s="29"/>
      <c r="O684" s="29"/>
      <c r="P684" s="30"/>
      <c r="Q684" s="30"/>
      <c r="R684" s="30"/>
      <c r="S684" s="31"/>
      <c r="T684" s="31"/>
      <c r="U684" s="31"/>
      <c r="V684" s="31"/>
      <c r="W684" s="31"/>
      <c r="X684" s="32"/>
      <c r="Y684" s="32"/>
      <c r="Z684" s="32"/>
    </row>
    <row r="685" spans="1:26">
      <c r="A685" s="28"/>
      <c r="B685" s="17">
        <f t="shared" si="29"/>
        <v>46319</v>
      </c>
      <c r="C685" s="26">
        <f>I685+J685+K685+L685+M685+N685+O685+IF(P685="",0,P685*サマリー!$B$9)+IF(Q685="",0,IF(Q685=200,サマリー!$B$10,IF(Q685=100,サマリー!$B$11,0)))+IF(R685="",0,R685*サマリー!$B$12)</f>
        <v>0</v>
      </c>
      <c r="D685" s="26">
        <f>S685+T685+U685+V685+W685+IF(X685="",0,X685*サマリー!$B$9)+IF(Y685="",0,IF(Y685=200,サマリー!$B$10,IF(Y685=100,サマリー!$B$11,0)))+IF(Z685="",0,Z685*サマリー!$B$12)</f>
        <v>0</v>
      </c>
      <c r="E685" s="26">
        <f t="shared" si="30"/>
        <v>0</v>
      </c>
      <c r="I685" s="29"/>
      <c r="J685" s="29"/>
      <c r="K685" s="29"/>
      <c r="L685" s="29"/>
      <c r="M685" s="29"/>
      <c r="N685" s="29"/>
      <c r="O685" s="29"/>
      <c r="P685" s="30"/>
      <c r="Q685" s="30"/>
      <c r="R685" s="30"/>
      <c r="S685" s="31"/>
      <c r="T685" s="31"/>
      <c r="U685" s="31"/>
      <c r="V685" s="31"/>
      <c r="W685" s="31"/>
      <c r="X685" s="32"/>
      <c r="Y685" s="32"/>
      <c r="Z685" s="32"/>
    </row>
    <row r="686" spans="1:26">
      <c r="A686" s="28"/>
      <c r="B686" s="17">
        <f t="shared" si="29"/>
        <v>46319</v>
      </c>
      <c r="C686" s="26">
        <f>I686+J686+K686+L686+M686+N686+O686+IF(P686="",0,P686*サマリー!$B$9)+IF(Q686="",0,IF(Q686=200,サマリー!$B$10,IF(Q686=100,サマリー!$B$11,0)))+IF(R686="",0,R686*サマリー!$B$12)</f>
        <v>0</v>
      </c>
      <c r="D686" s="26">
        <f>S686+T686+U686+V686+W686+IF(X686="",0,X686*サマリー!$B$9)+IF(Y686="",0,IF(Y686=200,サマリー!$B$10,IF(Y686=100,サマリー!$B$11,0)))+IF(Z686="",0,Z686*サマリー!$B$12)</f>
        <v>0</v>
      </c>
      <c r="E686" s="26">
        <f t="shared" si="30"/>
        <v>0</v>
      </c>
      <c r="I686" s="29"/>
      <c r="J686" s="29"/>
      <c r="K686" s="29"/>
      <c r="L686" s="29"/>
      <c r="M686" s="29"/>
      <c r="N686" s="29"/>
      <c r="O686" s="29"/>
      <c r="P686" s="30"/>
      <c r="Q686" s="30"/>
      <c r="R686" s="30"/>
      <c r="S686" s="31"/>
      <c r="T686" s="31"/>
      <c r="U686" s="31"/>
      <c r="V686" s="31"/>
      <c r="W686" s="31"/>
      <c r="X686" s="32"/>
      <c r="Y686" s="32"/>
      <c r="Z686" s="32"/>
    </row>
    <row r="687" spans="1:26">
      <c r="A687" s="28"/>
      <c r="B687" s="17">
        <f t="shared" si="29"/>
        <v>46319</v>
      </c>
      <c r="C687" s="26">
        <f>I687+J687+K687+L687+M687+N687+O687+IF(P687="",0,P687*サマリー!$B$9)+IF(Q687="",0,IF(Q687=200,サマリー!$B$10,IF(Q687=100,サマリー!$B$11,0)))+IF(R687="",0,R687*サマリー!$B$12)</f>
        <v>0</v>
      </c>
      <c r="D687" s="26">
        <f>S687+T687+U687+V687+W687+IF(X687="",0,X687*サマリー!$B$9)+IF(Y687="",0,IF(Y687=200,サマリー!$B$10,IF(Y687=100,サマリー!$B$11,0)))+IF(Z687="",0,Z687*サマリー!$B$12)</f>
        <v>0</v>
      </c>
      <c r="E687" s="26">
        <f t="shared" si="30"/>
        <v>0</v>
      </c>
      <c r="I687" s="29"/>
      <c r="J687" s="29"/>
      <c r="K687" s="29"/>
      <c r="L687" s="29"/>
      <c r="M687" s="29"/>
      <c r="N687" s="29"/>
      <c r="O687" s="29"/>
      <c r="P687" s="30"/>
      <c r="Q687" s="30"/>
      <c r="R687" s="30"/>
      <c r="S687" s="31"/>
      <c r="T687" s="31"/>
      <c r="U687" s="31"/>
      <c r="V687" s="31"/>
      <c r="W687" s="31"/>
      <c r="X687" s="32"/>
      <c r="Y687" s="32"/>
      <c r="Z687" s="32"/>
    </row>
    <row r="688" spans="1:26">
      <c r="A688" s="28"/>
      <c r="B688" s="17">
        <f t="shared" si="29"/>
        <v>46319</v>
      </c>
      <c r="C688" s="26">
        <f>I688+J688+K688+L688+M688+N688+O688+IF(P688="",0,P688*サマリー!$B$9)+IF(Q688="",0,IF(Q688=200,サマリー!$B$10,IF(Q688=100,サマリー!$B$11,0)))+IF(R688="",0,R688*サマリー!$B$12)</f>
        <v>0</v>
      </c>
      <c r="D688" s="26">
        <f>S688+T688+U688+V688+W688+IF(X688="",0,X688*サマリー!$B$9)+IF(Y688="",0,IF(Y688=200,サマリー!$B$10,IF(Y688=100,サマリー!$B$11,0)))+IF(Z688="",0,Z688*サマリー!$B$12)</f>
        <v>0</v>
      </c>
      <c r="E688" s="26">
        <f t="shared" si="30"/>
        <v>0</v>
      </c>
      <c r="I688" s="29"/>
      <c r="J688" s="29"/>
      <c r="K688" s="29"/>
      <c r="L688" s="29"/>
      <c r="M688" s="29"/>
      <c r="N688" s="29"/>
      <c r="O688" s="29"/>
      <c r="P688" s="30"/>
      <c r="Q688" s="30"/>
      <c r="R688" s="30"/>
      <c r="S688" s="31"/>
      <c r="T688" s="31"/>
      <c r="U688" s="31"/>
      <c r="V688" s="31"/>
      <c r="W688" s="31"/>
      <c r="X688" s="32"/>
      <c r="Y688" s="32"/>
      <c r="Z688" s="32"/>
    </row>
    <row r="689" spans="1:26">
      <c r="A689" s="28"/>
      <c r="B689" s="17">
        <f t="shared" si="29"/>
        <v>46319</v>
      </c>
      <c r="C689" s="26">
        <f>I689+J689+K689+L689+M689+N689+O689+IF(P689="",0,P689*サマリー!$B$9)+IF(Q689="",0,IF(Q689=200,サマリー!$B$10,IF(Q689=100,サマリー!$B$11,0)))+IF(R689="",0,R689*サマリー!$B$12)</f>
        <v>0</v>
      </c>
      <c r="D689" s="26">
        <f>S689+T689+U689+V689+W689+IF(X689="",0,X689*サマリー!$B$9)+IF(Y689="",0,IF(Y689=200,サマリー!$B$10,IF(Y689=100,サマリー!$B$11,0)))+IF(Z689="",0,Z689*サマリー!$B$12)</f>
        <v>0</v>
      </c>
      <c r="E689" s="26">
        <f t="shared" si="30"/>
        <v>0</v>
      </c>
      <c r="I689" s="29"/>
      <c r="J689" s="29"/>
      <c r="K689" s="29"/>
      <c r="L689" s="29"/>
      <c r="M689" s="29"/>
      <c r="N689" s="29"/>
      <c r="O689" s="29"/>
      <c r="P689" s="30"/>
      <c r="Q689" s="30"/>
      <c r="R689" s="30"/>
      <c r="S689" s="31"/>
      <c r="T689" s="31"/>
      <c r="U689" s="31"/>
      <c r="V689" s="31"/>
      <c r="W689" s="31"/>
      <c r="X689" s="32"/>
      <c r="Y689" s="32"/>
      <c r="Z689" s="32"/>
    </row>
    <row r="690" spans="1:26">
      <c r="A690" s="28"/>
      <c r="B690" s="17">
        <f t="shared" si="29"/>
        <v>46319</v>
      </c>
      <c r="C690" s="26">
        <f>I690+J690+K690+L690+M690+N690+O690+IF(P690="",0,P690*サマリー!$B$9)+IF(Q690="",0,IF(Q690=200,サマリー!$B$10,IF(Q690=100,サマリー!$B$11,0)))+IF(R690="",0,R690*サマリー!$B$12)</f>
        <v>0</v>
      </c>
      <c r="D690" s="26">
        <f>S690+T690+U690+V690+W690+IF(X690="",0,X690*サマリー!$B$9)+IF(Y690="",0,IF(Y690=200,サマリー!$B$10,IF(Y690=100,サマリー!$B$11,0)))+IF(Z690="",0,Z690*サマリー!$B$12)</f>
        <v>0</v>
      </c>
      <c r="E690" s="26">
        <f t="shared" si="30"/>
        <v>0</v>
      </c>
      <c r="I690" s="29"/>
      <c r="J690" s="29"/>
      <c r="K690" s="29"/>
      <c r="L690" s="29"/>
      <c r="M690" s="29"/>
      <c r="N690" s="29"/>
      <c r="O690" s="29"/>
      <c r="P690" s="30"/>
      <c r="Q690" s="30"/>
      <c r="R690" s="30"/>
      <c r="S690" s="31"/>
      <c r="T690" s="31"/>
      <c r="U690" s="31"/>
      <c r="V690" s="31"/>
      <c r="W690" s="31"/>
      <c r="X690" s="32"/>
      <c r="Y690" s="32"/>
      <c r="Z690" s="32"/>
    </row>
    <row r="691" spans="1:26">
      <c r="A691" s="28"/>
      <c r="B691" s="17">
        <f t="shared" si="29"/>
        <v>46319</v>
      </c>
      <c r="C691" s="26">
        <f>I691+J691+K691+L691+M691+N691+O691+IF(P691="",0,P691*サマリー!$B$9)+IF(Q691="",0,IF(Q691=200,サマリー!$B$10,IF(Q691=100,サマリー!$B$11,0)))+IF(R691="",0,R691*サマリー!$B$12)</f>
        <v>0</v>
      </c>
      <c r="D691" s="26">
        <f>S691+T691+U691+V691+W691+IF(X691="",0,X691*サマリー!$B$9)+IF(Y691="",0,IF(Y691=200,サマリー!$B$10,IF(Y691=100,サマリー!$B$11,0)))+IF(Z691="",0,Z691*サマリー!$B$12)</f>
        <v>0</v>
      </c>
      <c r="E691" s="26">
        <f t="shared" si="30"/>
        <v>0</v>
      </c>
      <c r="I691" s="29"/>
      <c r="J691" s="29"/>
      <c r="K691" s="29"/>
      <c r="L691" s="29"/>
      <c r="M691" s="29"/>
      <c r="N691" s="29"/>
      <c r="O691" s="29"/>
      <c r="P691" s="30"/>
      <c r="Q691" s="30"/>
      <c r="R691" s="30"/>
      <c r="S691" s="31"/>
      <c r="T691" s="31"/>
      <c r="U691" s="31"/>
      <c r="V691" s="31"/>
      <c r="W691" s="31"/>
      <c r="X691" s="32"/>
      <c r="Y691" s="32"/>
      <c r="Z691" s="32"/>
    </row>
    <row r="692" spans="1:26">
      <c r="A692" s="28"/>
      <c r="B692" s="17">
        <f t="shared" si="29"/>
        <v>46319</v>
      </c>
      <c r="C692" s="26">
        <f>I692+J692+K692+L692+M692+N692+O692+IF(P692="",0,P692*サマリー!$B$9)+IF(Q692="",0,IF(Q692=200,サマリー!$B$10,IF(Q692=100,サマリー!$B$11,0)))+IF(R692="",0,R692*サマリー!$B$12)</f>
        <v>0</v>
      </c>
      <c r="D692" s="26">
        <f>S692+T692+U692+V692+W692+IF(X692="",0,X692*サマリー!$B$9)+IF(Y692="",0,IF(Y692=200,サマリー!$B$10,IF(Y692=100,サマリー!$B$11,0)))+IF(Z692="",0,Z692*サマリー!$B$12)</f>
        <v>0</v>
      </c>
      <c r="E692" s="26">
        <f t="shared" si="30"/>
        <v>0</v>
      </c>
      <c r="I692" s="29"/>
      <c r="J692" s="29"/>
      <c r="K692" s="29"/>
      <c r="L692" s="29"/>
      <c r="M692" s="29"/>
      <c r="N692" s="29"/>
      <c r="O692" s="29"/>
      <c r="P692" s="30"/>
      <c r="Q692" s="30"/>
      <c r="R692" s="30"/>
      <c r="S692" s="31"/>
      <c r="T692" s="31"/>
      <c r="U692" s="31"/>
      <c r="V692" s="31"/>
      <c r="W692" s="31"/>
      <c r="X692" s="32"/>
      <c r="Y692" s="32"/>
      <c r="Z692" s="32"/>
    </row>
    <row r="693" spans="1:26">
      <c r="A693" s="28"/>
      <c r="B693" s="17">
        <f t="shared" si="29"/>
        <v>46319</v>
      </c>
      <c r="C693" s="26">
        <f>I693+J693+K693+L693+M693+N693+O693+IF(P693="",0,P693*サマリー!$B$9)+IF(Q693="",0,IF(Q693=200,サマリー!$B$10,IF(Q693=100,サマリー!$B$11,0)))+IF(R693="",0,R693*サマリー!$B$12)</f>
        <v>0</v>
      </c>
      <c r="D693" s="26">
        <f>S693+T693+U693+V693+W693+IF(X693="",0,X693*サマリー!$B$9)+IF(Y693="",0,IF(Y693=200,サマリー!$B$10,IF(Y693=100,サマリー!$B$11,0)))+IF(Z693="",0,Z693*サマリー!$B$12)</f>
        <v>0</v>
      </c>
      <c r="E693" s="26">
        <f t="shared" si="30"/>
        <v>0</v>
      </c>
      <c r="I693" s="29"/>
      <c r="J693" s="29"/>
      <c r="K693" s="29"/>
      <c r="L693" s="29"/>
      <c r="M693" s="29"/>
      <c r="N693" s="29"/>
      <c r="O693" s="29"/>
      <c r="P693" s="30"/>
      <c r="Q693" s="30"/>
      <c r="R693" s="30"/>
      <c r="S693" s="31"/>
      <c r="T693" s="31"/>
      <c r="U693" s="31"/>
      <c r="V693" s="31"/>
      <c r="W693" s="31"/>
      <c r="X693" s="32"/>
      <c r="Y693" s="32"/>
      <c r="Z693" s="32"/>
    </row>
    <row r="694" spans="1:26">
      <c r="A694" s="28"/>
      <c r="B694" s="17">
        <f t="shared" si="29"/>
        <v>46319</v>
      </c>
      <c r="C694" s="26">
        <f>I694+J694+K694+L694+M694+N694+O694+IF(P694="",0,P694*サマリー!$B$9)+IF(Q694="",0,IF(Q694=200,サマリー!$B$10,IF(Q694=100,サマリー!$B$11,0)))+IF(R694="",0,R694*サマリー!$B$12)</f>
        <v>0</v>
      </c>
      <c r="D694" s="26">
        <f>S694+T694+U694+V694+W694+IF(X694="",0,X694*サマリー!$B$9)+IF(Y694="",0,IF(Y694=200,サマリー!$B$10,IF(Y694=100,サマリー!$B$11,0)))+IF(Z694="",0,Z694*サマリー!$B$12)</f>
        <v>0</v>
      </c>
      <c r="E694" s="26">
        <f t="shared" si="30"/>
        <v>0</v>
      </c>
      <c r="I694" s="29"/>
      <c r="J694" s="29"/>
      <c r="K694" s="29"/>
      <c r="L694" s="29"/>
      <c r="M694" s="29"/>
      <c r="N694" s="29"/>
      <c r="O694" s="29"/>
      <c r="P694" s="30"/>
      <c r="Q694" s="30"/>
      <c r="R694" s="30"/>
      <c r="S694" s="31"/>
      <c r="T694" s="31"/>
      <c r="U694" s="31"/>
      <c r="V694" s="31"/>
      <c r="W694" s="31"/>
      <c r="X694" s="32"/>
      <c r="Y694" s="32"/>
      <c r="Z694" s="32"/>
    </row>
    <row r="695" spans="1:26">
      <c r="A695" s="28"/>
      <c r="B695" s="17">
        <f t="shared" si="29"/>
        <v>46319</v>
      </c>
      <c r="C695" s="26">
        <f>I695+J695+K695+L695+M695+N695+O695+IF(P695="",0,P695*サマリー!$B$9)+IF(Q695="",0,IF(Q695=200,サマリー!$B$10,IF(Q695=100,サマリー!$B$11,0)))+IF(R695="",0,R695*サマリー!$B$12)</f>
        <v>0</v>
      </c>
      <c r="D695" s="26">
        <f>S695+T695+U695+V695+W695+IF(X695="",0,X695*サマリー!$B$9)+IF(Y695="",0,IF(Y695=200,サマリー!$B$10,IF(Y695=100,サマリー!$B$11,0)))+IF(Z695="",0,Z695*サマリー!$B$12)</f>
        <v>0</v>
      </c>
      <c r="E695" s="26">
        <f t="shared" si="30"/>
        <v>0</v>
      </c>
      <c r="I695" s="29"/>
      <c r="J695" s="29"/>
      <c r="K695" s="29"/>
      <c r="L695" s="29"/>
      <c r="M695" s="29"/>
      <c r="N695" s="29"/>
      <c r="O695" s="29"/>
      <c r="P695" s="30"/>
      <c r="Q695" s="30"/>
      <c r="R695" s="30"/>
      <c r="S695" s="31"/>
      <c r="T695" s="31"/>
      <c r="U695" s="31"/>
      <c r="V695" s="31"/>
      <c r="W695" s="31"/>
      <c r="X695" s="32"/>
      <c r="Y695" s="32"/>
      <c r="Z695" s="32"/>
    </row>
    <row r="696" spans="1:26">
      <c r="A696" s="28"/>
      <c r="B696" s="17">
        <f t="shared" si="29"/>
        <v>46319</v>
      </c>
      <c r="C696" s="26">
        <f>I696+J696+K696+L696+M696+N696+O696+IF(P696="",0,P696*サマリー!$B$9)+IF(Q696="",0,IF(Q696=200,サマリー!$B$10,IF(Q696=100,サマリー!$B$11,0)))+IF(R696="",0,R696*サマリー!$B$12)</f>
        <v>0</v>
      </c>
      <c r="D696" s="26">
        <f>S696+T696+U696+V696+W696+IF(X696="",0,X696*サマリー!$B$9)+IF(Y696="",0,IF(Y696=200,サマリー!$B$10,IF(Y696=100,サマリー!$B$11,0)))+IF(Z696="",0,Z696*サマリー!$B$12)</f>
        <v>0</v>
      </c>
      <c r="E696" s="26">
        <f t="shared" si="30"/>
        <v>0</v>
      </c>
      <c r="I696" s="29"/>
      <c r="J696" s="29"/>
      <c r="K696" s="29"/>
      <c r="L696" s="29"/>
      <c r="M696" s="29"/>
      <c r="N696" s="29"/>
      <c r="O696" s="29"/>
      <c r="P696" s="30"/>
      <c r="Q696" s="30"/>
      <c r="R696" s="30"/>
      <c r="S696" s="31"/>
      <c r="T696" s="31"/>
      <c r="U696" s="31"/>
      <c r="V696" s="31"/>
      <c r="W696" s="31"/>
      <c r="X696" s="32"/>
      <c r="Y696" s="32"/>
      <c r="Z696" s="32"/>
    </row>
    <row r="697" spans="1:26">
      <c r="A697" s="28"/>
      <c r="B697" s="17">
        <f t="shared" si="29"/>
        <v>46319</v>
      </c>
      <c r="C697" s="26">
        <f>I697+J697+K697+L697+M697+N697+O697+IF(P697="",0,P697*サマリー!$B$9)+IF(Q697="",0,IF(Q697=200,サマリー!$B$10,IF(Q697=100,サマリー!$B$11,0)))+IF(R697="",0,R697*サマリー!$B$12)</f>
        <v>0</v>
      </c>
      <c r="D697" s="26">
        <f>S697+T697+U697+V697+W697+IF(X697="",0,X697*サマリー!$B$9)+IF(Y697="",0,IF(Y697=200,サマリー!$B$10,IF(Y697=100,サマリー!$B$11,0)))+IF(Z697="",0,Z697*サマリー!$B$12)</f>
        <v>0</v>
      </c>
      <c r="E697" s="26">
        <f t="shared" si="30"/>
        <v>0</v>
      </c>
      <c r="I697" s="29"/>
      <c r="J697" s="29"/>
      <c r="K697" s="29"/>
      <c r="L697" s="29"/>
      <c r="M697" s="29"/>
      <c r="N697" s="29"/>
      <c r="O697" s="29"/>
      <c r="P697" s="30"/>
      <c r="Q697" s="30"/>
      <c r="R697" s="30"/>
      <c r="S697" s="31"/>
      <c r="T697" s="31"/>
      <c r="U697" s="31"/>
      <c r="V697" s="31"/>
      <c r="W697" s="31"/>
      <c r="X697" s="32"/>
      <c r="Y697" s="32"/>
      <c r="Z697" s="32"/>
    </row>
    <row r="698" spans="1:26">
      <c r="A698" s="28"/>
      <c r="B698" s="17">
        <f t="shared" si="29"/>
        <v>46319</v>
      </c>
      <c r="C698" s="26">
        <f>I698+J698+K698+L698+M698+N698+O698+IF(P698="",0,P698*サマリー!$B$9)+IF(Q698="",0,IF(Q698=200,サマリー!$B$10,IF(Q698=100,サマリー!$B$11,0)))+IF(R698="",0,R698*サマリー!$B$12)</f>
        <v>0</v>
      </c>
      <c r="D698" s="26">
        <f>S698+T698+U698+V698+W698+IF(X698="",0,X698*サマリー!$B$9)+IF(Y698="",0,IF(Y698=200,サマリー!$B$10,IF(Y698=100,サマリー!$B$11,0)))+IF(Z698="",0,Z698*サマリー!$B$12)</f>
        <v>0</v>
      </c>
      <c r="E698" s="26">
        <f t="shared" si="30"/>
        <v>0</v>
      </c>
      <c r="I698" s="29"/>
      <c r="J698" s="29"/>
      <c r="K698" s="29"/>
      <c r="L698" s="29"/>
      <c r="M698" s="29"/>
      <c r="N698" s="29"/>
      <c r="O698" s="29"/>
      <c r="P698" s="30"/>
      <c r="Q698" s="30"/>
      <c r="R698" s="30"/>
      <c r="S698" s="31"/>
      <c r="T698" s="31"/>
      <c r="U698" s="31"/>
      <c r="V698" s="31"/>
      <c r="W698" s="31"/>
      <c r="X698" s="32"/>
      <c r="Y698" s="32"/>
      <c r="Z698" s="32"/>
    </row>
    <row r="699" spans="1:26">
      <c r="A699" s="28"/>
      <c r="B699" s="17">
        <f t="shared" si="29"/>
        <v>46319</v>
      </c>
      <c r="C699" s="26">
        <f>I699+J699+K699+L699+M699+N699+O699+IF(P699="",0,P699*サマリー!$B$9)+IF(Q699="",0,IF(Q699=200,サマリー!$B$10,IF(Q699=100,サマリー!$B$11,0)))+IF(R699="",0,R699*サマリー!$B$12)</f>
        <v>0</v>
      </c>
      <c r="D699" s="26">
        <f>S699+T699+U699+V699+W699+IF(X699="",0,X699*サマリー!$B$9)+IF(Y699="",0,IF(Y699=200,サマリー!$B$10,IF(Y699=100,サマリー!$B$11,0)))+IF(Z699="",0,Z699*サマリー!$B$12)</f>
        <v>0</v>
      </c>
      <c r="E699" s="26">
        <f t="shared" si="30"/>
        <v>0</v>
      </c>
      <c r="I699" s="29"/>
      <c r="J699" s="29"/>
      <c r="K699" s="29"/>
      <c r="L699" s="29"/>
      <c r="M699" s="29"/>
      <c r="N699" s="29"/>
      <c r="O699" s="29"/>
      <c r="P699" s="30"/>
      <c r="Q699" s="30"/>
      <c r="R699" s="30"/>
      <c r="S699" s="31"/>
      <c r="T699" s="31"/>
      <c r="U699" s="31"/>
      <c r="V699" s="31"/>
      <c r="W699" s="31"/>
      <c r="X699" s="32"/>
      <c r="Y699" s="32"/>
      <c r="Z699" s="32"/>
    </row>
    <row r="700" spans="1:26">
      <c r="A700" s="28"/>
      <c r="B700" s="17">
        <f t="shared" si="29"/>
        <v>46319</v>
      </c>
      <c r="C700" s="26">
        <f>I700+J700+K700+L700+M700+N700+O700+IF(P700="",0,P700*サマリー!$B$9)+IF(Q700="",0,IF(Q700=200,サマリー!$B$10,IF(Q700=100,サマリー!$B$11,0)))+IF(R700="",0,R700*サマリー!$B$12)</f>
        <v>0</v>
      </c>
      <c r="D700" s="26">
        <f>S700+T700+U700+V700+W700+IF(X700="",0,X700*サマリー!$B$9)+IF(Y700="",0,IF(Y700=200,サマリー!$B$10,IF(Y700=100,サマリー!$B$11,0)))+IF(Z700="",0,Z700*サマリー!$B$12)</f>
        <v>0</v>
      </c>
      <c r="E700" s="26">
        <f t="shared" si="30"/>
        <v>0</v>
      </c>
      <c r="I700" s="29"/>
      <c r="J700" s="29"/>
      <c r="K700" s="29"/>
      <c r="L700" s="29"/>
      <c r="M700" s="29"/>
      <c r="N700" s="29"/>
      <c r="O700" s="29"/>
      <c r="P700" s="30"/>
      <c r="Q700" s="30"/>
      <c r="R700" s="30"/>
      <c r="S700" s="31"/>
      <c r="T700" s="31"/>
      <c r="U700" s="31"/>
      <c r="V700" s="31"/>
      <c r="W700" s="31"/>
      <c r="X700" s="32"/>
      <c r="Y700" s="32"/>
      <c r="Z700" s="32"/>
    </row>
    <row r="701" spans="1:26">
      <c r="A701" s="28"/>
      <c r="B701" s="17">
        <f t="shared" si="29"/>
        <v>46319</v>
      </c>
      <c r="C701" s="26">
        <f>I701+J701+K701+L701+M701+N701+O701+IF(P701="",0,P701*サマリー!$B$9)+IF(Q701="",0,IF(Q701=200,サマリー!$B$10,IF(Q701=100,サマリー!$B$11,0)))+IF(R701="",0,R701*サマリー!$B$12)</f>
        <v>0</v>
      </c>
      <c r="D701" s="26">
        <f>S701+T701+U701+V701+W701+IF(X701="",0,X701*サマリー!$B$9)+IF(Y701="",0,IF(Y701=200,サマリー!$B$10,IF(Y701=100,サマリー!$B$11,0)))+IF(Z701="",0,Z701*サマリー!$B$12)</f>
        <v>0</v>
      </c>
      <c r="E701" s="26">
        <f t="shared" si="30"/>
        <v>0</v>
      </c>
      <c r="I701" s="29"/>
      <c r="J701" s="29"/>
      <c r="K701" s="29"/>
      <c r="L701" s="29"/>
      <c r="M701" s="29"/>
      <c r="N701" s="29"/>
      <c r="O701" s="29"/>
      <c r="P701" s="30"/>
      <c r="Q701" s="30"/>
      <c r="R701" s="30"/>
      <c r="S701" s="31"/>
      <c r="T701" s="31"/>
      <c r="U701" s="31"/>
      <c r="V701" s="31"/>
      <c r="W701" s="31"/>
      <c r="X701" s="32"/>
      <c r="Y701" s="32"/>
      <c r="Z701" s="32"/>
    </row>
    <row r="702" spans="1:26">
      <c r="A702" s="28"/>
      <c r="B702" s="17">
        <f t="shared" si="29"/>
        <v>46319</v>
      </c>
      <c r="C702" s="26">
        <f>I702+J702+K702+L702+M702+N702+O702+IF(P702="",0,P702*サマリー!$B$9)+IF(Q702="",0,IF(Q702=200,サマリー!$B$10,IF(Q702=100,サマリー!$B$11,0)))+IF(R702="",0,R702*サマリー!$B$12)</f>
        <v>0</v>
      </c>
      <c r="D702" s="26">
        <f>S702+T702+U702+V702+W702+IF(X702="",0,X702*サマリー!$B$9)+IF(Y702="",0,IF(Y702=200,サマリー!$B$10,IF(Y702=100,サマリー!$B$11,0)))+IF(Z702="",0,Z702*サマリー!$B$12)</f>
        <v>0</v>
      </c>
      <c r="E702" s="26">
        <f t="shared" si="30"/>
        <v>0</v>
      </c>
      <c r="I702" s="29"/>
      <c r="J702" s="29"/>
      <c r="K702" s="29"/>
      <c r="L702" s="29"/>
      <c r="M702" s="29"/>
      <c r="N702" s="29"/>
      <c r="O702" s="29"/>
      <c r="P702" s="30"/>
      <c r="Q702" s="30"/>
      <c r="R702" s="30"/>
      <c r="S702" s="31"/>
      <c r="T702" s="31"/>
      <c r="U702" s="31"/>
      <c r="V702" s="31"/>
      <c r="W702" s="31"/>
      <c r="X702" s="32"/>
      <c r="Y702" s="32"/>
      <c r="Z702" s="32"/>
    </row>
    <row r="703" spans="1:26">
      <c r="A703" s="28"/>
      <c r="B703" s="17">
        <f t="shared" si="29"/>
        <v>46319</v>
      </c>
      <c r="C703" s="26">
        <f>I703+J703+K703+L703+M703+N703+O703+IF(P703="",0,P703*サマリー!$B$9)+IF(Q703="",0,IF(Q703=200,サマリー!$B$10,IF(Q703=100,サマリー!$B$11,0)))+IF(R703="",0,R703*サマリー!$B$12)</f>
        <v>0</v>
      </c>
      <c r="D703" s="26">
        <f>S703+T703+U703+V703+W703+IF(X703="",0,X703*サマリー!$B$9)+IF(Y703="",0,IF(Y703=200,サマリー!$B$10,IF(Y703=100,サマリー!$B$11,0)))+IF(Z703="",0,Z703*サマリー!$B$12)</f>
        <v>0</v>
      </c>
      <c r="E703" s="26">
        <f t="shared" si="30"/>
        <v>0</v>
      </c>
      <c r="I703" s="29"/>
      <c r="J703" s="29"/>
      <c r="K703" s="29"/>
      <c r="L703" s="29"/>
      <c r="M703" s="29"/>
      <c r="N703" s="29"/>
      <c r="O703" s="29"/>
      <c r="P703" s="30"/>
      <c r="Q703" s="30"/>
      <c r="R703" s="30"/>
      <c r="S703" s="31"/>
      <c r="T703" s="31"/>
      <c r="U703" s="31"/>
      <c r="V703" s="31"/>
      <c r="W703" s="31"/>
      <c r="X703" s="32"/>
      <c r="Y703" s="32"/>
      <c r="Z703" s="32"/>
    </row>
    <row r="704" spans="1:26">
      <c r="A704" s="28"/>
      <c r="B704" s="17">
        <f t="shared" si="29"/>
        <v>46319</v>
      </c>
      <c r="C704" s="26">
        <f>I704+J704+K704+L704+M704+N704+O704+IF(P704="",0,P704*サマリー!$B$9)+IF(Q704="",0,IF(Q704=200,サマリー!$B$10,IF(Q704=100,サマリー!$B$11,0)))+IF(R704="",0,R704*サマリー!$B$12)</f>
        <v>0</v>
      </c>
      <c r="D704" s="26">
        <f>S704+T704+U704+V704+W704+IF(X704="",0,X704*サマリー!$B$9)+IF(Y704="",0,IF(Y704=200,サマリー!$B$10,IF(Y704=100,サマリー!$B$11,0)))+IF(Z704="",0,Z704*サマリー!$B$12)</f>
        <v>0</v>
      </c>
      <c r="E704" s="26">
        <f t="shared" si="30"/>
        <v>0</v>
      </c>
      <c r="I704" s="29"/>
      <c r="J704" s="29"/>
      <c r="K704" s="29"/>
      <c r="L704" s="29"/>
      <c r="M704" s="29"/>
      <c r="N704" s="29"/>
      <c r="O704" s="29"/>
      <c r="P704" s="30"/>
      <c r="Q704" s="30"/>
      <c r="R704" s="30"/>
      <c r="S704" s="31"/>
      <c r="T704" s="31"/>
      <c r="U704" s="31"/>
      <c r="V704" s="31"/>
      <c r="W704" s="31"/>
      <c r="X704" s="32"/>
      <c r="Y704" s="32"/>
      <c r="Z704" s="32"/>
    </row>
    <row r="705" spans="1:26">
      <c r="A705" s="28"/>
      <c r="B705" s="17">
        <f t="shared" ref="B705:B768" si="31">IF(A705="",B704,IF(A705&lt;DAY(B704),DATE(YEAR(B704),MONTH(B704)+1,A705),DATE(YEAR(B704),MONTH(B704),A705)))</f>
        <v>46319</v>
      </c>
      <c r="C705" s="26">
        <f>I705+J705+K705+L705+M705+N705+O705+IF(P705="",0,P705*サマリー!$B$9)+IF(Q705="",0,IF(Q705=200,サマリー!$B$10,IF(Q705=100,サマリー!$B$11,0)))+IF(R705="",0,R705*サマリー!$B$12)</f>
        <v>0</v>
      </c>
      <c r="D705" s="26">
        <f>S705+T705+U705+V705+W705+IF(X705="",0,X705*サマリー!$B$9)+IF(Y705="",0,IF(Y705=200,サマリー!$B$10,IF(Y705=100,サマリー!$B$11,0)))+IF(Z705="",0,Z705*サマリー!$B$12)</f>
        <v>0</v>
      </c>
      <c r="E705" s="26">
        <f t="shared" si="30"/>
        <v>0</v>
      </c>
      <c r="I705" s="29"/>
      <c r="J705" s="29"/>
      <c r="K705" s="29"/>
      <c r="L705" s="29"/>
      <c r="M705" s="29"/>
      <c r="N705" s="29"/>
      <c r="O705" s="29"/>
      <c r="P705" s="30"/>
      <c r="Q705" s="30"/>
      <c r="R705" s="30"/>
      <c r="S705" s="31"/>
      <c r="T705" s="31"/>
      <c r="U705" s="31"/>
      <c r="V705" s="31"/>
      <c r="W705" s="31"/>
      <c r="X705" s="32"/>
      <c r="Y705" s="32"/>
      <c r="Z705" s="32"/>
    </row>
    <row r="706" spans="1:26">
      <c r="A706" s="28"/>
      <c r="B706" s="17">
        <f t="shared" si="31"/>
        <v>46319</v>
      </c>
      <c r="C706" s="26">
        <f>I706+J706+K706+L706+M706+N706+O706+IF(P706="",0,P706*サマリー!$B$9)+IF(Q706="",0,IF(Q706=200,サマリー!$B$10,IF(Q706=100,サマリー!$B$11,0)))+IF(R706="",0,R706*サマリー!$B$12)</f>
        <v>0</v>
      </c>
      <c r="D706" s="26">
        <f>S706+T706+U706+V706+W706+IF(X706="",0,X706*サマリー!$B$9)+IF(Y706="",0,IF(Y706=200,サマリー!$B$10,IF(Y706=100,サマリー!$B$11,0)))+IF(Z706="",0,Z706*サマリー!$B$12)</f>
        <v>0</v>
      </c>
      <c r="E706" s="26">
        <f t="shared" si="30"/>
        <v>0</v>
      </c>
      <c r="I706" s="29"/>
      <c r="J706" s="29"/>
      <c r="K706" s="29"/>
      <c r="L706" s="29"/>
      <c r="M706" s="29"/>
      <c r="N706" s="29"/>
      <c r="O706" s="29"/>
      <c r="P706" s="30"/>
      <c r="Q706" s="30"/>
      <c r="R706" s="30"/>
      <c r="S706" s="31"/>
      <c r="T706" s="31"/>
      <c r="U706" s="31"/>
      <c r="V706" s="31"/>
      <c r="W706" s="31"/>
      <c r="X706" s="32"/>
      <c r="Y706" s="32"/>
      <c r="Z706" s="32"/>
    </row>
    <row r="707" spans="1:26">
      <c r="A707" s="28"/>
      <c r="B707" s="17">
        <f t="shared" si="31"/>
        <v>46319</v>
      </c>
      <c r="C707" s="26">
        <f>I707+J707+K707+L707+M707+N707+O707+IF(P707="",0,P707*サマリー!$B$9)+IF(Q707="",0,IF(Q707=200,サマリー!$B$10,IF(Q707=100,サマリー!$B$11,0)))+IF(R707="",0,R707*サマリー!$B$12)</f>
        <v>0</v>
      </c>
      <c r="D707" s="26">
        <f>S707+T707+U707+V707+W707+IF(X707="",0,X707*サマリー!$B$9)+IF(Y707="",0,IF(Y707=200,サマリー!$B$10,IF(Y707=100,サマリー!$B$11,0)))+IF(Z707="",0,Z707*サマリー!$B$12)</f>
        <v>0</v>
      </c>
      <c r="E707" s="26">
        <f t="shared" si="30"/>
        <v>0</v>
      </c>
      <c r="I707" s="29"/>
      <c r="J707" s="29"/>
      <c r="K707" s="29"/>
      <c r="L707" s="29"/>
      <c r="M707" s="29"/>
      <c r="N707" s="29"/>
      <c r="O707" s="29"/>
      <c r="P707" s="30"/>
      <c r="Q707" s="30"/>
      <c r="R707" s="30"/>
      <c r="S707" s="31"/>
      <c r="T707" s="31"/>
      <c r="U707" s="31"/>
      <c r="V707" s="31"/>
      <c r="W707" s="31"/>
      <c r="X707" s="32"/>
      <c r="Y707" s="32"/>
      <c r="Z707" s="32"/>
    </row>
    <row r="708" spans="1:26">
      <c r="A708" s="28"/>
      <c r="B708" s="17">
        <f t="shared" si="31"/>
        <v>46319</v>
      </c>
      <c r="C708" s="26">
        <f>I708+J708+K708+L708+M708+N708+O708+IF(P708="",0,P708*サマリー!$B$9)+IF(Q708="",0,IF(Q708=200,サマリー!$B$10,IF(Q708=100,サマリー!$B$11,0)))+IF(R708="",0,R708*サマリー!$B$12)</f>
        <v>0</v>
      </c>
      <c r="D708" s="26">
        <f>S708+T708+U708+V708+W708+IF(X708="",0,X708*サマリー!$B$9)+IF(Y708="",0,IF(Y708=200,サマリー!$B$10,IF(Y708=100,サマリー!$B$11,0)))+IF(Z708="",0,Z708*サマリー!$B$12)</f>
        <v>0</v>
      </c>
      <c r="E708" s="26">
        <f t="shared" si="30"/>
        <v>0</v>
      </c>
      <c r="I708" s="29"/>
      <c r="J708" s="29"/>
      <c r="K708" s="29"/>
      <c r="L708" s="29"/>
      <c r="M708" s="29"/>
      <c r="N708" s="29"/>
      <c r="O708" s="29"/>
      <c r="P708" s="30"/>
      <c r="Q708" s="30"/>
      <c r="R708" s="30"/>
      <c r="S708" s="31"/>
      <c r="T708" s="31"/>
      <c r="U708" s="31"/>
      <c r="V708" s="31"/>
      <c r="W708" s="31"/>
      <c r="X708" s="32"/>
      <c r="Y708" s="32"/>
      <c r="Z708" s="32"/>
    </row>
    <row r="709" spans="1:26">
      <c r="A709" s="28"/>
      <c r="B709" s="17">
        <f t="shared" si="31"/>
        <v>46319</v>
      </c>
      <c r="C709" s="26">
        <f>I709+J709+K709+L709+M709+N709+O709+IF(P709="",0,P709*サマリー!$B$9)+IF(Q709="",0,IF(Q709=200,サマリー!$B$10,IF(Q709=100,サマリー!$B$11,0)))+IF(R709="",0,R709*サマリー!$B$12)</f>
        <v>0</v>
      </c>
      <c r="D709" s="26">
        <f>S709+T709+U709+V709+W709+IF(X709="",0,X709*サマリー!$B$9)+IF(Y709="",0,IF(Y709=200,サマリー!$B$10,IF(Y709=100,サマリー!$B$11,0)))+IF(Z709="",0,Z709*サマリー!$B$12)</f>
        <v>0</v>
      </c>
      <c r="E709" s="26">
        <f t="shared" si="30"/>
        <v>0</v>
      </c>
      <c r="I709" s="29"/>
      <c r="J709" s="29"/>
      <c r="K709" s="29"/>
      <c r="L709" s="29"/>
      <c r="M709" s="29"/>
      <c r="N709" s="29"/>
      <c r="O709" s="29"/>
      <c r="P709" s="30"/>
      <c r="Q709" s="30"/>
      <c r="R709" s="30"/>
      <c r="S709" s="31"/>
      <c r="T709" s="31"/>
      <c r="U709" s="31"/>
      <c r="V709" s="31"/>
      <c r="W709" s="31"/>
      <c r="X709" s="32"/>
      <c r="Y709" s="32"/>
      <c r="Z709" s="32"/>
    </row>
    <row r="710" spans="1:26">
      <c r="A710" s="28"/>
      <c r="B710" s="17">
        <f t="shared" si="31"/>
        <v>46319</v>
      </c>
      <c r="C710" s="26">
        <f>I710+J710+K710+L710+M710+N710+O710+IF(P710="",0,P710*サマリー!$B$9)+IF(Q710="",0,IF(Q710=200,サマリー!$B$10,IF(Q710=100,サマリー!$B$11,0)))+IF(R710="",0,R710*サマリー!$B$12)</f>
        <v>0</v>
      </c>
      <c r="D710" s="26">
        <f>S710+T710+U710+V710+W710+IF(X710="",0,X710*サマリー!$B$9)+IF(Y710="",0,IF(Y710=200,サマリー!$B$10,IF(Y710=100,サマリー!$B$11,0)))+IF(Z710="",0,Z710*サマリー!$B$12)</f>
        <v>0</v>
      </c>
      <c r="E710" s="26">
        <f t="shared" si="30"/>
        <v>0</v>
      </c>
      <c r="I710" s="29"/>
      <c r="J710" s="29"/>
      <c r="K710" s="29"/>
      <c r="L710" s="29"/>
      <c r="M710" s="29"/>
      <c r="N710" s="29"/>
      <c r="O710" s="29"/>
      <c r="P710" s="30"/>
      <c r="Q710" s="30"/>
      <c r="R710" s="30"/>
      <c r="S710" s="31"/>
      <c r="T710" s="31"/>
      <c r="U710" s="31"/>
      <c r="V710" s="31"/>
      <c r="W710" s="31"/>
      <c r="X710" s="32"/>
      <c r="Y710" s="32"/>
      <c r="Z710" s="32"/>
    </row>
    <row r="711" spans="1:26">
      <c r="A711" s="28"/>
      <c r="B711" s="17">
        <f t="shared" si="31"/>
        <v>46319</v>
      </c>
      <c r="C711" s="26">
        <f>I711+J711+K711+L711+M711+N711+O711+IF(P711="",0,P711*サマリー!$B$9)+IF(Q711="",0,IF(Q711=200,サマリー!$B$10,IF(Q711=100,サマリー!$B$11,0)))+IF(R711="",0,R711*サマリー!$B$12)</f>
        <v>0</v>
      </c>
      <c r="D711" s="26">
        <f>S711+T711+U711+V711+W711+IF(X711="",0,X711*サマリー!$B$9)+IF(Y711="",0,IF(Y711=200,サマリー!$B$10,IF(Y711=100,サマリー!$B$11,0)))+IF(Z711="",0,Z711*サマリー!$B$12)</f>
        <v>0</v>
      </c>
      <c r="E711" s="26">
        <f t="shared" si="30"/>
        <v>0</v>
      </c>
      <c r="I711" s="29"/>
      <c r="J711" s="29"/>
      <c r="K711" s="29"/>
      <c r="L711" s="29"/>
      <c r="M711" s="29"/>
      <c r="N711" s="29"/>
      <c r="O711" s="29"/>
      <c r="P711" s="30"/>
      <c r="Q711" s="30"/>
      <c r="R711" s="30"/>
      <c r="S711" s="31"/>
      <c r="T711" s="31"/>
      <c r="U711" s="31"/>
      <c r="V711" s="31"/>
      <c r="W711" s="31"/>
      <c r="X711" s="32"/>
      <c r="Y711" s="32"/>
      <c r="Z711" s="32"/>
    </row>
    <row r="712" spans="1:26">
      <c r="A712" s="28"/>
      <c r="B712" s="17">
        <f t="shared" si="31"/>
        <v>46319</v>
      </c>
      <c r="C712" s="26">
        <f>I712+J712+K712+L712+M712+N712+O712+IF(P712="",0,P712*サマリー!$B$9)+IF(Q712="",0,IF(Q712=200,サマリー!$B$10,IF(Q712=100,サマリー!$B$11,0)))+IF(R712="",0,R712*サマリー!$B$12)</f>
        <v>0</v>
      </c>
      <c r="D712" s="26">
        <f>S712+T712+U712+V712+W712+IF(X712="",0,X712*サマリー!$B$9)+IF(Y712="",0,IF(Y712=200,サマリー!$B$10,IF(Y712=100,サマリー!$B$11,0)))+IF(Z712="",0,Z712*サマリー!$B$12)</f>
        <v>0</v>
      </c>
      <c r="E712" s="26">
        <f t="shared" si="30"/>
        <v>0</v>
      </c>
      <c r="I712" s="29"/>
      <c r="J712" s="29"/>
      <c r="K712" s="29"/>
      <c r="L712" s="29"/>
      <c r="M712" s="29"/>
      <c r="N712" s="29"/>
      <c r="O712" s="29"/>
      <c r="P712" s="30"/>
      <c r="Q712" s="30"/>
      <c r="R712" s="30"/>
      <c r="S712" s="31"/>
      <c r="T712" s="31"/>
      <c r="U712" s="31"/>
      <c r="V712" s="31"/>
      <c r="W712" s="31"/>
      <c r="X712" s="32"/>
      <c r="Y712" s="32"/>
      <c r="Z712" s="32"/>
    </row>
    <row r="713" spans="1:26">
      <c r="A713" s="28"/>
      <c r="B713" s="17">
        <f t="shared" si="31"/>
        <v>46319</v>
      </c>
      <c r="C713" s="26">
        <f>I713+J713+K713+L713+M713+N713+O713+IF(P713="",0,P713*サマリー!$B$9)+IF(Q713="",0,IF(Q713=200,サマリー!$B$10,IF(Q713=100,サマリー!$B$11,0)))+IF(R713="",0,R713*サマリー!$B$12)</f>
        <v>0</v>
      </c>
      <c r="D713" s="26">
        <f>S713+T713+U713+V713+W713+IF(X713="",0,X713*サマリー!$B$9)+IF(Y713="",0,IF(Y713=200,サマリー!$B$10,IF(Y713=100,サマリー!$B$11,0)))+IF(Z713="",0,Z713*サマリー!$B$12)</f>
        <v>0</v>
      </c>
      <c r="E713" s="26">
        <f t="shared" si="30"/>
        <v>0</v>
      </c>
      <c r="I713" s="29"/>
      <c r="J713" s="29"/>
      <c r="K713" s="29"/>
      <c r="L713" s="29"/>
      <c r="M713" s="29"/>
      <c r="N713" s="29"/>
      <c r="O713" s="29"/>
      <c r="P713" s="30"/>
      <c r="Q713" s="30"/>
      <c r="R713" s="30"/>
      <c r="S713" s="31"/>
      <c r="T713" s="31"/>
      <c r="U713" s="31"/>
      <c r="V713" s="31"/>
      <c r="W713" s="31"/>
      <c r="X713" s="32"/>
      <c r="Y713" s="32"/>
      <c r="Z713" s="32"/>
    </row>
    <row r="714" spans="1:26">
      <c r="A714" s="28"/>
      <c r="B714" s="17">
        <f t="shared" si="31"/>
        <v>46319</v>
      </c>
      <c r="C714" s="26">
        <f>I714+J714+K714+L714+M714+N714+O714+IF(P714="",0,P714*サマリー!$B$9)+IF(Q714="",0,IF(Q714=200,サマリー!$B$10,IF(Q714=100,サマリー!$B$11,0)))+IF(R714="",0,R714*サマリー!$B$12)</f>
        <v>0</v>
      </c>
      <c r="D714" s="26">
        <f>S714+T714+U714+V714+W714+IF(X714="",0,X714*サマリー!$B$9)+IF(Y714="",0,IF(Y714=200,サマリー!$B$10,IF(Y714=100,サマリー!$B$11,0)))+IF(Z714="",0,Z714*サマリー!$B$12)</f>
        <v>0</v>
      </c>
      <c r="E714" s="26">
        <f t="shared" si="30"/>
        <v>0</v>
      </c>
      <c r="I714" s="29"/>
      <c r="J714" s="29"/>
      <c r="K714" s="29"/>
      <c r="L714" s="29"/>
      <c r="M714" s="29"/>
      <c r="N714" s="29"/>
      <c r="O714" s="29"/>
      <c r="P714" s="30"/>
      <c r="Q714" s="30"/>
      <c r="R714" s="30"/>
      <c r="S714" s="31"/>
      <c r="T714" s="31"/>
      <c r="U714" s="31"/>
      <c r="V714" s="31"/>
      <c r="W714" s="31"/>
      <c r="X714" s="32"/>
      <c r="Y714" s="32"/>
      <c r="Z714" s="32"/>
    </row>
    <row r="715" spans="1:26">
      <c r="A715" s="28"/>
      <c r="B715" s="17">
        <f t="shared" si="31"/>
        <v>46319</v>
      </c>
      <c r="C715" s="26">
        <f>I715+J715+K715+L715+M715+N715+O715+IF(P715="",0,P715*サマリー!$B$9)+IF(Q715="",0,IF(Q715=200,サマリー!$B$10,IF(Q715=100,サマリー!$B$11,0)))+IF(R715="",0,R715*サマリー!$B$12)</f>
        <v>0</v>
      </c>
      <c r="D715" s="26">
        <f>S715+T715+U715+V715+W715+IF(X715="",0,X715*サマリー!$B$9)+IF(Y715="",0,IF(Y715=200,サマリー!$B$10,IF(Y715=100,サマリー!$B$11,0)))+IF(Z715="",0,Z715*サマリー!$B$12)</f>
        <v>0</v>
      </c>
      <c r="E715" s="26">
        <f t="shared" si="30"/>
        <v>0</v>
      </c>
      <c r="I715" s="29"/>
      <c r="J715" s="29"/>
      <c r="K715" s="29"/>
      <c r="L715" s="29"/>
      <c r="M715" s="29"/>
      <c r="N715" s="29"/>
      <c r="O715" s="29"/>
      <c r="P715" s="30"/>
      <c r="Q715" s="30"/>
      <c r="R715" s="30"/>
      <c r="S715" s="31"/>
      <c r="T715" s="31"/>
      <c r="U715" s="31"/>
      <c r="V715" s="31"/>
      <c r="W715" s="31"/>
      <c r="X715" s="32"/>
      <c r="Y715" s="32"/>
      <c r="Z715" s="32"/>
    </row>
    <row r="716" spans="1:26">
      <c r="A716" s="28"/>
      <c r="B716" s="17">
        <f t="shared" si="31"/>
        <v>46319</v>
      </c>
      <c r="C716" s="26">
        <f>I716+J716+K716+L716+M716+N716+O716+IF(P716="",0,P716*サマリー!$B$9)+IF(Q716="",0,IF(Q716=200,サマリー!$B$10,IF(Q716=100,サマリー!$B$11,0)))+IF(R716="",0,R716*サマリー!$B$12)</f>
        <v>0</v>
      </c>
      <c r="D716" s="26">
        <f>S716+T716+U716+V716+W716+IF(X716="",0,X716*サマリー!$B$9)+IF(Y716="",0,IF(Y716=200,サマリー!$B$10,IF(Y716=100,サマリー!$B$11,0)))+IF(Z716="",0,Z716*サマリー!$B$12)</f>
        <v>0</v>
      </c>
      <c r="E716" s="26">
        <f t="shared" si="30"/>
        <v>0</v>
      </c>
      <c r="I716" s="29"/>
      <c r="J716" s="29"/>
      <c r="K716" s="29"/>
      <c r="L716" s="29"/>
      <c r="M716" s="29"/>
      <c r="N716" s="29"/>
      <c r="O716" s="29"/>
      <c r="P716" s="30"/>
      <c r="Q716" s="30"/>
      <c r="R716" s="30"/>
      <c r="S716" s="31"/>
      <c r="T716" s="31"/>
      <c r="U716" s="31"/>
      <c r="V716" s="31"/>
      <c r="W716" s="31"/>
      <c r="X716" s="32"/>
      <c r="Y716" s="32"/>
      <c r="Z716" s="32"/>
    </row>
    <row r="717" spans="1:26">
      <c r="A717" s="28"/>
      <c r="B717" s="17">
        <f t="shared" si="31"/>
        <v>46319</v>
      </c>
      <c r="C717" s="26">
        <f>I717+J717+K717+L717+M717+N717+O717+IF(P717="",0,P717*サマリー!$B$9)+IF(Q717="",0,IF(Q717=200,サマリー!$B$10,IF(Q717=100,サマリー!$B$11,0)))+IF(R717="",0,R717*サマリー!$B$12)</f>
        <v>0</v>
      </c>
      <c r="D717" s="26">
        <f>S717+T717+U717+V717+W717+IF(X717="",0,X717*サマリー!$B$9)+IF(Y717="",0,IF(Y717=200,サマリー!$B$10,IF(Y717=100,サマリー!$B$11,0)))+IF(Z717="",0,Z717*サマリー!$B$12)</f>
        <v>0</v>
      </c>
      <c r="E717" s="26">
        <f t="shared" si="30"/>
        <v>0</v>
      </c>
      <c r="I717" s="29"/>
      <c r="J717" s="29"/>
      <c r="K717" s="29"/>
      <c r="L717" s="29"/>
      <c r="M717" s="29"/>
      <c r="N717" s="29"/>
      <c r="O717" s="29"/>
      <c r="P717" s="30"/>
      <c r="Q717" s="30"/>
      <c r="R717" s="30"/>
      <c r="S717" s="31"/>
      <c r="T717" s="31"/>
      <c r="U717" s="31"/>
      <c r="V717" s="31"/>
      <c r="W717" s="31"/>
      <c r="X717" s="32"/>
      <c r="Y717" s="32"/>
      <c r="Z717" s="32"/>
    </row>
    <row r="718" spans="1:26">
      <c r="A718" s="28"/>
      <c r="B718" s="17">
        <f t="shared" si="31"/>
        <v>46319</v>
      </c>
      <c r="C718" s="26">
        <f>I718+J718+K718+L718+M718+N718+O718+IF(P718="",0,P718*サマリー!$B$9)+IF(Q718="",0,IF(Q718=200,サマリー!$B$10,IF(Q718=100,サマリー!$B$11,0)))+IF(R718="",0,R718*サマリー!$B$12)</f>
        <v>0</v>
      </c>
      <c r="D718" s="26">
        <f>S718+T718+U718+V718+W718+IF(X718="",0,X718*サマリー!$B$9)+IF(Y718="",0,IF(Y718=200,サマリー!$B$10,IF(Y718=100,サマリー!$B$11,0)))+IF(Z718="",0,Z718*サマリー!$B$12)</f>
        <v>0</v>
      </c>
      <c r="E718" s="26">
        <f t="shared" si="30"/>
        <v>0</v>
      </c>
      <c r="I718" s="29"/>
      <c r="J718" s="29"/>
      <c r="K718" s="29"/>
      <c r="L718" s="29"/>
      <c r="M718" s="29"/>
      <c r="N718" s="29"/>
      <c r="O718" s="29"/>
      <c r="P718" s="30"/>
      <c r="Q718" s="30"/>
      <c r="R718" s="30"/>
      <c r="S718" s="31"/>
      <c r="T718" s="31"/>
      <c r="U718" s="31"/>
      <c r="V718" s="31"/>
      <c r="W718" s="31"/>
      <c r="X718" s="32"/>
      <c r="Y718" s="32"/>
      <c r="Z718" s="32"/>
    </row>
    <row r="719" spans="1:26">
      <c r="A719" s="28"/>
      <c r="B719" s="17">
        <f t="shared" si="31"/>
        <v>46319</v>
      </c>
      <c r="C719" s="26">
        <f>I719+J719+K719+L719+M719+N719+O719+IF(P719="",0,P719*サマリー!$B$9)+IF(Q719="",0,IF(Q719=200,サマリー!$B$10,IF(Q719=100,サマリー!$B$11,0)))+IF(R719="",0,R719*サマリー!$B$12)</f>
        <v>0</v>
      </c>
      <c r="D719" s="26">
        <f>S719+T719+U719+V719+W719+IF(X719="",0,X719*サマリー!$B$9)+IF(Y719="",0,IF(Y719=200,サマリー!$B$10,IF(Y719=100,サマリー!$B$11,0)))+IF(Z719="",0,Z719*サマリー!$B$12)</f>
        <v>0</v>
      </c>
      <c r="E719" s="26">
        <f t="shared" si="30"/>
        <v>0</v>
      </c>
      <c r="I719" s="29"/>
      <c r="J719" s="29"/>
      <c r="K719" s="29"/>
      <c r="L719" s="29"/>
      <c r="M719" s="29"/>
      <c r="N719" s="29"/>
      <c r="O719" s="29"/>
      <c r="P719" s="30"/>
      <c r="Q719" s="30"/>
      <c r="R719" s="30"/>
      <c r="S719" s="31"/>
      <c r="T719" s="31"/>
      <c r="U719" s="31"/>
      <c r="V719" s="31"/>
      <c r="W719" s="31"/>
      <c r="X719" s="32"/>
      <c r="Y719" s="32"/>
      <c r="Z719" s="32"/>
    </row>
    <row r="720" spans="1:26">
      <c r="A720" s="28"/>
      <c r="B720" s="17">
        <f t="shared" si="31"/>
        <v>46319</v>
      </c>
      <c r="C720" s="26">
        <f>I720+J720+K720+L720+M720+N720+O720+IF(P720="",0,P720*サマリー!$B$9)+IF(Q720="",0,IF(Q720=200,サマリー!$B$10,IF(Q720=100,サマリー!$B$11,0)))+IF(R720="",0,R720*サマリー!$B$12)</f>
        <v>0</v>
      </c>
      <c r="D720" s="26">
        <f>S720+T720+U720+V720+W720+IF(X720="",0,X720*サマリー!$B$9)+IF(Y720="",0,IF(Y720=200,サマリー!$B$10,IF(Y720=100,サマリー!$B$11,0)))+IF(Z720="",0,Z720*サマリー!$B$12)</f>
        <v>0</v>
      </c>
      <c r="E720" s="26">
        <f t="shared" si="30"/>
        <v>0</v>
      </c>
      <c r="I720" s="29"/>
      <c r="J720" s="29"/>
      <c r="K720" s="29"/>
      <c r="L720" s="29"/>
      <c r="M720" s="29"/>
      <c r="N720" s="29"/>
      <c r="O720" s="29"/>
      <c r="P720" s="30"/>
      <c r="Q720" s="30"/>
      <c r="R720" s="30"/>
      <c r="S720" s="31"/>
      <c r="T720" s="31"/>
      <c r="U720" s="31"/>
      <c r="V720" s="31"/>
      <c r="W720" s="31"/>
      <c r="X720" s="32"/>
      <c r="Y720" s="32"/>
      <c r="Z720" s="32"/>
    </row>
    <row r="721" spans="1:26">
      <c r="A721" s="28"/>
      <c r="B721" s="17">
        <f t="shared" si="31"/>
        <v>46319</v>
      </c>
      <c r="C721" s="26">
        <f>I721+J721+K721+L721+M721+N721+O721+IF(P721="",0,P721*サマリー!$B$9)+IF(Q721="",0,IF(Q721=200,サマリー!$B$10,IF(Q721=100,サマリー!$B$11,0)))+IF(R721="",0,R721*サマリー!$B$12)</f>
        <v>0</v>
      </c>
      <c r="D721" s="26">
        <f>S721+T721+U721+V721+W721+IF(X721="",0,X721*サマリー!$B$9)+IF(Y721="",0,IF(Y721=200,サマリー!$B$10,IF(Y721=100,サマリー!$B$11,0)))+IF(Z721="",0,Z721*サマリー!$B$12)</f>
        <v>0</v>
      </c>
      <c r="E721" s="26">
        <f t="shared" si="30"/>
        <v>0</v>
      </c>
      <c r="I721" s="29"/>
      <c r="J721" s="29"/>
      <c r="K721" s="29"/>
      <c r="L721" s="29"/>
      <c r="M721" s="29"/>
      <c r="N721" s="29"/>
      <c r="O721" s="29"/>
      <c r="P721" s="30"/>
      <c r="Q721" s="30"/>
      <c r="R721" s="30"/>
      <c r="S721" s="31"/>
      <c r="T721" s="31"/>
      <c r="U721" s="31"/>
      <c r="V721" s="31"/>
      <c r="W721" s="31"/>
      <c r="X721" s="32"/>
      <c r="Y721" s="32"/>
      <c r="Z721" s="32"/>
    </row>
    <row r="722" spans="1:26">
      <c r="A722" s="28"/>
      <c r="B722" s="17">
        <f t="shared" si="31"/>
        <v>46319</v>
      </c>
      <c r="C722" s="26">
        <f>I722+J722+K722+L722+M722+N722+O722+IF(P722="",0,P722*サマリー!$B$9)+IF(Q722="",0,IF(Q722=200,サマリー!$B$10,IF(Q722=100,サマリー!$B$11,0)))+IF(R722="",0,R722*サマリー!$B$12)</f>
        <v>0</v>
      </c>
      <c r="D722" s="26">
        <f>S722+T722+U722+V722+W722+IF(X722="",0,X722*サマリー!$B$9)+IF(Y722="",0,IF(Y722=200,サマリー!$B$10,IF(Y722=100,サマリー!$B$11,0)))+IF(Z722="",0,Z722*サマリー!$B$12)</f>
        <v>0</v>
      </c>
      <c r="E722" s="26">
        <f t="shared" si="30"/>
        <v>0</v>
      </c>
      <c r="I722" s="29"/>
      <c r="J722" s="29"/>
      <c r="K722" s="29"/>
      <c r="L722" s="29"/>
      <c r="M722" s="29"/>
      <c r="N722" s="29"/>
      <c r="O722" s="29"/>
      <c r="P722" s="30"/>
      <c r="Q722" s="30"/>
      <c r="R722" s="30"/>
      <c r="S722" s="31"/>
      <c r="T722" s="31"/>
      <c r="U722" s="31"/>
      <c r="V722" s="31"/>
      <c r="W722" s="31"/>
      <c r="X722" s="32"/>
      <c r="Y722" s="32"/>
      <c r="Z722" s="32"/>
    </row>
    <row r="723" spans="1:26">
      <c r="A723" s="28"/>
      <c r="B723" s="17">
        <f t="shared" si="31"/>
        <v>46319</v>
      </c>
      <c r="C723" s="26">
        <f>I723+J723+K723+L723+M723+N723+O723+IF(P723="",0,P723*サマリー!$B$9)+IF(Q723="",0,IF(Q723=200,サマリー!$B$10,IF(Q723=100,サマリー!$B$11,0)))+IF(R723="",0,R723*サマリー!$B$12)</f>
        <v>0</v>
      </c>
      <c r="D723" s="26">
        <f>S723+T723+U723+V723+W723+IF(X723="",0,X723*サマリー!$B$9)+IF(Y723="",0,IF(Y723=200,サマリー!$B$10,IF(Y723=100,サマリー!$B$11,0)))+IF(Z723="",0,Z723*サマリー!$B$12)</f>
        <v>0</v>
      </c>
      <c r="E723" s="26">
        <f t="shared" si="30"/>
        <v>0</v>
      </c>
      <c r="I723" s="29"/>
      <c r="J723" s="29"/>
      <c r="K723" s="29"/>
      <c r="L723" s="29"/>
      <c r="M723" s="29"/>
      <c r="N723" s="29"/>
      <c r="O723" s="29"/>
      <c r="P723" s="30"/>
      <c r="Q723" s="30"/>
      <c r="R723" s="30"/>
      <c r="S723" s="31"/>
      <c r="T723" s="31"/>
      <c r="U723" s="31"/>
      <c r="V723" s="31"/>
      <c r="W723" s="31"/>
      <c r="X723" s="32"/>
      <c r="Y723" s="32"/>
      <c r="Z723" s="32"/>
    </row>
    <row r="724" spans="1:26">
      <c r="A724" s="28"/>
      <c r="B724" s="17">
        <f t="shared" si="31"/>
        <v>46319</v>
      </c>
      <c r="C724" s="26">
        <f>I724+J724+K724+L724+M724+N724+O724+IF(P724="",0,P724*サマリー!$B$9)+IF(Q724="",0,IF(Q724=200,サマリー!$B$10,IF(Q724=100,サマリー!$B$11,0)))+IF(R724="",0,R724*サマリー!$B$12)</f>
        <v>0</v>
      </c>
      <c r="D724" s="26">
        <f>S724+T724+U724+V724+W724+IF(X724="",0,X724*サマリー!$B$9)+IF(Y724="",0,IF(Y724=200,サマリー!$B$10,IF(Y724=100,サマリー!$B$11,0)))+IF(Z724="",0,Z724*サマリー!$B$12)</f>
        <v>0</v>
      </c>
      <c r="E724" s="26">
        <f t="shared" si="30"/>
        <v>0</v>
      </c>
      <c r="I724" s="29"/>
      <c r="J724" s="29"/>
      <c r="K724" s="29"/>
      <c r="L724" s="29"/>
      <c r="M724" s="29"/>
      <c r="N724" s="29"/>
      <c r="O724" s="29"/>
      <c r="P724" s="30"/>
      <c r="Q724" s="30"/>
      <c r="R724" s="30"/>
      <c r="S724" s="31"/>
      <c r="T724" s="31"/>
      <c r="U724" s="31"/>
      <c r="V724" s="31"/>
      <c r="W724" s="31"/>
      <c r="X724" s="32"/>
      <c r="Y724" s="32"/>
      <c r="Z724" s="32"/>
    </row>
    <row r="725" spans="1:26">
      <c r="A725" s="28"/>
      <c r="B725" s="17">
        <f t="shared" si="31"/>
        <v>46319</v>
      </c>
      <c r="C725" s="26">
        <f>I725+J725+K725+L725+M725+N725+O725+IF(P725="",0,P725*サマリー!$B$9)+IF(Q725="",0,IF(Q725=200,サマリー!$B$10,IF(Q725=100,サマリー!$B$11,0)))+IF(R725="",0,R725*サマリー!$B$12)</f>
        <v>0</v>
      </c>
      <c r="D725" s="26">
        <f>S725+T725+U725+V725+W725+IF(X725="",0,X725*サマリー!$B$9)+IF(Y725="",0,IF(Y725=200,サマリー!$B$10,IF(Y725=100,サマリー!$B$11,0)))+IF(Z725="",0,Z725*サマリー!$B$12)</f>
        <v>0</v>
      </c>
      <c r="E725" s="26">
        <f t="shared" si="30"/>
        <v>0</v>
      </c>
      <c r="I725" s="29"/>
      <c r="J725" s="29"/>
      <c r="K725" s="29"/>
      <c r="L725" s="29"/>
      <c r="M725" s="29"/>
      <c r="N725" s="29"/>
      <c r="O725" s="29"/>
      <c r="P725" s="30"/>
      <c r="Q725" s="30"/>
      <c r="R725" s="30"/>
      <c r="S725" s="31"/>
      <c r="T725" s="31"/>
      <c r="U725" s="31"/>
      <c r="V725" s="31"/>
      <c r="W725" s="31"/>
      <c r="X725" s="32"/>
      <c r="Y725" s="32"/>
      <c r="Z725" s="32"/>
    </row>
    <row r="726" spans="1:26">
      <c r="A726" s="28"/>
      <c r="B726" s="17">
        <f t="shared" si="31"/>
        <v>46319</v>
      </c>
      <c r="C726" s="26">
        <f>I726+J726+K726+L726+M726+N726+O726+IF(P726="",0,P726*サマリー!$B$9)+IF(Q726="",0,IF(Q726=200,サマリー!$B$10,IF(Q726=100,サマリー!$B$11,0)))+IF(R726="",0,R726*サマリー!$B$12)</f>
        <v>0</v>
      </c>
      <c r="D726" s="26">
        <f>S726+T726+U726+V726+W726+IF(X726="",0,X726*サマリー!$B$9)+IF(Y726="",0,IF(Y726=200,サマリー!$B$10,IF(Y726=100,サマリー!$B$11,0)))+IF(Z726="",0,Z726*サマリー!$B$12)</f>
        <v>0</v>
      </c>
      <c r="E726" s="26">
        <f t="shared" si="30"/>
        <v>0</v>
      </c>
      <c r="I726" s="29"/>
      <c r="J726" s="29"/>
      <c r="K726" s="29"/>
      <c r="L726" s="29"/>
      <c r="M726" s="29"/>
      <c r="N726" s="29"/>
      <c r="O726" s="29"/>
      <c r="P726" s="30"/>
      <c r="Q726" s="30"/>
      <c r="R726" s="30"/>
      <c r="S726" s="31"/>
      <c r="T726" s="31"/>
      <c r="U726" s="31"/>
      <c r="V726" s="31"/>
      <c r="W726" s="31"/>
      <c r="X726" s="32"/>
      <c r="Y726" s="32"/>
      <c r="Z726" s="32"/>
    </row>
    <row r="727" spans="1:26">
      <c r="A727" s="28"/>
      <c r="B727" s="17">
        <f t="shared" si="31"/>
        <v>46319</v>
      </c>
      <c r="C727" s="26">
        <f>I727+J727+K727+L727+M727+N727+O727+IF(P727="",0,P727*サマリー!$B$9)+IF(Q727="",0,IF(Q727=200,サマリー!$B$10,IF(Q727=100,サマリー!$B$11,0)))+IF(R727="",0,R727*サマリー!$B$12)</f>
        <v>0</v>
      </c>
      <c r="D727" s="26">
        <f>S727+T727+U727+V727+W727+IF(X727="",0,X727*サマリー!$B$9)+IF(Y727="",0,IF(Y727=200,サマリー!$B$10,IF(Y727=100,サマリー!$B$11,0)))+IF(Z727="",0,Z727*サマリー!$B$12)</f>
        <v>0</v>
      </c>
      <c r="E727" s="26">
        <f t="shared" si="30"/>
        <v>0</v>
      </c>
      <c r="I727" s="29"/>
      <c r="J727" s="29"/>
      <c r="K727" s="29"/>
      <c r="L727" s="29"/>
      <c r="M727" s="29"/>
      <c r="N727" s="29"/>
      <c r="O727" s="29"/>
      <c r="P727" s="30"/>
      <c r="Q727" s="30"/>
      <c r="R727" s="30"/>
      <c r="S727" s="31"/>
      <c r="T727" s="31"/>
      <c r="U727" s="31"/>
      <c r="V727" s="31"/>
      <c r="W727" s="31"/>
      <c r="X727" s="32"/>
      <c r="Y727" s="32"/>
      <c r="Z727" s="32"/>
    </row>
    <row r="728" spans="1:26">
      <c r="A728" s="28"/>
      <c r="B728" s="17">
        <f t="shared" si="31"/>
        <v>46319</v>
      </c>
      <c r="C728" s="26">
        <f>I728+J728+K728+L728+M728+N728+O728+IF(P728="",0,P728*サマリー!$B$9)+IF(Q728="",0,IF(Q728=200,サマリー!$B$10,IF(Q728=100,サマリー!$B$11,0)))+IF(R728="",0,R728*サマリー!$B$12)</f>
        <v>0</v>
      </c>
      <c r="D728" s="26">
        <f>S728+T728+U728+V728+W728+IF(X728="",0,X728*サマリー!$B$9)+IF(Y728="",0,IF(Y728=200,サマリー!$B$10,IF(Y728=100,サマリー!$B$11,0)))+IF(Z728="",0,Z728*サマリー!$B$12)</f>
        <v>0</v>
      </c>
      <c r="E728" s="26">
        <f t="shared" si="30"/>
        <v>0</v>
      </c>
      <c r="I728" s="29"/>
      <c r="J728" s="29"/>
      <c r="K728" s="29"/>
      <c r="L728" s="29"/>
      <c r="M728" s="29"/>
      <c r="N728" s="29"/>
      <c r="O728" s="29"/>
      <c r="P728" s="30"/>
      <c r="Q728" s="30"/>
      <c r="R728" s="30"/>
      <c r="S728" s="31"/>
      <c r="T728" s="31"/>
      <c r="U728" s="31"/>
      <c r="V728" s="31"/>
      <c r="W728" s="31"/>
      <c r="X728" s="32"/>
      <c r="Y728" s="32"/>
      <c r="Z728" s="32"/>
    </row>
    <row r="729" spans="1:26">
      <c r="A729" s="28"/>
      <c r="B729" s="17">
        <f t="shared" si="31"/>
        <v>46319</v>
      </c>
      <c r="C729" s="26">
        <f>I729+J729+K729+L729+M729+N729+O729+IF(P729="",0,P729*サマリー!$B$9)+IF(Q729="",0,IF(Q729=200,サマリー!$B$10,IF(Q729=100,サマリー!$B$11,0)))+IF(R729="",0,R729*サマリー!$B$12)</f>
        <v>0</v>
      </c>
      <c r="D729" s="26">
        <f>S729+T729+U729+V729+W729+IF(X729="",0,X729*サマリー!$B$9)+IF(Y729="",0,IF(Y729=200,サマリー!$B$10,IF(Y729=100,サマリー!$B$11,0)))+IF(Z729="",0,Z729*サマリー!$B$12)</f>
        <v>0</v>
      </c>
      <c r="E729" s="26">
        <f t="shared" si="30"/>
        <v>0</v>
      </c>
      <c r="I729" s="29"/>
      <c r="J729" s="29"/>
      <c r="K729" s="29"/>
      <c r="L729" s="29"/>
      <c r="M729" s="29"/>
      <c r="N729" s="29"/>
      <c r="O729" s="29"/>
      <c r="P729" s="30"/>
      <c r="Q729" s="30"/>
      <c r="R729" s="30"/>
      <c r="S729" s="31"/>
      <c r="T729" s="31"/>
      <c r="U729" s="31"/>
      <c r="V729" s="31"/>
      <c r="W729" s="31"/>
      <c r="X729" s="32"/>
      <c r="Y729" s="32"/>
      <c r="Z729" s="32"/>
    </row>
    <row r="730" spans="1:26">
      <c r="A730" s="28"/>
      <c r="B730" s="17">
        <f t="shared" si="31"/>
        <v>46319</v>
      </c>
      <c r="C730" s="26">
        <f>I730+J730+K730+L730+M730+N730+O730+IF(P730="",0,P730*サマリー!$B$9)+IF(Q730="",0,IF(Q730=200,サマリー!$B$10,IF(Q730=100,サマリー!$B$11,0)))+IF(R730="",0,R730*サマリー!$B$12)</f>
        <v>0</v>
      </c>
      <c r="D730" s="26">
        <f>S730+T730+U730+V730+W730+IF(X730="",0,X730*サマリー!$B$9)+IF(Y730="",0,IF(Y730=200,サマリー!$B$10,IF(Y730=100,サマリー!$B$11,0)))+IF(Z730="",0,Z730*サマリー!$B$12)</f>
        <v>0</v>
      </c>
      <c r="E730" s="26">
        <f t="shared" si="30"/>
        <v>0</v>
      </c>
      <c r="I730" s="29"/>
      <c r="J730" s="29"/>
      <c r="K730" s="29"/>
      <c r="L730" s="29"/>
      <c r="M730" s="29"/>
      <c r="N730" s="29"/>
      <c r="O730" s="29"/>
      <c r="P730" s="30"/>
      <c r="Q730" s="30"/>
      <c r="R730" s="30"/>
      <c r="S730" s="31"/>
      <c r="T730" s="31"/>
      <c r="U730" s="31"/>
      <c r="V730" s="31"/>
      <c r="W730" s="31"/>
      <c r="X730" s="32"/>
      <c r="Y730" s="32"/>
      <c r="Z730" s="32"/>
    </row>
    <row r="731" spans="1:26">
      <c r="A731" s="28"/>
      <c r="B731" s="17">
        <f t="shared" si="31"/>
        <v>46319</v>
      </c>
      <c r="C731" s="26">
        <f>I731+J731+K731+L731+M731+N731+O731+IF(P731="",0,P731*サマリー!$B$9)+IF(Q731="",0,IF(Q731=200,サマリー!$B$10,IF(Q731=100,サマリー!$B$11,0)))+IF(R731="",0,R731*サマリー!$B$12)</f>
        <v>0</v>
      </c>
      <c r="D731" s="26">
        <f>S731+T731+U731+V731+W731+IF(X731="",0,X731*サマリー!$B$9)+IF(Y731="",0,IF(Y731=200,サマリー!$B$10,IF(Y731=100,サマリー!$B$11,0)))+IF(Z731="",0,Z731*サマリー!$B$12)</f>
        <v>0</v>
      </c>
      <c r="E731" s="26">
        <f t="shared" si="30"/>
        <v>0</v>
      </c>
      <c r="I731" s="29"/>
      <c r="J731" s="29"/>
      <c r="K731" s="29"/>
      <c r="L731" s="29"/>
      <c r="M731" s="29"/>
      <c r="N731" s="29"/>
      <c r="O731" s="29"/>
      <c r="P731" s="30"/>
      <c r="Q731" s="30"/>
      <c r="R731" s="30"/>
      <c r="S731" s="31"/>
      <c r="T731" s="31"/>
      <c r="U731" s="31"/>
      <c r="V731" s="31"/>
      <c r="W731" s="31"/>
      <c r="X731" s="32"/>
      <c r="Y731" s="32"/>
      <c r="Z731" s="32"/>
    </row>
    <row r="732" spans="1:26">
      <c r="A732" s="28"/>
      <c r="B732" s="17">
        <f t="shared" si="31"/>
        <v>46319</v>
      </c>
      <c r="C732" s="26">
        <f>I732+J732+K732+L732+M732+N732+O732+IF(P732="",0,P732*サマリー!$B$9)+IF(Q732="",0,IF(Q732=200,サマリー!$B$10,IF(Q732=100,サマリー!$B$11,0)))+IF(R732="",0,R732*サマリー!$B$12)</f>
        <v>0</v>
      </c>
      <c r="D732" s="26">
        <f>S732+T732+U732+V732+W732+IF(X732="",0,X732*サマリー!$B$9)+IF(Y732="",0,IF(Y732=200,サマリー!$B$10,IF(Y732=100,サマリー!$B$11,0)))+IF(Z732="",0,Z732*サマリー!$B$12)</f>
        <v>0</v>
      </c>
      <c r="E732" s="26">
        <f t="shared" si="30"/>
        <v>0</v>
      </c>
      <c r="I732" s="29"/>
      <c r="J732" s="29"/>
      <c r="K732" s="29"/>
      <c r="L732" s="29"/>
      <c r="M732" s="29"/>
      <c r="N732" s="29"/>
      <c r="O732" s="29"/>
      <c r="P732" s="30"/>
      <c r="Q732" s="30"/>
      <c r="R732" s="30"/>
      <c r="S732" s="31"/>
      <c r="T732" s="31"/>
      <c r="U732" s="31"/>
      <c r="V732" s="31"/>
      <c r="W732" s="31"/>
      <c r="X732" s="32"/>
      <c r="Y732" s="32"/>
      <c r="Z732" s="32"/>
    </row>
    <row r="733" spans="1:26">
      <c r="A733" s="28"/>
      <c r="B733" s="17">
        <f t="shared" si="31"/>
        <v>46319</v>
      </c>
      <c r="C733" s="26">
        <f>I733+J733+K733+L733+M733+N733+O733+IF(P733="",0,P733*サマリー!$B$9)+IF(Q733="",0,IF(Q733=200,サマリー!$B$10,IF(Q733=100,サマリー!$B$11,0)))+IF(R733="",0,R733*サマリー!$B$12)</f>
        <v>0</v>
      </c>
      <c r="D733" s="26">
        <f>S733+T733+U733+V733+W733+IF(X733="",0,X733*サマリー!$B$9)+IF(Y733="",0,IF(Y733=200,サマリー!$B$10,IF(Y733=100,サマリー!$B$11,0)))+IF(Z733="",0,Z733*サマリー!$B$12)</f>
        <v>0</v>
      </c>
      <c r="E733" s="26">
        <f t="shared" si="30"/>
        <v>0</v>
      </c>
      <c r="I733" s="29"/>
      <c r="J733" s="29"/>
      <c r="K733" s="29"/>
      <c r="L733" s="29"/>
      <c r="M733" s="29"/>
      <c r="N733" s="29"/>
      <c r="O733" s="29"/>
      <c r="P733" s="30"/>
      <c r="Q733" s="30"/>
      <c r="R733" s="30"/>
      <c r="S733" s="31"/>
      <c r="T733" s="31"/>
      <c r="U733" s="31"/>
      <c r="V733" s="31"/>
      <c r="W733" s="31"/>
      <c r="X733" s="32"/>
      <c r="Y733" s="32"/>
      <c r="Z733" s="32"/>
    </row>
    <row r="734" spans="1:26">
      <c r="A734" s="28"/>
      <c r="B734" s="17">
        <f t="shared" si="31"/>
        <v>46319</v>
      </c>
      <c r="C734" s="26">
        <f>I734+J734+K734+L734+M734+N734+O734+IF(P734="",0,P734*サマリー!$B$9)+IF(Q734="",0,IF(Q734=200,サマリー!$B$10,IF(Q734=100,サマリー!$B$11,0)))+IF(R734="",0,R734*サマリー!$B$12)</f>
        <v>0</v>
      </c>
      <c r="D734" s="26">
        <f>S734+T734+U734+V734+W734+IF(X734="",0,X734*サマリー!$B$9)+IF(Y734="",0,IF(Y734=200,サマリー!$B$10,IF(Y734=100,サマリー!$B$11,0)))+IF(Z734="",0,Z734*サマリー!$B$12)</f>
        <v>0</v>
      </c>
      <c r="E734" s="26">
        <f t="shared" si="30"/>
        <v>0</v>
      </c>
      <c r="I734" s="29"/>
      <c r="J734" s="29"/>
      <c r="K734" s="29"/>
      <c r="L734" s="29"/>
      <c r="M734" s="29"/>
      <c r="N734" s="29"/>
      <c r="O734" s="29"/>
      <c r="P734" s="30"/>
      <c r="Q734" s="30"/>
      <c r="R734" s="30"/>
      <c r="S734" s="31"/>
      <c r="T734" s="31"/>
      <c r="U734" s="31"/>
      <c r="V734" s="31"/>
      <c r="W734" s="31"/>
      <c r="X734" s="32"/>
      <c r="Y734" s="32"/>
      <c r="Z734" s="32"/>
    </row>
    <row r="735" spans="1:26">
      <c r="A735" s="28"/>
      <c r="B735" s="17">
        <f t="shared" si="31"/>
        <v>46319</v>
      </c>
      <c r="C735" s="26">
        <f>I735+J735+K735+L735+M735+N735+O735+IF(P735="",0,P735*サマリー!$B$9)+IF(Q735="",0,IF(Q735=200,サマリー!$B$10,IF(Q735=100,サマリー!$B$11,0)))+IF(R735="",0,R735*サマリー!$B$12)</f>
        <v>0</v>
      </c>
      <c r="D735" s="26">
        <f>S735+T735+U735+V735+W735+IF(X735="",0,X735*サマリー!$B$9)+IF(Y735="",0,IF(Y735=200,サマリー!$B$10,IF(Y735=100,サマリー!$B$11,0)))+IF(Z735="",0,Z735*サマリー!$B$12)</f>
        <v>0</v>
      </c>
      <c r="E735" s="26">
        <f t="shared" si="30"/>
        <v>0</v>
      </c>
      <c r="I735" s="29"/>
      <c r="J735" s="29"/>
      <c r="K735" s="29"/>
      <c r="L735" s="29"/>
      <c r="M735" s="29"/>
      <c r="N735" s="29"/>
      <c r="O735" s="29"/>
      <c r="P735" s="30"/>
      <c r="Q735" s="30"/>
      <c r="R735" s="30"/>
      <c r="S735" s="31"/>
      <c r="T735" s="31"/>
      <c r="U735" s="31"/>
      <c r="V735" s="31"/>
      <c r="W735" s="31"/>
      <c r="X735" s="32"/>
      <c r="Y735" s="32"/>
      <c r="Z735" s="32"/>
    </row>
    <row r="736" spans="1:26">
      <c r="A736" s="28"/>
      <c r="B736" s="17">
        <f t="shared" si="31"/>
        <v>46319</v>
      </c>
      <c r="C736" s="26">
        <f>I736+J736+K736+L736+M736+N736+O736+IF(P736="",0,P736*サマリー!$B$9)+IF(Q736="",0,IF(Q736=200,サマリー!$B$10,IF(Q736=100,サマリー!$B$11,0)))+IF(R736="",0,R736*サマリー!$B$12)</f>
        <v>0</v>
      </c>
      <c r="D736" s="26">
        <f>S736+T736+U736+V736+W736+IF(X736="",0,X736*サマリー!$B$9)+IF(Y736="",0,IF(Y736=200,サマリー!$B$10,IF(Y736=100,サマリー!$B$11,0)))+IF(Z736="",0,Z736*サマリー!$B$12)</f>
        <v>0</v>
      </c>
      <c r="E736" s="26">
        <f t="shared" si="30"/>
        <v>0</v>
      </c>
      <c r="I736" s="29"/>
      <c r="J736" s="29"/>
      <c r="K736" s="29"/>
      <c r="L736" s="29"/>
      <c r="M736" s="29"/>
      <c r="N736" s="29"/>
      <c r="O736" s="29"/>
      <c r="P736" s="30"/>
      <c r="Q736" s="30"/>
      <c r="R736" s="30"/>
      <c r="S736" s="31"/>
      <c r="T736" s="31"/>
      <c r="U736" s="31"/>
      <c r="V736" s="31"/>
      <c r="W736" s="31"/>
      <c r="X736" s="32"/>
      <c r="Y736" s="32"/>
      <c r="Z736" s="32"/>
    </row>
    <row r="737" spans="1:26">
      <c r="A737" s="28"/>
      <c r="B737" s="17">
        <f t="shared" si="31"/>
        <v>46319</v>
      </c>
      <c r="C737" s="26">
        <f>I737+J737+K737+L737+M737+N737+O737+IF(P737="",0,P737*サマリー!$B$9)+IF(Q737="",0,IF(Q737=200,サマリー!$B$10,IF(Q737=100,サマリー!$B$11,0)))+IF(R737="",0,R737*サマリー!$B$12)</f>
        <v>0</v>
      </c>
      <c r="D737" s="26">
        <f>S737+T737+U737+V737+W737+IF(X737="",0,X737*サマリー!$B$9)+IF(Y737="",0,IF(Y737=200,サマリー!$B$10,IF(Y737=100,サマリー!$B$11,0)))+IF(Z737="",0,Z737*サマリー!$B$12)</f>
        <v>0</v>
      </c>
      <c r="E737" s="26">
        <f t="shared" si="30"/>
        <v>0</v>
      </c>
      <c r="I737" s="29"/>
      <c r="J737" s="29"/>
      <c r="K737" s="29"/>
      <c r="L737" s="29"/>
      <c r="M737" s="29"/>
      <c r="N737" s="29"/>
      <c r="O737" s="29"/>
      <c r="P737" s="30"/>
      <c r="Q737" s="30"/>
      <c r="R737" s="30"/>
      <c r="S737" s="31"/>
      <c r="T737" s="31"/>
      <c r="U737" s="31"/>
      <c r="V737" s="31"/>
      <c r="W737" s="31"/>
      <c r="X737" s="32"/>
      <c r="Y737" s="32"/>
      <c r="Z737" s="32"/>
    </row>
    <row r="738" spans="1:26">
      <c r="A738" s="28"/>
      <c r="B738" s="17">
        <f t="shared" si="31"/>
        <v>46319</v>
      </c>
      <c r="C738" s="26">
        <f>I738+J738+K738+L738+M738+N738+O738+IF(P738="",0,P738*サマリー!$B$9)+IF(Q738="",0,IF(Q738=200,サマリー!$B$10,IF(Q738=100,サマリー!$B$11,0)))+IF(R738="",0,R738*サマリー!$B$12)</f>
        <v>0</v>
      </c>
      <c r="D738" s="26">
        <f>S738+T738+U738+V738+W738+IF(X738="",0,X738*サマリー!$B$9)+IF(Y738="",0,IF(Y738=200,サマリー!$B$10,IF(Y738=100,サマリー!$B$11,0)))+IF(Z738="",0,Z738*サマリー!$B$12)</f>
        <v>0</v>
      </c>
      <c r="E738" s="26">
        <f t="shared" si="30"/>
        <v>0</v>
      </c>
      <c r="I738" s="29"/>
      <c r="J738" s="29"/>
      <c r="K738" s="29"/>
      <c r="L738" s="29"/>
      <c r="M738" s="29"/>
      <c r="N738" s="29"/>
      <c r="O738" s="29"/>
      <c r="P738" s="30"/>
      <c r="Q738" s="30"/>
      <c r="R738" s="30"/>
      <c r="S738" s="31"/>
      <c r="T738" s="31"/>
      <c r="U738" s="31"/>
      <c r="V738" s="31"/>
      <c r="W738" s="31"/>
      <c r="X738" s="32"/>
      <c r="Y738" s="32"/>
      <c r="Z738" s="32"/>
    </row>
    <row r="739" spans="1:26">
      <c r="A739" s="28"/>
      <c r="B739" s="17">
        <f t="shared" si="31"/>
        <v>46319</v>
      </c>
      <c r="C739" s="26">
        <f>I739+J739+K739+L739+M739+N739+O739+IF(P739="",0,P739*サマリー!$B$9)+IF(Q739="",0,IF(Q739=200,サマリー!$B$10,IF(Q739=100,サマリー!$B$11,0)))+IF(R739="",0,R739*サマリー!$B$12)</f>
        <v>0</v>
      </c>
      <c r="D739" s="26">
        <f>S739+T739+U739+V739+W739+IF(X739="",0,X739*サマリー!$B$9)+IF(Y739="",0,IF(Y739=200,サマリー!$B$10,IF(Y739=100,サマリー!$B$11,0)))+IF(Z739="",0,Z739*サマリー!$B$12)</f>
        <v>0</v>
      </c>
      <c r="E739" s="26">
        <f t="shared" ref="E739:E802" si="32">C739+D739</f>
        <v>0</v>
      </c>
      <c r="I739" s="29"/>
      <c r="J739" s="29"/>
      <c r="K739" s="29"/>
      <c r="L739" s="29"/>
      <c r="M739" s="29"/>
      <c r="N739" s="29"/>
      <c r="O739" s="29"/>
      <c r="P739" s="30"/>
      <c r="Q739" s="30"/>
      <c r="R739" s="30"/>
      <c r="S739" s="31"/>
      <c r="T739" s="31"/>
      <c r="U739" s="31"/>
      <c r="V739" s="31"/>
      <c r="W739" s="31"/>
      <c r="X739" s="32"/>
      <c r="Y739" s="32"/>
      <c r="Z739" s="32"/>
    </row>
    <row r="740" spans="1:26">
      <c r="A740" s="28"/>
      <c r="B740" s="17">
        <f t="shared" si="31"/>
        <v>46319</v>
      </c>
      <c r="C740" s="26">
        <f>I740+J740+K740+L740+M740+N740+O740+IF(P740="",0,P740*サマリー!$B$9)+IF(Q740="",0,IF(Q740=200,サマリー!$B$10,IF(Q740=100,サマリー!$B$11,0)))+IF(R740="",0,R740*サマリー!$B$12)</f>
        <v>0</v>
      </c>
      <c r="D740" s="26">
        <f>S740+T740+U740+V740+W740+IF(X740="",0,X740*サマリー!$B$9)+IF(Y740="",0,IF(Y740=200,サマリー!$B$10,IF(Y740=100,サマリー!$B$11,0)))+IF(Z740="",0,Z740*サマリー!$B$12)</f>
        <v>0</v>
      </c>
      <c r="E740" s="26">
        <f t="shared" si="32"/>
        <v>0</v>
      </c>
      <c r="I740" s="29"/>
      <c r="J740" s="29"/>
      <c r="K740" s="29"/>
      <c r="L740" s="29"/>
      <c r="M740" s="29"/>
      <c r="N740" s="29"/>
      <c r="O740" s="29"/>
      <c r="P740" s="30"/>
      <c r="Q740" s="30"/>
      <c r="R740" s="30"/>
      <c r="S740" s="31"/>
      <c r="T740" s="31"/>
      <c r="U740" s="31"/>
      <c r="V740" s="31"/>
      <c r="W740" s="31"/>
      <c r="X740" s="32"/>
      <c r="Y740" s="32"/>
      <c r="Z740" s="32"/>
    </row>
    <row r="741" spans="1:26">
      <c r="A741" s="28"/>
      <c r="B741" s="17">
        <f t="shared" si="31"/>
        <v>46319</v>
      </c>
      <c r="C741" s="26">
        <f>I741+J741+K741+L741+M741+N741+O741+IF(P741="",0,P741*サマリー!$B$9)+IF(Q741="",0,IF(Q741=200,サマリー!$B$10,IF(Q741=100,サマリー!$B$11,0)))+IF(R741="",0,R741*サマリー!$B$12)</f>
        <v>0</v>
      </c>
      <c r="D741" s="26">
        <f>S741+T741+U741+V741+W741+IF(X741="",0,X741*サマリー!$B$9)+IF(Y741="",0,IF(Y741=200,サマリー!$B$10,IF(Y741=100,サマリー!$B$11,0)))+IF(Z741="",0,Z741*サマリー!$B$12)</f>
        <v>0</v>
      </c>
      <c r="E741" s="26">
        <f t="shared" si="32"/>
        <v>0</v>
      </c>
      <c r="I741" s="29"/>
      <c r="J741" s="29"/>
      <c r="K741" s="29"/>
      <c r="L741" s="29"/>
      <c r="M741" s="29"/>
      <c r="N741" s="29"/>
      <c r="O741" s="29"/>
      <c r="P741" s="30"/>
      <c r="Q741" s="30"/>
      <c r="R741" s="30"/>
      <c r="S741" s="31"/>
      <c r="T741" s="31"/>
      <c r="U741" s="31"/>
      <c r="V741" s="31"/>
      <c r="W741" s="31"/>
      <c r="X741" s="32"/>
      <c r="Y741" s="32"/>
      <c r="Z741" s="32"/>
    </row>
    <row r="742" spans="1:26">
      <c r="A742" s="28"/>
      <c r="B742" s="17">
        <f t="shared" si="31"/>
        <v>46319</v>
      </c>
      <c r="C742" s="26">
        <f>I742+J742+K742+L742+M742+N742+O742+IF(P742="",0,P742*サマリー!$B$9)+IF(Q742="",0,IF(Q742=200,サマリー!$B$10,IF(Q742=100,サマリー!$B$11,0)))+IF(R742="",0,R742*サマリー!$B$12)</f>
        <v>0</v>
      </c>
      <c r="D742" s="26">
        <f>S742+T742+U742+V742+W742+IF(X742="",0,X742*サマリー!$B$9)+IF(Y742="",0,IF(Y742=200,サマリー!$B$10,IF(Y742=100,サマリー!$B$11,0)))+IF(Z742="",0,Z742*サマリー!$B$12)</f>
        <v>0</v>
      </c>
      <c r="E742" s="26">
        <f t="shared" si="32"/>
        <v>0</v>
      </c>
      <c r="I742" s="29"/>
      <c r="J742" s="29"/>
      <c r="K742" s="29"/>
      <c r="L742" s="29"/>
      <c r="M742" s="29"/>
      <c r="N742" s="29"/>
      <c r="O742" s="29"/>
      <c r="P742" s="30"/>
      <c r="Q742" s="30"/>
      <c r="R742" s="30"/>
      <c r="S742" s="31"/>
      <c r="T742" s="31"/>
      <c r="U742" s="31"/>
      <c r="V742" s="31"/>
      <c r="W742" s="31"/>
      <c r="X742" s="32"/>
      <c r="Y742" s="32"/>
      <c r="Z742" s="32"/>
    </row>
    <row r="743" spans="1:26">
      <c r="A743" s="28"/>
      <c r="B743" s="17">
        <f t="shared" si="31"/>
        <v>46319</v>
      </c>
      <c r="C743" s="26">
        <f>I743+J743+K743+L743+M743+N743+O743+IF(P743="",0,P743*サマリー!$B$9)+IF(Q743="",0,IF(Q743=200,サマリー!$B$10,IF(Q743=100,サマリー!$B$11,0)))+IF(R743="",0,R743*サマリー!$B$12)</f>
        <v>0</v>
      </c>
      <c r="D743" s="26">
        <f>S743+T743+U743+V743+W743+IF(X743="",0,X743*サマリー!$B$9)+IF(Y743="",0,IF(Y743=200,サマリー!$B$10,IF(Y743=100,サマリー!$B$11,0)))+IF(Z743="",0,Z743*サマリー!$B$12)</f>
        <v>0</v>
      </c>
      <c r="E743" s="26">
        <f t="shared" si="32"/>
        <v>0</v>
      </c>
      <c r="I743" s="29"/>
      <c r="J743" s="29"/>
      <c r="K743" s="29"/>
      <c r="L743" s="29"/>
      <c r="M743" s="29"/>
      <c r="N743" s="29"/>
      <c r="O743" s="29"/>
      <c r="P743" s="30"/>
      <c r="Q743" s="30"/>
      <c r="R743" s="30"/>
      <c r="S743" s="31"/>
      <c r="T743" s="31"/>
      <c r="U743" s="31"/>
      <c r="V743" s="31"/>
      <c r="W743" s="31"/>
      <c r="X743" s="32"/>
      <c r="Y743" s="32"/>
      <c r="Z743" s="32"/>
    </row>
    <row r="744" spans="1:26">
      <c r="A744" s="28"/>
      <c r="B744" s="17">
        <f t="shared" si="31"/>
        <v>46319</v>
      </c>
      <c r="C744" s="26">
        <f>I744+J744+K744+L744+M744+N744+O744+IF(P744="",0,P744*サマリー!$B$9)+IF(Q744="",0,IF(Q744=200,サマリー!$B$10,IF(Q744=100,サマリー!$B$11,0)))+IF(R744="",0,R744*サマリー!$B$12)</f>
        <v>0</v>
      </c>
      <c r="D744" s="26">
        <f>S744+T744+U744+V744+W744+IF(X744="",0,X744*サマリー!$B$9)+IF(Y744="",0,IF(Y744=200,サマリー!$B$10,IF(Y744=100,サマリー!$B$11,0)))+IF(Z744="",0,Z744*サマリー!$B$12)</f>
        <v>0</v>
      </c>
      <c r="E744" s="26">
        <f t="shared" si="32"/>
        <v>0</v>
      </c>
      <c r="I744" s="29"/>
      <c r="J744" s="29"/>
      <c r="K744" s="29"/>
      <c r="L744" s="29"/>
      <c r="M744" s="29"/>
      <c r="N744" s="29"/>
      <c r="O744" s="29"/>
      <c r="P744" s="30"/>
      <c r="Q744" s="30"/>
      <c r="R744" s="30"/>
      <c r="S744" s="31"/>
      <c r="T744" s="31"/>
      <c r="U744" s="31"/>
      <c r="V744" s="31"/>
      <c r="W744" s="31"/>
      <c r="X744" s="32"/>
      <c r="Y744" s="32"/>
      <c r="Z744" s="32"/>
    </row>
    <row r="745" spans="1:26">
      <c r="A745" s="28"/>
      <c r="B745" s="17">
        <f t="shared" si="31"/>
        <v>46319</v>
      </c>
      <c r="C745" s="26">
        <f>I745+J745+K745+L745+M745+N745+O745+IF(P745="",0,P745*サマリー!$B$9)+IF(Q745="",0,IF(Q745=200,サマリー!$B$10,IF(Q745=100,サマリー!$B$11,0)))+IF(R745="",0,R745*サマリー!$B$12)</f>
        <v>0</v>
      </c>
      <c r="D745" s="26">
        <f>S745+T745+U745+V745+W745+IF(X745="",0,X745*サマリー!$B$9)+IF(Y745="",0,IF(Y745=200,サマリー!$B$10,IF(Y745=100,サマリー!$B$11,0)))+IF(Z745="",0,Z745*サマリー!$B$12)</f>
        <v>0</v>
      </c>
      <c r="E745" s="26">
        <f t="shared" si="32"/>
        <v>0</v>
      </c>
      <c r="I745" s="29"/>
      <c r="J745" s="29"/>
      <c r="K745" s="29"/>
      <c r="L745" s="29"/>
      <c r="M745" s="29"/>
      <c r="N745" s="29"/>
      <c r="O745" s="29"/>
      <c r="P745" s="30"/>
      <c r="Q745" s="30"/>
      <c r="R745" s="30"/>
      <c r="S745" s="31"/>
      <c r="T745" s="31"/>
      <c r="U745" s="31"/>
      <c r="V745" s="31"/>
      <c r="W745" s="31"/>
      <c r="X745" s="32"/>
      <c r="Y745" s="32"/>
      <c r="Z745" s="32"/>
    </row>
    <row r="746" spans="1:26">
      <c r="A746" s="28"/>
      <c r="B746" s="17">
        <f t="shared" si="31"/>
        <v>46319</v>
      </c>
      <c r="C746" s="26">
        <f>I746+J746+K746+L746+M746+N746+O746+IF(P746="",0,P746*サマリー!$B$9)+IF(Q746="",0,IF(Q746=200,サマリー!$B$10,IF(Q746=100,サマリー!$B$11,0)))+IF(R746="",0,R746*サマリー!$B$12)</f>
        <v>0</v>
      </c>
      <c r="D746" s="26">
        <f>S746+T746+U746+V746+W746+IF(X746="",0,X746*サマリー!$B$9)+IF(Y746="",0,IF(Y746=200,サマリー!$B$10,IF(Y746=100,サマリー!$B$11,0)))+IF(Z746="",0,Z746*サマリー!$B$12)</f>
        <v>0</v>
      </c>
      <c r="E746" s="26">
        <f t="shared" si="32"/>
        <v>0</v>
      </c>
      <c r="I746" s="29"/>
      <c r="J746" s="29"/>
      <c r="K746" s="29"/>
      <c r="L746" s="29"/>
      <c r="M746" s="29"/>
      <c r="N746" s="29"/>
      <c r="O746" s="29"/>
      <c r="P746" s="30"/>
      <c r="Q746" s="30"/>
      <c r="R746" s="30"/>
      <c r="S746" s="31"/>
      <c r="T746" s="31"/>
      <c r="U746" s="31"/>
      <c r="V746" s="31"/>
      <c r="W746" s="31"/>
      <c r="X746" s="32"/>
      <c r="Y746" s="32"/>
      <c r="Z746" s="32"/>
    </row>
    <row r="747" spans="1:26">
      <c r="A747" s="28"/>
      <c r="B747" s="17">
        <f t="shared" si="31"/>
        <v>46319</v>
      </c>
      <c r="C747" s="26">
        <f>I747+J747+K747+L747+M747+N747+O747+IF(P747="",0,P747*サマリー!$B$9)+IF(Q747="",0,IF(Q747=200,サマリー!$B$10,IF(Q747=100,サマリー!$B$11,0)))+IF(R747="",0,R747*サマリー!$B$12)</f>
        <v>0</v>
      </c>
      <c r="D747" s="26">
        <f>S747+T747+U747+V747+W747+IF(X747="",0,X747*サマリー!$B$9)+IF(Y747="",0,IF(Y747=200,サマリー!$B$10,IF(Y747=100,サマリー!$B$11,0)))+IF(Z747="",0,Z747*サマリー!$B$12)</f>
        <v>0</v>
      </c>
      <c r="E747" s="26">
        <f t="shared" si="32"/>
        <v>0</v>
      </c>
      <c r="I747" s="29"/>
      <c r="J747" s="29"/>
      <c r="K747" s="29"/>
      <c r="L747" s="29"/>
      <c r="M747" s="29"/>
      <c r="N747" s="29"/>
      <c r="O747" s="29"/>
      <c r="P747" s="30"/>
      <c r="Q747" s="30"/>
      <c r="R747" s="30"/>
      <c r="S747" s="31"/>
      <c r="T747" s="31"/>
      <c r="U747" s="31"/>
      <c r="V747" s="31"/>
      <c r="W747" s="31"/>
      <c r="X747" s="32"/>
      <c r="Y747" s="32"/>
      <c r="Z747" s="32"/>
    </row>
    <row r="748" spans="1:26">
      <c r="A748" s="28"/>
      <c r="B748" s="17">
        <f t="shared" si="31"/>
        <v>46319</v>
      </c>
      <c r="C748" s="26">
        <f>I748+J748+K748+L748+M748+N748+O748+IF(P748="",0,P748*サマリー!$B$9)+IF(Q748="",0,IF(Q748=200,サマリー!$B$10,IF(Q748=100,サマリー!$B$11,0)))+IF(R748="",0,R748*サマリー!$B$12)</f>
        <v>0</v>
      </c>
      <c r="D748" s="26">
        <f>S748+T748+U748+V748+W748+IF(X748="",0,X748*サマリー!$B$9)+IF(Y748="",0,IF(Y748=200,サマリー!$B$10,IF(Y748=100,サマリー!$B$11,0)))+IF(Z748="",0,Z748*サマリー!$B$12)</f>
        <v>0</v>
      </c>
      <c r="E748" s="26">
        <f t="shared" si="32"/>
        <v>0</v>
      </c>
      <c r="I748" s="29"/>
      <c r="J748" s="29"/>
      <c r="K748" s="29"/>
      <c r="L748" s="29"/>
      <c r="M748" s="29"/>
      <c r="N748" s="29"/>
      <c r="O748" s="29"/>
      <c r="P748" s="30"/>
      <c r="Q748" s="30"/>
      <c r="R748" s="30"/>
      <c r="S748" s="31"/>
      <c r="T748" s="31"/>
      <c r="U748" s="31"/>
      <c r="V748" s="31"/>
      <c r="W748" s="31"/>
      <c r="X748" s="32"/>
      <c r="Y748" s="32"/>
      <c r="Z748" s="32"/>
    </row>
    <row r="749" spans="1:26">
      <c r="A749" s="28"/>
      <c r="B749" s="17">
        <f t="shared" si="31"/>
        <v>46319</v>
      </c>
      <c r="C749" s="26">
        <f>I749+J749+K749+L749+M749+N749+O749+IF(P749="",0,P749*サマリー!$B$9)+IF(Q749="",0,IF(Q749=200,サマリー!$B$10,IF(Q749=100,サマリー!$B$11,0)))+IF(R749="",0,R749*サマリー!$B$12)</f>
        <v>0</v>
      </c>
      <c r="D749" s="26">
        <f>S749+T749+U749+V749+W749+IF(X749="",0,X749*サマリー!$B$9)+IF(Y749="",0,IF(Y749=200,サマリー!$B$10,IF(Y749=100,サマリー!$B$11,0)))+IF(Z749="",0,Z749*サマリー!$B$12)</f>
        <v>0</v>
      </c>
      <c r="E749" s="26">
        <f t="shared" si="32"/>
        <v>0</v>
      </c>
      <c r="I749" s="29"/>
      <c r="J749" s="29"/>
      <c r="K749" s="29"/>
      <c r="L749" s="29"/>
      <c r="M749" s="29"/>
      <c r="N749" s="29"/>
      <c r="O749" s="29"/>
      <c r="P749" s="30"/>
      <c r="Q749" s="30"/>
      <c r="R749" s="30"/>
      <c r="S749" s="31"/>
      <c r="T749" s="31"/>
      <c r="U749" s="31"/>
      <c r="V749" s="31"/>
      <c r="W749" s="31"/>
      <c r="X749" s="32"/>
      <c r="Y749" s="32"/>
      <c r="Z749" s="32"/>
    </row>
    <row r="750" spans="1:26">
      <c r="A750" s="28"/>
      <c r="B750" s="17">
        <f t="shared" si="31"/>
        <v>46319</v>
      </c>
      <c r="C750" s="26">
        <f>I750+J750+K750+L750+M750+N750+O750+IF(P750="",0,P750*サマリー!$B$9)+IF(Q750="",0,IF(Q750=200,サマリー!$B$10,IF(Q750=100,サマリー!$B$11,0)))+IF(R750="",0,R750*サマリー!$B$12)</f>
        <v>0</v>
      </c>
      <c r="D750" s="26">
        <f>S750+T750+U750+V750+W750+IF(X750="",0,X750*サマリー!$B$9)+IF(Y750="",0,IF(Y750=200,サマリー!$B$10,IF(Y750=100,サマリー!$B$11,0)))+IF(Z750="",0,Z750*サマリー!$B$12)</f>
        <v>0</v>
      </c>
      <c r="E750" s="26">
        <f t="shared" si="32"/>
        <v>0</v>
      </c>
      <c r="I750" s="29"/>
      <c r="J750" s="29"/>
      <c r="K750" s="29"/>
      <c r="L750" s="29"/>
      <c r="M750" s="29"/>
      <c r="N750" s="29"/>
      <c r="O750" s="29"/>
      <c r="P750" s="30"/>
      <c r="Q750" s="30"/>
      <c r="R750" s="30"/>
      <c r="S750" s="31"/>
      <c r="T750" s="31"/>
      <c r="U750" s="31"/>
      <c r="V750" s="31"/>
      <c r="W750" s="31"/>
      <c r="X750" s="32"/>
      <c r="Y750" s="32"/>
      <c r="Z750" s="32"/>
    </row>
    <row r="751" spans="1:26">
      <c r="A751" s="28"/>
      <c r="B751" s="17">
        <f t="shared" si="31"/>
        <v>46319</v>
      </c>
      <c r="C751" s="26">
        <f>I751+J751+K751+L751+M751+N751+O751+IF(P751="",0,P751*サマリー!$B$9)+IF(Q751="",0,IF(Q751=200,サマリー!$B$10,IF(Q751=100,サマリー!$B$11,0)))+IF(R751="",0,R751*サマリー!$B$12)</f>
        <v>0</v>
      </c>
      <c r="D751" s="26">
        <f>S751+T751+U751+V751+W751+IF(X751="",0,X751*サマリー!$B$9)+IF(Y751="",0,IF(Y751=200,サマリー!$B$10,IF(Y751=100,サマリー!$B$11,0)))+IF(Z751="",0,Z751*サマリー!$B$12)</f>
        <v>0</v>
      </c>
      <c r="E751" s="26">
        <f t="shared" si="32"/>
        <v>0</v>
      </c>
      <c r="I751" s="29"/>
      <c r="J751" s="29"/>
      <c r="K751" s="29"/>
      <c r="L751" s="29"/>
      <c r="M751" s="29"/>
      <c r="N751" s="29"/>
      <c r="O751" s="29"/>
      <c r="P751" s="30"/>
      <c r="Q751" s="30"/>
      <c r="R751" s="30"/>
      <c r="S751" s="31"/>
      <c r="T751" s="31"/>
      <c r="U751" s="31"/>
      <c r="V751" s="31"/>
      <c r="W751" s="31"/>
      <c r="X751" s="32"/>
      <c r="Y751" s="32"/>
      <c r="Z751" s="32"/>
    </row>
    <row r="752" spans="1:26">
      <c r="A752" s="28"/>
      <c r="B752" s="17">
        <f t="shared" si="31"/>
        <v>46319</v>
      </c>
      <c r="C752" s="26">
        <f>I752+J752+K752+L752+M752+N752+O752+IF(P752="",0,P752*サマリー!$B$9)+IF(Q752="",0,IF(Q752=200,サマリー!$B$10,IF(Q752=100,サマリー!$B$11,0)))+IF(R752="",0,R752*サマリー!$B$12)</f>
        <v>0</v>
      </c>
      <c r="D752" s="26">
        <f>S752+T752+U752+V752+W752+IF(X752="",0,X752*サマリー!$B$9)+IF(Y752="",0,IF(Y752=200,サマリー!$B$10,IF(Y752=100,サマリー!$B$11,0)))+IF(Z752="",0,Z752*サマリー!$B$12)</f>
        <v>0</v>
      </c>
      <c r="E752" s="26">
        <f t="shared" si="32"/>
        <v>0</v>
      </c>
      <c r="I752" s="29"/>
      <c r="J752" s="29"/>
      <c r="K752" s="29"/>
      <c r="L752" s="29"/>
      <c r="M752" s="29"/>
      <c r="N752" s="29"/>
      <c r="O752" s="29"/>
      <c r="P752" s="30"/>
      <c r="Q752" s="30"/>
      <c r="R752" s="30"/>
      <c r="S752" s="31"/>
      <c r="T752" s="31"/>
      <c r="U752" s="31"/>
      <c r="V752" s="31"/>
      <c r="W752" s="31"/>
      <c r="X752" s="32"/>
      <c r="Y752" s="32"/>
      <c r="Z752" s="32"/>
    </row>
    <row r="753" spans="1:26">
      <c r="A753" s="28"/>
      <c r="B753" s="17">
        <f t="shared" si="31"/>
        <v>46319</v>
      </c>
      <c r="C753" s="26">
        <f>I753+J753+K753+L753+M753+N753+O753+IF(P753="",0,P753*サマリー!$B$9)+IF(Q753="",0,IF(Q753=200,サマリー!$B$10,IF(Q753=100,サマリー!$B$11,0)))+IF(R753="",0,R753*サマリー!$B$12)</f>
        <v>0</v>
      </c>
      <c r="D753" s="26">
        <f>S753+T753+U753+V753+W753+IF(X753="",0,X753*サマリー!$B$9)+IF(Y753="",0,IF(Y753=200,サマリー!$B$10,IF(Y753=100,サマリー!$B$11,0)))+IF(Z753="",0,Z753*サマリー!$B$12)</f>
        <v>0</v>
      </c>
      <c r="E753" s="26">
        <f t="shared" si="32"/>
        <v>0</v>
      </c>
      <c r="I753" s="29"/>
      <c r="J753" s="29"/>
      <c r="K753" s="29"/>
      <c r="L753" s="29"/>
      <c r="M753" s="29"/>
      <c r="N753" s="29"/>
      <c r="O753" s="29"/>
      <c r="P753" s="30"/>
      <c r="Q753" s="30"/>
      <c r="R753" s="30"/>
      <c r="S753" s="31"/>
      <c r="T753" s="31"/>
      <c r="U753" s="31"/>
      <c r="V753" s="31"/>
      <c r="W753" s="31"/>
      <c r="X753" s="32"/>
      <c r="Y753" s="32"/>
      <c r="Z753" s="32"/>
    </row>
    <row r="754" spans="1:26">
      <c r="A754" s="28"/>
      <c r="B754" s="17">
        <f t="shared" si="31"/>
        <v>46319</v>
      </c>
      <c r="C754" s="26">
        <f>I754+J754+K754+L754+M754+N754+O754+IF(P754="",0,P754*サマリー!$B$9)+IF(Q754="",0,IF(Q754=200,サマリー!$B$10,IF(Q754=100,サマリー!$B$11,0)))+IF(R754="",0,R754*サマリー!$B$12)</f>
        <v>0</v>
      </c>
      <c r="D754" s="26">
        <f>S754+T754+U754+V754+W754+IF(X754="",0,X754*サマリー!$B$9)+IF(Y754="",0,IF(Y754=200,サマリー!$B$10,IF(Y754=100,サマリー!$B$11,0)))+IF(Z754="",0,Z754*サマリー!$B$12)</f>
        <v>0</v>
      </c>
      <c r="E754" s="26">
        <f t="shared" si="32"/>
        <v>0</v>
      </c>
      <c r="I754" s="29"/>
      <c r="J754" s="29"/>
      <c r="K754" s="29"/>
      <c r="L754" s="29"/>
      <c r="M754" s="29"/>
      <c r="N754" s="29"/>
      <c r="O754" s="29"/>
      <c r="P754" s="30"/>
      <c r="Q754" s="30"/>
      <c r="R754" s="30"/>
      <c r="S754" s="31"/>
      <c r="T754" s="31"/>
      <c r="U754" s="31"/>
      <c r="V754" s="31"/>
      <c r="W754" s="31"/>
      <c r="X754" s="32"/>
      <c r="Y754" s="32"/>
      <c r="Z754" s="32"/>
    </row>
    <row r="755" spans="1:26">
      <c r="A755" s="28"/>
      <c r="B755" s="17">
        <f t="shared" si="31"/>
        <v>46319</v>
      </c>
      <c r="C755" s="26">
        <f>I755+J755+K755+L755+M755+N755+O755+IF(P755="",0,P755*サマリー!$B$9)+IF(Q755="",0,IF(Q755=200,サマリー!$B$10,IF(Q755=100,サマリー!$B$11,0)))+IF(R755="",0,R755*サマリー!$B$12)</f>
        <v>0</v>
      </c>
      <c r="D755" s="26">
        <f>S755+T755+U755+V755+W755+IF(X755="",0,X755*サマリー!$B$9)+IF(Y755="",0,IF(Y755=200,サマリー!$B$10,IF(Y755=100,サマリー!$B$11,0)))+IF(Z755="",0,Z755*サマリー!$B$12)</f>
        <v>0</v>
      </c>
      <c r="E755" s="26">
        <f t="shared" si="32"/>
        <v>0</v>
      </c>
      <c r="I755" s="29"/>
      <c r="J755" s="29"/>
      <c r="K755" s="29"/>
      <c r="L755" s="29"/>
      <c r="M755" s="29"/>
      <c r="N755" s="29"/>
      <c r="O755" s="29"/>
      <c r="P755" s="30"/>
      <c r="Q755" s="30"/>
      <c r="R755" s="30"/>
      <c r="S755" s="31"/>
      <c r="T755" s="31"/>
      <c r="U755" s="31"/>
      <c r="V755" s="31"/>
      <c r="W755" s="31"/>
      <c r="X755" s="32"/>
      <c r="Y755" s="32"/>
      <c r="Z755" s="32"/>
    </row>
    <row r="756" spans="1:26">
      <c r="A756" s="28"/>
      <c r="B756" s="17">
        <f t="shared" si="31"/>
        <v>46319</v>
      </c>
      <c r="C756" s="26">
        <f>I756+J756+K756+L756+M756+N756+O756+IF(P756="",0,P756*サマリー!$B$9)+IF(Q756="",0,IF(Q756=200,サマリー!$B$10,IF(Q756=100,サマリー!$B$11,0)))+IF(R756="",0,R756*サマリー!$B$12)</f>
        <v>0</v>
      </c>
      <c r="D756" s="26">
        <f>S756+T756+U756+V756+W756+IF(X756="",0,X756*サマリー!$B$9)+IF(Y756="",0,IF(Y756=200,サマリー!$B$10,IF(Y756=100,サマリー!$B$11,0)))+IF(Z756="",0,Z756*サマリー!$B$12)</f>
        <v>0</v>
      </c>
      <c r="E756" s="26">
        <f t="shared" si="32"/>
        <v>0</v>
      </c>
      <c r="I756" s="29"/>
      <c r="J756" s="29"/>
      <c r="K756" s="29"/>
      <c r="L756" s="29"/>
      <c r="M756" s="29"/>
      <c r="N756" s="29"/>
      <c r="O756" s="29"/>
      <c r="P756" s="30"/>
      <c r="Q756" s="30"/>
      <c r="R756" s="30"/>
      <c r="S756" s="31"/>
      <c r="T756" s="31"/>
      <c r="U756" s="31"/>
      <c r="V756" s="31"/>
      <c r="W756" s="31"/>
      <c r="X756" s="32"/>
      <c r="Y756" s="32"/>
      <c r="Z756" s="32"/>
    </row>
    <row r="757" spans="1:26">
      <c r="A757" s="28"/>
      <c r="B757" s="17">
        <f t="shared" si="31"/>
        <v>46319</v>
      </c>
      <c r="C757" s="26">
        <f>I757+J757+K757+L757+M757+N757+O757+IF(P757="",0,P757*サマリー!$B$9)+IF(Q757="",0,IF(Q757=200,サマリー!$B$10,IF(Q757=100,サマリー!$B$11,0)))+IF(R757="",0,R757*サマリー!$B$12)</f>
        <v>0</v>
      </c>
      <c r="D757" s="26">
        <f>S757+T757+U757+V757+W757+IF(X757="",0,X757*サマリー!$B$9)+IF(Y757="",0,IF(Y757=200,サマリー!$B$10,IF(Y757=100,サマリー!$B$11,0)))+IF(Z757="",0,Z757*サマリー!$B$12)</f>
        <v>0</v>
      </c>
      <c r="E757" s="26">
        <f t="shared" si="32"/>
        <v>0</v>
      </c>
      <c r="I757" s="29"/>
      <c r="J757" s="29"/>
      <c r="K757" s="29"/>
      <c r="L757" s="29"/>
      <c r="M757" s="29"/>
      <c r="N757" s="29"/>
      <c r="O757" s="29"/>
      <c r="P757" s="30"/>
      <c r="Q757" s="30"/>
      <c r="R757" s="30"/>
      <c r="S757" s="31"/>
      <c r="T757" s="31"/>
      <c r="U757" s="31"/>
      <c r="V757" s="31"/>
      <c r="W757" s="31"/>
      <c r="X757" s="32"/>
      <c r="Y757" s="32"/>
      <c r="Z757" s="32"/>
    </row>
    <row r="758" spans="1:26">
      <c r="A758" s="28"/>
      <c r="B758" s="17">
        <f t="shared" si="31"/>
        <v>46319</v>
      </c>
      <c r="C758" s="26">
        <f>I758+J758+K758+L758+M758+N758+O758+IF(P758="",0,P758*サマリー!$B$9)+IF(Q758="",0,IF(Q758=200,サマリー!$B$10,IF(Q758=100,サマリー!$B$11,0)))+IF(R758="",0,R758*サマリー!$B$12)</f>
        <v>0</v>
      </c>
      <c r="D758" s="26">
        <f>S758+T758+U758+V758+W758+IF(X758="",0,X758*サマリー!$B$9)+IF(Y758="",0,IF(Y758=200,サマリー!$B$10,IF(Y758=100,サマリー!$B$11,0)))+IF(Z758="",0,Z758*サマリー!$B$12)</f>
        <v>0</v>
      </c>
      <c r="E758" s="26">
        <f t="shared" si="32"/>
        <v>0</v>
      </c>
      <c r="I758" s="29"/>
      <c r="J758" s="29"/>
      <c r="K758" s="29"/>
      <c r="L758" s="29"/>
      <c r="M758" s="29"/>
      <c r="N758" s="29"/>
      <c r="O758" s="29"/>
      <c r="P758" s="30"/>
      <c r="Q758" s="30"/>
      <c r="R758" s="30"/>
      <c r="S758" s="31"/>
      <c r="T758" s="31"/>
      <c r="U758" s="31"/>
      <c r="V758" s="31"/>
      <c r="W758" s="31"/>
      <c r="X758" s="32"/>
      <c r="Y758" s="32"/>
      <c r="Z758" s="32"/>
    </row>
    <row r="759" spans="1:26">
      <c r="A759" s="28"/>
      <c r="B759" s="17">
        <f t="shared" si="31"/>
        <v>46319</v>
      </c>
      <c r="C759" s="26">
        <f>I759+J759+K759+L759+M759+N759+O759+IF(P759="",0,P759*サマリー!$B$9)+IF(Q759="",0,IF(Q759=200,サマリー!$B$10,IF(Q759=100,サマリー!$B$11,0)))+IF(R759="",0,R759*サマリー!$B$12)</f>
        <v>0</v>
      </c>
      <c r="D759" s="26">
        <f>S759+T759+U759+V759+W759+IF(X759="",0,X759*サマリー!$B$9)+IF(Y759="",0,IF(Y759=200,サマリー!$B$10,IF(Y759=100,サマリー!$B$11,0)))+IF(Z759="",0,Z759*サマリー!$B$12)</f>
        <v>0</v>
      </c>
      <c r="E759" s="26">
        <f t="shared" si="32"/>
        <v>0</v>
      </c>
      <c r="I759" s="29"/>
      <c r="J759" s="29"/>
      <c r="K759" s="29"/>
      <c r="L759" s="29"/>
      <c r="M759" s="29"/>
      <c r="N759" s="29"/>
      <c r="O759" s="29"/>
      <c r="P759" s="30"/>
      <c r="Q759" s="30"/>
      <c r="R759" s="30"/>
      <c r="S759" s="31"/>
      <c r="T759" s="31"/>
      <c r="U759" s="31"/>
      <c r="V759" s="31"/>
      <c r="W759" s="31"/>
      <c r="X759" s="32"/>
      <c r="Y759" s="32"/>
      <c r="Z759" s="32"/>
    </row>
    <row r="760" spans="1:26">
      <c r="A760" s="28"/>
      <c r="B760" s="17">
        <f t="shared" si="31"/>
        <v>46319</v>
      </c>
      <c r="C760" s="26">
        <f>I760+J760+K760+L760+M760+N760+O760+IF(P760="",0,P760*サマリー!$B$9)+IF(Q760="",0,IF(Q760=200,サマリー!$B$10,IF(Q760=100,サマリー!$B$11,0)))+IF(R760="",0,R760*サマリー!$B$12)</f>
        <v>0</v>
      </c>
      <c r="D760" s="26">
        <f>S760+T760+U760+V760+W760+IF(X760="",0,X760*サマリー!$B$9)+IF(Y760="",0,IF(Y760=200,サマリー!$B$10,IF(Y760=100,サマリー!$B$11,0)))+IF(Z760="",0,Z760*サマリー!$B$12)</f>
        <v>0</v>
      </c>
      <c r="E760" s="26">
        <f t="shared" si="32"/>
        <v>0</v>
      </c>
      <c r="I760" s="29"/>
      <c r="J760" s="29"/>
      <c r="K760" s="29"/>
      <c r="L760" s="29"/>
      <c r="M760" s="29"/>
      <c r="N760" s="29"/>
      <c r="O760" s="29"/>
      <c r="P760" s="30"/>
      <c r="Q760" s="30"/>
      <c r="R760" s="30"/>
      <c r="S760" s="31"/>
      <c r="T760" s="31"/>
      <c r="U760" s="31"/>
      <c r="V760" s="31"/>
      <c r="W760" s="31"/>
      <c r="X760" s="32"/>
      <c r="Y760" s="32"/>
      <c r="Z760" s="32"/>
    </row>
    <row r="761" spans="1:26">
      <c r="A761" s="28"/>
      <c r="B761" s="17">
        <f t="shared" si="31"/>
        <v>46319</v>
      </c>
      <c r="C761" s="26">
        <f>I761+J761+K761+L761+M761+N761+O761+IF(P761="",0,P761*サマリー!$B$9)+IF(Q761="",0,IF(Q761=200,サマリー!$B$10,IF(Q761=100,サマリー!$B$11,0)))+IF(R761="",0,R761*サマリー!$B$12)</f>
        <v>0</v>
      </c>
      <c r="D761" s="26">
        <f>S761+T761+U761+V761+W761+IF(X761="",0,X761*サマリー!$B$9)+IF(Y761="",0,IF(Y761=200,サマリー!$B$10,IF(Y761=100,サマリー!$B$11,0)))+IF(Z761="",0,Z761*サマリー!$B$12)</f>
        <v>0</v>
      </c>
      <c r="E761" s="26">
        <f t="shared" si="32"/>
        <v>0</v>
      </c>
      <c r="I761" s="29"/>
      <c r="J761" s="29"/>
      <c r="K761" s="29"/>
      <c r="L761" s="29"/>
      <c r="M761" s="29"/>
      <c r="N761" s="29"/>
      <c r="O761" s="29"/>
      <c r="P761" s="30"/>
      <c r="Q761" s="30"/>
      <c r="R761" s="30"/>
      <c r="S761" s="31"/>
      <c r="T761" s="31"/>
      <c r="U761" s="31"/>
      <c r="V761" s="31"/>
      <c r="W761" s="31"/>
      <c r="X761" s="32"/>
      <c r="Y761" s="32"/>
      <c r="Z761" s="32"/>
    </row>
    <row r="762" spans="1:26">
      <c r="A762" s="28"/>
      <c r="B762" s="17">
        <f t="shared" si="31"/>
        <v>46319</v>
      </c>
      <c r="C762" s="26">
        <f>I762+J762+K762+L762+M762+N762+O762+IF(P762="",0,P762*サマリー!$B$9)+IF(Q762="",0,IF(Q762=200,サマリー!$B$10,IF(Q762=100,サマリー!$B$11,0)))+IF(R762="",0,R762*サマリー!$B$12)</f>
        <v>0</v>
      </c>
      <c r="D762" s="26">
        <f>S762+T762+U762+V762+W762+IF(X762="",0,X762*サマリー!$B$9)+IF(Y762="",0,IF(Y762=200,サマリー!$B$10,IF(Y762=100,サマリー!$B$11,0)))+IF(Z762="",0,Z762*サマリー!$B$12)</f>
        <v>0</v>
      </c>
      <c r="E762" s="26">
        <f t="shared" si="32"/>
        <v>0</v>
      </c>
      <c r="I762" s="29"/>
      <c r="J762" s="29"/>
      <c r="K762" s="29"/>
      <c r="L762" s="29"/>
      <c r="M762" s="29"/>
      <c r="N762" s="29"/>
      <c r="O762" s="29"/>
      <c r="P762" s="30"/>
      <c r="Q762" s="30"/>
      <c r="R762" s="30"/>
      <c r="S762" s="31"/>
      <c r="T762" s="31"/>
      <c r="U762" s="31"/>
      <c r="V762" s="31"/>
      <c r="W762" s="31"/>
      <c r="X762" s="32"/>
      <c r="Y762" s="32"/>
      <c r="Z762" s="32"/>
    </row>
    <row r="763" spans="1:26">
      <c r="A763" s="28"/>
      <c r="B763" s="17">
        <f t="shared" si="31"/>
        <v>46319</v>
      </c>
      <c r="C763" s="26">
        <f>I763+J763+K763+L763+M763+N763+O763+IF(P763="",0,P763*サマリー!$B$9)+IF(Q763="",0,IF(Q763=200,サマリー!$B$10,IF(Q763=100,サマリー!$B$11,0)))+IF(R763="",0,R763*サマリー!$B$12)</f>
        <v>0</v>
      </c>
      <c r="D763" s="26">
        <f>S763+T763+U763+V763+W763+IF(X763="",0,X763*サマリー!$B$9)+IF(Y763="",0,IF(Y763=200,サマリー!$B$10,IF(Y763=100,サマリー!$B$11,0)))+IF(Z763="",0,Z763*サマリー!$B$12)</f>
        <v>0</v>
      </c>
      <c r="E763" s="26">
        <f t="shared" si="32"/>
        <v>0</v>
      </c>
      <c r="I763" s="29"/>
      <c r="J763" s="29"/>
      <c r="K763" s="29"/>
      <c r="L763" s="29"/>
      <c r="M763" s="29"/>
      <c r="N763" s="29"/>
      <c r="O763" s="29"/>
      <c r="P763" s="30"/>
      <c r="Q763" s="30"/>
      <c r="R763" s="30"/>
      <c r="S763" s="31"/>
      <c r="T763" s="31"/>
      <c r="U763" s="31"/>
      <c r="V763" s="31"/>
      <c r="W763" s="31"/>
      <c r="X763" s="32"/>
      <c r="Y763" s="32"/>
      <c r="Z763" s="32"/>
    </row>
    <row r="764" spans="1:26">
      <c r="A764" s="28"/>
      <c r="B764" s="17">
        <f t="shared" si="31"/>
        <v>46319</v>
      </c>
      <c r="C764" s="26">
        <f>I764+J764+K764+L764+M764+N764+O764+IF(P764="",0,P764*サマリー!$B$9)+IF(Q764="",0,IF(Q764=200,サマリー!$B$10,IF(Q764=100,サマリー!$B$11,0)))+IF(R764="",0,R764*サマリー!$B$12)</f>
        <v>0</v>
      </c>
      <c r="D764" s="26">
        <f>S764+T764+U764+V764+W764+IF(X764="",0,X764*サマリー!$B$9)+IF(Y764="",0,IF(Y764=200,サマリー!$B$10,IF(Y764=100,サマリー!$B$11,0)))+IF(Z764="",0,Z764*サマリー!$B$12)</f>
        <v>0</v>
      </c>
      <c r="E764" s="26">
        <f t="shared" si="32"/>
        <v>0</v>
      </c>
      <c r="I764" s="29"/>
      <c r="J764" s="29"/>
      <c r="K764" s="29"/>
      <c r="L764" s="29"/>
      <c r="M764" s="29"/>
      <c r="N764" s="29"/>
      <c r="O764" s="29"/>
      <c r="P764" s="30"/>
      <c r="Q764" s="30"/>
      <c r="R764" s="30"/>
      <c r="S764" s="31"/>
      <c r="T764" s="31"/>
      <c r="U764" s="31"/>
      <c r="V764" s="31"/>
      <c r="W764" s="31"/>
      <c r="X764" s="32"/>
      <c r="Y764" s="32"/>
      <c r="Z764" s="32"/>
    </row>
    <row r="765" spans="1:26">
      <c r="A765" s="28"/>
      <c r="B765" s="17">
        <f t="shared" si="31"/>
        <v>46319</v>
      </c>
      <c r="C765" s="26">
        <f>I765+J765+K765+L765+M765+N765+O765+IF(P765="",0,P765*サマリー!$B$9)+IF(Q765="",0,IF(Q765=200,サマリー!$B$10,IF(Q765=100,サマリー!$B$11,0)))+IF(R765="",0,R765*サマリー!$B$12)</f>
        <v>0</v>
      </c>
      <c r="D765" s="26">
        <f>S765+T765+U765+V765+W765+IF(X765="",0,X765*サマリー!$B$9)+IF(Y765="",0,IF(Y765=200,サマリー!$B$10,IF(Y765=100,サマリー!$B$11,0)))+IF(Z765="",0,Z765*サマリー!$B$12)</f>
        <v>0</v>
      </c>
      <c r="E765" s="26">
        <f t="shared" si="32"/>
        <v>0</v>
      </c>
      <c r="I765" s="29"/>
      <c r="J765" s="29"/>
      <c r="K765" s="29"/>
      <c r="L765" s="29"/>
      <c r="M765" s="29"/>
      <c r="N765" s="29"/>
      <c r="O765" s="29"/>
      <c r="P765" s="30"/>
      <c r="Q765" s="30"/>
      <c r="R765" s="30"/>
      <c r="S765" s="31"/>
      <c r="T765" s="31"/>
      <c r="U765" s="31"/>
      <c r="V765" s="31"/>
      <c r="W765" s="31"/>
      <c r="X765" s="32"/>
      <c r="Y765" s="32"/>
      <c r="Z765" s="32"/>
    </row>
    <row r="766" spans="1:26">
      <c r="A766" s="28"/>
      <c r="B766" s="17">
        <f t="shared" si="31"/>
        <v>46319</v>
      </c>
      <c r="C766" s="26">
        <f>I766+J766+K766+L766+M766+N766+O766+IF(P766="",0,P766*サマリー!$B$9)+IF(Q766="",0,IF(Q766=200,サマリー!$B$10,IF(Q766=100,サマリー!$B$11,0)))+IF(R766="",0,R766*サマリー!$B$12)</f>
        <v>0</v>
      </c>
      <c r="D766" s="26">
        <f>S766+T766+U766+V766+W766+IF(X766="",0,X766*サマリー!$B$9)+IF(Y766="",0,IF(Y766=200,サマリー!$B$10,IF(Y766=100,サマリー!$B$11,0)))+IF(Z766="",0,Z766*サマリー!$B$12)</f>
        <v>0</v>
      </c>
      <c r="E766" s="26">
        <f t="shared" si="32"/>
        <v>0</v>
      </c>
      <c r="I766" s="29"/>
      <c r="J766" s="29"/>
      <c r="K766" s="29"/>
      <c r="L766" s="29"/>
      <c r="M766" s="29"/>
      <c r="N766" s="29"/>
      <c r="O766" s="29"/>
      <c r="P766" s="30"/>
      <c r="Q766" s="30"/>
      <c r="R766" s="30"/>
      <c r="S766" s="31"/>
      <c r="T766" s="31"/>
      <c r="U766" s="31"/>
      <c r="V766" s="31"/>
      <c r="W766" s="31"/>
      <c r="X766" s="32"/>
      <c r="Y766" s="32"/>
      <c r="Z766" s="32"/>
    </row>
    <row r="767" spans="1:26">
      <c r="A767" s="28"/>
      <c r="B767" s="17">
        <f t="shared" si="31"/>
        <v>46319</v>
      </c>
      <c r="C767" s="26">
        <f>I767+J767+K767+L767+M767+N767+O767+IF(P767="",0,P767*サマリー!$B$9)+IF(Q767="",0,IF(Q767=200,サマリー!$B$10,IF(Q767=100,サマリー!$B$11,0)))+IF(R767="",0,R767*サマリー!$B$12)</f>
        <v>0</v>
      </c>
      <c r="D767" s="26">
        <f>S767+T767+U767+V767+W767+IF(X767="",0,X767*サマリー!$B$9)+IF(Y767="",0,IF(Y767=200,サマリー!$B$10,IF(Y767=100,サマリー!$B$11,0)))+IF(Z767="",0,Z767*サマリー!$B$12)</f>
        <v>0</v>
      </c>
      <c r="E767" s="26">
        <f t="shared" si="32"/>
        <v>0</v>
      </c>
      <c r="I767" s="29"/>
      <c r="J767" s="29"/>
      <c r="K767" s="29"/>
      <c r="L767" s="29"/>
      <c r="M767" s="29"/>
      <c r="N767" s="29"/>
      <c r="O767" s="29"/>
      <c r="P767" s="30"/>
      <c r="Q767" s="30"/>
      <c r="R767" s="30"/>
      <c r="S767" s="31"/>
      <c r="T767" s="31"/>
      <c r="U767" s="31"/>
      <c r="V767" s="31"/>
      <c r="W767" s="31"/>
      <c r="X767" s="32"/>
      <c r="Y767" s="32"/>
      <c r="Z767" s="32"/>
    </row>
    <row r="768" spans="1:26">
      <c r="A768" s="28"/>
      <c r="B768" s="17">
        <f t="shared" si="31"/>
        <v>46319</v>
      </c>
      <c r="C768" s="26">
        <f>I768+J768+K768+L768+M768+N768+O768+IF(P768="",0,P768*サマリー!$B$9)+IF(Q768="",0,IF(Q768=200,サマリー!$B$10,IF(Q768=100,サマリー!$B$11,0)))+IF(R768="",0,R768*サマリー!$B$12)</f>
        <v>0</v>
      </c>
      <c r="D768" s="26">
        <f>S768+T768+U768+V768+W768+IF(X768="",0,X768*サマリー!$B$9)+IF(Y768="",0,IF(Y768=200,サマリー!$B$10,IF(Y768=100,サマリー!$B$11,0)))+IF(Z768="",0,Z768*サマリー!$B$12)</f>
        <v>0</v>
      </c>
      <c r="E768" s="26">
        <f t="shared" si="32"/>
        <v>0</v>
      </c>
      <c r="I768" s="29"/>
      <c r="J768" s="29"/>
      <c r="K768" s="29"/>
      <c r="L768" s="29"/>
      <c r="M768" s="29"/>
      <c r="N768" s="29"/>
      <c r="O768" s="29"/>
      <c r="P768" s="30"/>
      <c r="Q768" s="30"/>
      <c r="R768" s="30"/>
      <c r="S768" s="31"/>
      <c r="T768" s="31"/>
      <c r="U768" s="31"/>
      <c r="V768" s="31"/>
      <c r="W768" s="31"/>
      <c r="X768" s="32"/>
      <c r="Y768" s="32"/>
      <c r="Z768" s="32"/>
    </row>
    <row r="769" spans="1:26">
      <c r="A769" s="28"/>
      <c r="B769" s="17">
        <f t="shared" ref="B769:B832" si="33">IF(A769="",B768,IF(A769&lt;DAY(B768),DATE(YEAR(B768),MONTH(B768)+1,A769),DATE(YEAR(B768),MONTH(B768),A769)))</f>
        <v>46319</v>
      </c>
      <c r="C769" s="26">
        <f>I769+J769+K769+L769+M769+N769+O769+IF(P769="",0,P769*サマリー!$B$9)+IF(Q769="",0,IF(Q769=200,サマリー!$B$10,IF(Q769=100,サマリー!$B$11,0)))+IF(R769="",0,R769*サマリー!$B$12)</f>
        <v>0</v>
      </c>
      <c r="D769" s="26">
        <f>S769+T769+U769+V769+W769+IF(X769="",0,X769*サマリー!$B$9)+IF(Y769="",0,IF(Y769=200,サマリー!$B$10,IF(Y769=100,サマリー!$B$11,0)))+IF(Z769="",0,Z769*サマリー!$B$12)</f>
        <v>0</v>
      </c>
      <c r="E769" s="26">
        <f t="shared" si="32"/>
        <v>0</v>
      </c>
      <c r="I769" s="29"/>
      <c r="J769" s="29"/>
      <c r="K769" s="29"/>
      <c r="L769" s="29"/>
      <c r="M769" s="29"/>
      <c r="N769" s="29"/>
      <c r="O769" s="29"/>
      <c r="P769" s="30"/>
      <c r="Q769" s="30"/>
      <c r="R769" s="30"/>
      <c r="S769" s="31"/>
      <c r="T769" s="31"/>
      <c r="U769" s="31"/>
      <c r="V769" s="31"/>
      <c r="W769" s="31"/>
      <c r="X769" s="32"/>
      <c r="Y769" s="32"/>
      <c r="Z769" s="32"/>
    </row>
    <row r="770" spans="1:26">
      <c r="A770" s="28"/>
      <c r="B770" s="17">
        <f t="shared" si="33"/>
        <v>46319</v>
      </c>
      <c r="C770" s="26">
        <f>I770+J770+K770+L770+M770+N770+O770+IF(P770="",0,P770*サマリー!$B$9)+IF(Q770="",0,IF(Q770=200,サマリー!$B$10,IF(Q770=100,サマリー!$B$11,0)))+IF(R770="",0,R770*サマリー!$B$12)</f>
        <v>0</v>
      </c>
      <c r="D770" s="26">
        <f>S770+T770+U770+V770+W770+IF(X770="",0,X770*サマリー!$B$9)+IF(Y770="",0,IF(Y770=200,サマリー!$B$10,IF(Y770=100,サマリー!$B$11,0)))+IF(Z770="",0,Z770*サマリー!$B$12)</f>
        <v>0</v>
      </c>
      <c r="E770" s="26">
        <f t="shared" si="32"/>
        <v>0</v>
      </c>
      <c r="I770" s="29"/>
      <c r="J770" s="29"/>
      <c r="K770" s="29"/>
      <c r="L770" s="29"/>
      <c r="M770" s="29"/>
      <c r="N770" s="29"/>
      <c r="O770" s="29"/>
      <c r="P770" s="30"/>
      <c r="Q770" s="30"/>
      <c r="R770" s="30"/>
      <c r="S770" s="31"/>
      <c r="T770" s="31"/>
      <c r="U770" s="31"/>
      <c r="V770" s="31"/>
      <c r="W770" s="31"/>
      <c r="X770" s="32"/>
      <c r="Y770" s="32"/>
      <c r="Z770" s="32"/>
    </row>
    <row r="771" spans="1:26">
      <c r="A771" s="28"/>
      <c r="B771" s="17">
        <f t="shared" si="33"/>
        <v>46319</v>
      </c>
      <c r="C771" s="26">
        <f>I771+J771+K771+L771+M771+N771+O771+IF(P771="",0,P771*サマリー!$B$9)+IF(Q771="",0,IF(Q771=200,サマリー!$B$10,IF(Q771=100,サマリー!$B$11,0)))+IF(R771="",0,R771*サマリー!$B$12)</f>
        <v>0</v>
      </c>
      <c r="D771" s="26">
        <f>S771+T771+U771+V771+W771+IF(X771="",0,X771*サマリー!$B$9)+IF(Y771="",0,IF(Y771=200,サマリー!$B$10,IF(Y771=100,サマリー!$B$11,0)))+IF(Z771="",0,Z771*サマリー!$B$12)</f>
        <v>0</v>
      </c>
      <c r="E771" s="26">
        <f t="shared" si="32"/>
        <v>0</v>
      </c>
      <c r="I771" s="29"/>
      <c r="J771" s="29"/>
      <c r="K771" s="29"/>
      <c r="L771" s="29"/>
      <c r="M771" s="29"/>
      <c r="N771" s="29"/>
      <c r="O771" s="29"/>
      <c r="P771" s="30"/>
      <c r="Q771" s="30"/>
      <c r="R771" s="30"/>
      <c r="S771" s="31"/>
      <c r="T771" s="31"/>
      <c r="U771" s="31"/>
      <c r="V771" s="31"/>
      <c r="W771" s="31"/>
      <c r="X771" s="32"/>
      <c r="Y771" s="32"/>
      <c r="Z771" s="32"/>
    </row>
    <row r="772" spans="1:26">
      <c r="A772" s="28"/>
      <c r="B772" s="17">
        <f t="shared" si="33"/>
        <v>46319</v>
      </c>
      <c r="C772" s="26">
        <f>I772+J772+K772+L772+M772+N772+O772+IF(P772="",0,P772*サマリー!$B$9)+IF(Q772="",0,IF(Q772=200,サマリー!$B$10,IF(Q772=100,サマリー!$B$11,0)))+IF(R772="",0,R772*サマリー!$B$12)</f>
        <v>0</v>
      </c>
      <c r="D772" s="26">
        <f>S772+T772+U772+V772+W772+IF(X772="",0,X772*サマリー!$B$9)+IF(Y772="",0,IF(Y772=200,サマリー!$B$10,IF(Y772=100,サマリー!$B$11,0)))+IF(Z772="",0,Z772*サマリー!$B$12)</f>
        <v>0</v>
      </c>
      <c r="E772" s="26">
        <f t="shared" si="32"/>
        <v>0</v>
      </c>
      <c r="I772" s="29"/>
      <c r="J772" s="29"/>
      <c r="K772" s="29"/>
      <c r="L772" s="29"/>
      <c r="M772" s="29"/>
      <c r="N772" s="29"/>
      <c r="O772" s="29"/>
      <c r="P772" s="30"/>
      <c r="Q772" s="30"/>
      <c r="R772" s="30"/>
      <c r="S772" s="31"/>
      <c r="T772" s="31"/>
      <c r="U772" s="31"/>
      <c r="V772" s="31"/>
      <c r="W772" s="31"/>
      <c r="X772" s="32"/>
      <c r="Y772" s="32"/>
      <c r="Z772" s="32"/>
    </row>
    <row r="773" spans="1:26">
      <c r="A773" s="28"/>
      <c r="B773" s="17">
        <f t="shared" si="33"/>
        <v>46319</v>
      </c>
      <c r="C773" s="26">
        <f>I773+J773+K773+L773+M773+N773+O773+IF(P773="",0,P773*サマリー!$B$9)+IF(Q773="",0,IF(Q773=200,サマリー!$B$10,IF(Q773=100,サマリー!$B$11,0)))+IF(R773="",0,R773*サマリー!$B$12)</f>
        <v>0</v>
      </c>
      <c r="D773" s="26">
        <f>S773+T773+U773+V773+W773+IF(X773="",0,X773*サマリー!$B$9)+IF(Y773="",0,IF(Y773=200,サマリー!$B$10,IF(Y773=100,サマリー!$B$11,0)))+IF(Z773="",0,Z773*サマリー!$B$12)</f>
        <v>0</v>
      </c>
      <c r="E773" s="26">
        <f t="shared" si="32"/>
        <v>0</v>
      </c>
      <c r="I773" s="29"/>
      <c r="J773" s="29"/>
      <c r="K773" s="29"/>
      <c r="L773" s="29"/>
      <c r="M773" s="29"/>
      <c r="N773" s="29"/>
      <c r="O773" s="29"/>
      <c r="P773" s="30"/>
      <c r="Q773" s="30"/>
      <c r="R773" s="30"/>
      <c r="S773" s="31"/>
      <c r="T773" s="31"/>
      <c r="U773" s="31"/>
      <c r="V773" s="31"/>
      <c r="W773" s="31"/>
      <c r="X773" s="32"/>
      <c r="Y773" s="32"/>
      <c r="Z773" s="32"/>
    </row>
    <row r="774" spans="1:26">
      <c r="A774" s="28"/>
      <c r="B774" s="17">
        <f t="shared" si="33"/>
        <v>46319</v>
      </c>
      <c r="C774" s="26">
        <f>I774+J774+K774+L774+M774+N774+O774+IF(P774="",0,P774*サマリー!$B$9)+IF(Q774="",0,IF(Q774=200,サマリー!$B$10,IF(Q774=100,サマリー!$B$11,0)))+IF(R774="",0,R774*サマリー!$B$12)</f>
        <v>0</v>
      </c>
      <c r="D774" s="26">
        <f>S774+T774+U774+V774+W774+IF(X774="",0,X774*サマリー!$B$9)+IF(Y774="",0,IF(Y774=200,サマリー!$B$10,IF(Y774=100,サマリー!$B$11,0)))+IF(Z774="",0,Z774*サマリー!$B$12)</f>
        <v>0</v>
      </c>
      <c r="E774" s="26">
        <f t="shared" si="32"/>
        <v>0</v>
      </c>
      <c r="I774" s="29"/>
      <c r="J774" s="29"/>
      <c r="K774" s="29"/>
      <c r="L774" s="29"/>
      <c r="M774" s="29"/>
      <c r="N774" s="29"/>
      <c r="O774" s="29"/>
      <c r="P774" s="30"/>
      <c r="Q774" s="30"/>
      <c r="R774" s="30"/>
      <c r="S774" s="31"/>
      <c r="T774" s="31"/>
      <c r="U774" s="31"/>
      <c r="V774" s="31"/>
      <c r="W774" s="31"/>
      <c r="X774" s="32"/>
      <c r="Y774" s="32"/>
      <c r="Z774" s="32"/>
    </row>
    <row r="775" spans="1:26">
      <c r="A775" s="28"/>
      <c r="B775" s="17">
        <f t="shared" si="33"/>
        <v>46319</v>
      </c>
      <c r="C775" s="26">
        <f>I775+J775+K775+L775+M775+N775+O775+IF(P775="",0,P775*サマリー!$B$9)+IF(Q775="",0,IF(Q775=200,サマリー!$B$10,IF(Q775=100,サマリー!$B$11,0)))+IF(R775="",0,R775*サマリー!$B$12)</f>
        <v>0</v>
      </c>
      <c r="D775" s="26">
        <f>S775+T775+U775+V775+W775+IF(X775="",0,X775*サマリー!$B$9)+IF(Y775="",0,IF(Y775=200,サマリー!$B$10,IF(Y775=100,サマリー!$B$11,0)))+IF(Z775="",0,Z775*サマリー!$B$12)</f>
        <v>0</v>
      </c>
      <c r="E775" s="26">
        <f t="shared" si="32"/>
        <v>0</v>
      </c>
      <c r="I775" s="29"/>
      <c r="J775" s="29"/>
      <c r="K775" s="29"/>
      <c r="L775" s="29"/>
      <c r="M775" s="29"/>
      <c r="N775" s="29"/>
      <c r="O775" s="29"/>
      <c r="P775" s="30"/>
      <c r="Q775" s="30"/>
      <c r="R775" s="30"/>
      <c r="S775" s="31"/>
      <c r="T775" s="31"/>
      <c r="U775" s="31"/>
      <c r="V775" s="31"/>
      <c r="W775" s="31"/>
      <c r="X775" s="32"/>
      <c r="Y775" s="32"/>
      <c r="Z775" s="32"/>
    </row>
    <row r="776" spans="1:26">
      <c r="A776" s="28"/>
      <c r="B776" s="17">
        <f t="shared" si="33"/>
        <v>46319</v>
      </c>
      <c r="C776" s="26">
        <f>I776+J776+K776+L776+M776+N776+O776+IF(P776="",0,P776*サマリー!$B$9)+IF(Q776="",0,IF(Q776=200,サマリー!$B$10,IF(Q776=100,サマリー!$B$11,0)))+IF(R776="",0,R776*サマリー!$B$12)</f>
        <v>0</v>
      </c>
      <c r="D776" s="26">
        <f>S776+T776+U776+V776+W776+IF(X776="",0,X776*サマリー!$B$9)+IF(Y776="",0,IF(Y776=200,サマリー!$B$10,IF(Y776=100,サマリー!$B$11,0)))+IF(Z776="",0,Z776*サマリー!$B$12)</f>
        <v>0</v>
      </c>
      <c r="E776" s="26">
        <f t="shared" si="32"/>
        <v>0</v>
      </c>
      <c r="I776" s="29"/>
      <c r="J776" s="29"/>
      <c r="K776" s="29"/>
      <c r="L776" s="29"/>
      <c r="M776" s="29"/>
      <c r="N776" s="29"/>
      <c r="O776" s="29"/>
      <c r="P776" s="30"/>
      <c r="Q776" s="30"/>
      <c r="R776" s="30"/>
      <c r="S776" s="31"/>
      <c r="T776" s="31"/>
      <c r="U776" s="31"/>
      <c r="V776" s="31"/>
      <c r="W776" s="31"/>
      <c r="X776" s="32"/>
      <c r="Y776" s="32"/>
      <c r="Z776" s="32"/>
    </row>
    <row r="777" spans="1:26">
      <c r="A777" s="28"/>
      <c r="B777" s="17">
        <f t="shared" si="33"/>
        <v>46319</v>
      </c>
      <c r="C777" s="26">
        <f>I777+J777+K777+L777+M777+N777+O777+IF(P777="",0,P777*サマリー!$B$9)+IF(Q777="",0,IF(Q777=200,サマリー!$B$10,IF(Q777=100,サマリー!$B$11,0)))+IF(R777="",0,R777*サマリー!$B$12)</f>
        <v>0</v>
      </c>
      <c r="D777" s="26">
        <f>S777+T777+U777+V777+W777+IF(X777="",0,X777*サマリー!$B$9)+IF(Y777="",0,IF(Y777=200,サマリー!$B$10,IF(Y777=100,サマリー!$B$11,0)))+IF(Z777="",0,Z777*サマリー!$B$12)</f>
        <v>0</v>
      </c>
      <c r="E777" s="26">
        <f t="shared" si="32"/>
        <v>0</v>
      </c>
      <c r="I777" s="29"/>
      <c r="J777" s="29"/>
      <c r="K777" s="29"/>
      <c r="L777" s="29"/>
      <c r="M777" s="29"/>
      <c r="N777" s="29"/>
      <c r="O777" s="29"/>
      <c r="P777" s="30"/>
      <c r="Q777" s="30"/>
      <c r="R777" s="30"/>
      <c r="S777" s="31"/>
      <c r="T777" s="31"/>
      <c r="U777" s="31"/>
      <c r="V777" s="31"/>
      <c r="W777" s="31"/>
      <c r="X777" s="32"/>
      <c r="Y777" s="32"/>
      <c r="Z777" s="32"/>
    </row>
    <row r="778" spans="1:26">
      <c r="A778" s="28"/>
      <c r="B778" s="17">
        <f t="shared" si="33"/>
        <v>46319</v>
      </c>
      <c r="C778" s="26">
        <f>I778+J778+K778+L778+M778+N778+O778+IF(P778="",0,P778*サマリー!$B$9)+IF(Q778="",0,IF(Q778=200,サマリー!$B$10,IF(Q778=100,サマリー!$B$11,0)))+IF(R778="",0,R778*サマリー!$B$12)</f>
        <v>0</v>
      </c>
      <c r="D778" s="26">
        <f>S778+T778+U778+V778+W778+IF(X778="",0,X778*サマリー!$B$9)+IF(Y778="",0,IF(Y778=200,サマリー!$B$10,IF(Y778=100,サマリー!$B$11,0)))+IF(Z778="",0,Z778*サマリー!$B$12)</f>
        <v>0</v>
      </c>
      <c r="E778" s="26">
        <f t="shared" si="32"/>
        <v>0</v>
      </c>
      <c r="I778" s="29"/>
      <c r="J778" s="29"/>
      <c r="K778" s="29"/>
      <c r="L778" s="29"/>
      <c r="M778" s="29"/>
      <c r="N778" s="29"/>
      <c r="O778" s="29"/>
      <c r="P778" s="30"/>
      <c r="Q778" s="30"/>
      <c r="R778" s="30"/>
      <c r="S778" s="31"/>
      <c r="T778" s="31"/>
      <c r="U778" s="31"/>
      <c r="V778" s="31"/>
      <c r="W778" s="31"/>
      <c r="X778" s="32"/>
      <c r="Y778" s="32"/>
      <c r="Z778" s="32"/>
    </row>
    <row r="779" spans="1:26">
      <c r="A779" s="28"/>
      <c r="B779" s="17">
        <f t="shared" si="33"/>
        <v>46319</v>
      </c>
      <c r="C779" s="26">
        <f>I779+J779+K779+L779+M779+N779+O779+IF(P779="",0,P779*サマリー!$B$9)+IF(Q779="",0,IF(Q779=200,サマリー!$B$10,IF(Q779=100,サマリー!$B$11,0)))+IF(R779="",0,R779*サマリー!$B$12)</f>
        <v>0</v>
      </c>
      <c r="D779" s="26">
        <f>S779+T779+U779+V779+W779+IF(X779="",0,X779*サマリー!$B$9)+IF(Y779="",0,IF(Y779=200,サマリー!$B$10,IF(Y779=100,サマリー!$B$11,0)))+IF(Z779="",0,Z779*サマリー!$B$12)</f>
        <v>0</v>
      </c>
      <c r="E779" s="26">
        <f t="shared" si="32"/>
        <v>0</v>
      </c>
      <c r="I779" s="29"/>
      <c r="J779" s="29"/>
      <c r="K779" s="29"/>
      <c r="L779" s="29"/>
      <c r="M779" s="29"/>
      <c r="N779" s="29"/>
      <c r="O779" s="29"/>
      <c r="P779" s="30"/>
      <c r="Q779" s="30"/>
      <c r="R779" s="30"/>
      <c r="S779" s="31"/>
      <c r="T779" s="31"/>
      <c r="U779" s="31"/>
      <c r="V779" s="31"/>
      <c r="W779" s="31"/>
      <c r="X779" s="32"/>
      <c r="Y779" s="32"/>
      <c r="Z779" s="32"/>
    </row>
    <row r="780" spans="1:26">
      <c r="A780" s="28"/>
      <c r="B780" s="17">
        <f t="shared" si="33"/>
        <v>46319</v>
      </c>
      <c r="C780" s="26">
        <f>I780+J780+K780+L780+M780+N780+O780+IF(P780="",0,P780*サマリー!$B$9)+IF(Q780="",0,IF(Q780=200,サマリー!$B$10,IF(Q780=100,サマリー!$B$11,0)))+IF(R780="",0,R780*サマリー!$B$12)</f>
        <v>0</v>
      </c>
      <c r="D780" s="26">
        <f>S780+T780+U780+V780+W780+IF(X780="",0,X780*サマリー!$B$9)+IF(Y780="",0,IF(Y780=200,サマリー!$B$10,IF(Y780=100,サマリー!$B$11,0)))+IF(Z780="",0,Z780*サマリー!$B$12)</f>
        <v>0</v>
      </c>
      <c r="E780" s="26">
        <f t="shared" si="32"/>
        <v>0</v>
      </c>
      <c r="I780" s="29"/>
      <c r="J780" s="29"/>
      <c r="K780" s="29"/>
      <c r="L780" s="29"/>
      <c r="M780" s="29"/>
      <c r="N780" s="29"/>
      <c r="O780" s="29"/>
      <c r="P780" s="30"/>
      <c r="Q780" s="30"/>
      <c r="R780" s="30"/>
      <c r="S780" s="31"/>
      <c r="T780" s="31"/>
      <c r="U780" s="31"/>
      <c r="V780" s="31"/>
      <c r="W780" s="31"/>
      <c r="X780" s="32"/>
      <c r="Y780" s="32"/>
      <c r="Z780" s="32"/>
    </row>
    <row r="781" spans="1:26">
      <c r="A781" s="28"/>
      <c r="B781" s="17">
        <f t="shared" si="33"/>
        <v>46319</v>
      </c>
      <c r="C781" s="26">
        <f>I781+J781+K781+L781+M781+N781+O781+IF(P781="",0,P781*サマリー!$B$9)+IF(Q781="",0,IF(Q781=200,サマリー!$B$10,IF(Q781=100,サマリー!$B$11,0)))+IF(R781="",0,R781*サマリー!$B$12)</f>
        <v>0</v>
      </c>
      <c r="D781" s="26">
        <f>S781+T781+U781+V781+W781+IF(X781="",0,X781*サマリー!$B$9)+IF(Y781="",0,IF(Y781=200,サマリー!$B$10,IF(Y781=100,サマリー!$B$11,0)))+IF(Z781="",0,Z781*サマリー!$B$12)</f>
        <v>0</v>
      </c>
      <c r="E781" s="26">
        <f t="shared" si="32"/>
        <v>0</v>
      </c>
      <c r="I781" s="29"/>
      <c r="J781" s="29"/>
      <c r="K781" s="29"/>
      <c r="L781" s="29"/>
      <c r="M781" s="29"/>
      <c r="N781" s="29"/>
      <c r="O781" s="29"/>
      <c r="P781" s="30"/>
      <c r="Q781" s="30"/>
      <c r="R781" s="30"/>
      <c r="S781" s="31"/>
      <c r="T781" s="31"/>
      <c r="U781" s="31"/>
      <c r="V781" s="31"/>
      <c r="W781" s="31"/>
      <c r="X781" s="32"/>
      <c r="Y781" s="32"/>
      <c r="Z781" s="32"/>
    </row>
    <row r="782" spans="1:26">
      <c r="A782" s="28"/>
      <c r="B782" s="17">
        <f t="shared" si="33"/>
        <v>46319</v>
      </c>
      <c r="C782" s="26">
        <f>I782+J782+K782+L782+M782+N782+O782+IF(P782="",0,P782*サマリー!$B$9)+IF(Q782="",0,IF(Q782=200,サマリー!$B$10,IF(Q782=100,サマリー!$B$11,0)))+IF(R782="",0,R782*サマリー!$B$12)</f>
        <v>0</v>
      </c>
      <c r="D782" s="26">
        <f>S782+T782+U782+V782+W782+IF(X782="",0,X782*サマリー!$B$9)+IF(Y782="",0,IF(Y782=200,サマリー!$B$10,IF(Y782=100,サマリー!$B$11,0)))+IF(Z782="",0,Z782*サマリー!$B$12)</f>
        <v>0</v>
      </c>
      <c r="E782" s="26">
        <f t="shared" si="32"/>
        <v>0</v>
      </c>
      <c r="I782" s="29"/>
      <c r="J782" s="29"/>
      <c r="K782" s="29"/>
      <c r="L782" s="29"/>
      <c r="M782" s="29"/>
      <c r="N782" s="29"/>
      <c r="O782" s="29"/>
      <c r="P782" s="30"/>
      <c r="Q782" s="30"/>
      <c r="R782" s="30"/>
      <c r="S782" s="31"/>
      <c r="T782" s="31"/>
      <c r="U782" s="31"/>
      <c r="V782" s="31"/>
      <c r="W782" s="31"/>
      <c r="X782" s="32"/>
      <c r="Y782" s="32"/>
      <c r="Z782" s="32"/>
    </row>
    <row r="783" spans="1:26">
      <c r="A783" s="28"/>
      <c r="B783" s="17">
        <f t="shared" si="33"/>
        <v>46319</v>
      </c>
      <c r="C783" s="26">
        <f>I783+J783+K783+L783+M783+N783+O783+IF(P783="",0,P783*サマリー!$B$9)+IF(Q783="",0,IF(Q783=200,サマリー!$B$10,IF(Q783=100,サマリー!$B$11,0)))+IF(R783="",0,R783*サマリー!$B$12)</f>
        <v>0</v>
      </c>
      <c r="D783" s="26">
        <f>S783+T783+U783+V783+W783+IF(X783="",0,X783*サマリー!$B$9)+IF(Y783="",0,IF(Y783=200,サマリー!$B$10,IF(Y783=100,サマリー!$B$11,0)))+IF(Z783="",0,Z783*サマリー!$B$12)</f>
        <v>0</v>
      </c>
      <c r="E783" s="26">
        <f t="shared" si="32"/>
        <v>0</v>
      </c>
      <c r="I783" s="29"/>
      <c r="J783" s="29"/>
      <c r="K783" s="29"/>
      <c r="L783" s="29"/>
      <c r="M783" s="29"/>
      <c r="N783" s="29"/>
      <c r="O783" s="29"/>
      <c r="P783" s="30"/>
      <c r="Q783" s="30"/>
      <c r="R783" s="30"/>
      <c r="S783" s="31"/>
      <c r="T783" s="31"/>
      <c r="U783" s="31"/>
      <c r="V783" s="31"/>
      <c r="W783" s="31"/>
      <c r="X783" s="32"/>
      <c r="Y783" s="32"/>
      <c r="Z783" s="32"/>
    </row>
    <row r="784" spans="1:26">
      <c r="A784" s="28"/>
      <c r="B784" s="17">
        <f t="shared" si="33"/>
        <v>46319</v>
      </c>
      <c r="C784" s="26">
        <f>I784+J784+K784+L784+M784+N784+O784+IF(P784="",0,P784*サマリー!$B$9)+IF(Q784="",0,IF(Q784=200,サマリー!$B$10,IF(Q784=100,サマリー!$B$11,0)))+IF(R784="",0,R784*サマリー!$B$12)</f>
        <v>0</v>
      </c>
      <c r="D784" s="26">
        <f>S784+T784+U784+V784+W784+IF(X784="",0,X784*サマリー!$B$9)+IF(Y784="",0,IF(Y784=200,サマリー!$B$10,IF(Y784=100,サマリー!$B$11,0)))+IF(Z784="",0,Z784*サマリー!$B$12)</f>
        <v>0</v>
      </c>
      <c r="E784" s="26">
        <f t="shared" si="32"/>
        <v>0</v>
      </c>
      <c r="I784" s="29"/>
      <c r="J784" s="29"/>
      <c r="K784" s="29"/>
      <c r="L784" s="29"/>
      <c r="M784" s="29"/>
      <c r="N784" s="29"/>
      <c r="O784" s="29"/>
      <c r="P784" s="30"/>
      <c r="Q784" s="30"/>
      <c r="R784" s="30"/>
      <c r="S784" s="31"/>
      <c r="T784" s="31"/>
      <c r="U784" s="31"/>
      <c r="V784" s="31"/>
      <c r="W784" s="31"/>
      <c r="X784" s="32"/>
      <c r="Y784" s="32"/>
      <c r="Z784" s="32"/>
    </row>
    <row r="785" spans="1:26">
      <c r="A785" s="28"/>
      <c r="B785" s="17">
        <f t="shared" si="33"/>
        <v>46319</v>
      </c>
      <c r="C785" s="26">
        <f>I785+J785+K785+L785+M785+N785+O785+IF(P785="",0,P785*サマリー!$B$9)+IF(Q785="",0,IF(Q785=200,サマリー!$B$10,IF(Q785=100,サマリー!$B$11,0)))+IF(R785="",0,R785*サマリー!$B$12)</f>
        <v>0</v>
      </c>
      <c r="D785" s="26">
        <f>S785+T785+U785+V785+W785+IF(X785="",0,X785*サマリー!$B$9)+IF(Y785="",0,IF(Y785=200,サマリー!$B$10,IF(Y785=100,サマリー!$B$11,0)))+IF(Z785="",0,Z785*サマリー!$B$12)</f>
        <v>0</v>
      </c>
      <c r="E785" s="26">
        <f t="shared" si="32"/>
        <v>0</v>
      </c>
      <c r="I785" s="29"/>
      <c r="J785" s="29"/>
      <c r="K785" s="29"/>
      <c r="L785" s="29"/>
      <c r="M785" s="29"/>
      <c r="N785" s="29"/>
      <c r="O785" s="29"/>
      <c r="P785" s="30"/>
      <c r="Q785" s="30"/>
      <c r="R785" s="30"/>
      <c r="S785" s="31"/>
      <c r="T785" s="31"/>
      <c r="U785" s="31"/>
      <c r="V785" s="31"/>
      <c r="W785" s="31"/>
      <c r="X785" s="32"/>
      <c r="Y785" s="32"/>
      <c r="Z785" s="32"/>
    </row>
    <row r="786" spans="1:26">
      <c r="A786" s="28"/>
      <c r="B786" s="17">
        <f t="shared" si="33"/>
        <v>46319</v>
      </c>
      <c r="C786" s="26">
        <f>I786+J786+K786+L786+M786+N786+O786+IF(P786="",0,P786*サマリー!$B$9)+IF(Q786="",0,IF(Q786=200,サマリー!$B$10,IF(Q786=100,サマリー!$B$11,0)))+IF(R786="",0,R786*サマリー!$B$12)</f>
        <v>0</v>
      </c>
      <c r="D786" s="26">
        <f>S786+T786+U786+V786+W786+IF(X786="",0,X786*サマリー!$B$9)+IF(Y786="",0,IF(Y786=200,サマリー!$B$10,IF(Y786=100,サマリー!$B$11,0)))+IF(Z786="",0,Z786*サマリー!$B$12)</f>
        <v>0</v>
      </c>
      <c r="E786" s="26">
        <f t="shared" si="32"/>
        <v>0</v>
      </c>
      <c r="I786" s="29"/>
      <c r="J786" s="29"/>
      <c r="K786" s="29"/>
      <c r="L786" s="29"/>
      <c r="M786" s="29"/>
      <c r="N786" s="29"/>
      <c r="O786" s="29"/>
      <c r="P786" s="30"/>
      <c r="Q786" s="30"/>
      <c r="R786" s="30"/>
      <c r="S786" s="31"/>
      <c r="T786" s="31"/>
      <c r="U786" s="31"/>
      <c r="V786" s="31"/>
      <c r="W786" s="31"/>
      <c r="X786" s="32"/>
      <c r="Y786" s="32"/>
      <c r="Z786" s="32"/>
    </row>
    <row r="787" spans="1:26">
      <c r="A787" s="28"/>
      <c r="B787" s="17">
        <f t="shared" si="33"/>
        <v>46319</v>
      </c>
      <c r="C787" s="26">
        <f>I787+J787+K787+L787+M787+N787+O787+IF(P787="",0,P787*サマリー!$B$9)+IF(Q787="",0,IF(Q787=200,サマリー!$B$10,IF(Q787=100,サマリー!$B$11,0)))+IF(R787="",0,R787*サマリー!$B$12)</f>
        <v>0</v>
      </c>
      <c r="D787" s="26">
        <f>S787+T787+U787+V787+W787+IF(X787="",0,X787*サマリー!$B$9)+IF(Y787="",0,IF(Y787=200,サマリー!$B$10,IF(Y787=100,サマリー!$B$11,0)))+IF(Z787="",0,Z787*サマリー!$B$12)</f>
        <v>0</v>
      </c>
      <c r="E787" s="26">
        <f t="shared" si="32"/>
        <v>0</v>
      </c>
      <c r="I787" s="29"/>
      <c r="J787" s="29"/>
      <c r="K787" s="29"/>
      <c r="L787" s="29"/>
      <c r="M787" s="29"/>
      <c r="N787" s="29"/>
      <c r="O787" s="29"/>
      <c r="P787" s="30"/>
      <c r="Q787" s="30"/>
      <c r="R787" s="30"/>
      <c r="S787" s="31"/>
      <c r="T787" s="31"/>
      <c r="U787" s="31"/>
      <c r="V787" s="31"/>
      <c r="W787" s="31"/>
      <c r="X787" s="32"/>
      <c r="Y787" s="32"/>
      <c r="Z787" s="32"/>
    </row>
    <row r="788" spans="1:26">
      <c r="A788" s="28"/>
      <c r="B788" s="17">
        <f t="shared" si="33"/>
        <v>46319</v>
      </c>
      <c r="C788" s="26">
        <f>I788+J788+K788+L788+M788+N788+O788+IF(P788="",0,P788*サマリー!$B$9)+IF(Q788="",0,IF(Q788=200,サマリー!$B$10,IF(Q788=100,サマリー!$B$11,0)))+IF(R788="",0,R788*サマリー!$B$12)</f>
        <v>0</v>
      </c>
      <c r="D788" s="26">
        <f>S788+T788+U788+V788+W788+IF(X788="",0,X788*サマリー!$B$9)+IF(Y788="",0,IF(Y788=200,サマリー!$B$10,IF(Y788=100,サマリー!$B$11,0)))+IF(Z788="",0,Z788*サマリー!$B$12)</f>
        <v>0</v>
      </c>
      <c r="E788" s="26">
        <f t="shared" si="32"/>
        <v>0</v>
      </c>
      <c r="I788" s="29"/>
      <c r="J788" s="29"/>
      <c r="K788" s="29"/>
      <c r="L788" s="29"/>
      <c r="M788" s="29"/>
      <c r="N788" s="29"/>
      <c r="O788" s="29"/>
      <c r="P788" s="30"/>
      <c r="Q788" s="30"/>
      <c r="R788" s="30"/>
      <c r="S788" s="31"/>
      <c r="T788" s="31"/>
      <c r="U788" s="31"/>
      <c r="V788" s="31"/>
      <c r="W788" s="31"/>
      <c r="X788" s="32"/>
      <c r="Y788" s="32"/>
      <c r="Z788" s="32"/>
    </row>
    <row r="789" spans="1:26">
      <c r="A789" s="28"/>
      <c r="B789" s="17">
        <f t="shared" si="33"/>
        <v>46319</v>
      </c>
      <c r="C789" s="26">
        <f>I789+J789+K789+L789+M789+N789+O789+IF(P789="",0,P789*サマリー!$B$9)+IF(Q789="",0,IF(Q789=200,サマリー!$B$10,IF(Q789=100,サマリー!$B$11,0)))+IF(R789="",0,R789*サマリー!$B$12)</f>
        <v>0</v>
      </c>
      <c r="D789" s="26">
        <f>S789+T789+U789+V789+W789+IF(X789="",0,X789*サマリー!$B$9)+IF(Y789="",0,IF(Y789=200,サマリー!$B$10,IF(Y789=100,サマリー!$B$11,0)))+IF(Z789="",0,Z789*サマリー!$B$12)</f>
        <v>0</v>
      </c>
      <c r="E789" s="26">
        <f t="shared" si="32"/>
        <v>0</v>
      </c>
      <c r="I789" s="29"/>
      <c r="J789" s="29"/>
      <c r="K789" s="29"/>
      <c r="L789" s="29"/>
      <c r="M789" s="29"/>
      <c r="N789" s="29"/>
      <c r="O789" s="29"/>
      <c r="P789" s="30"/>
      <c r="Q789" s="30"/>
      <c r="R789" s="30"/>
      <c r="S789" s="31"/>
      <c r="T789" s="31"/>
      <c r="U789" s="31"/>
      <c r="V789" s="31"/>
      <c r="W789" s="31"/>
      <c r="X789" s="32"/>
      <c r="Y789" s="32"/>
      <c r="Z789" s="32"/>
    </row>
    <row r="790" spans="1:26">
      <c r="A790" s="28"/>
      <c r="B790" s="17">
        <f t="shared" si="33"/>
        <v>46319</v>
      </c>
      <c r="C790" s="26">
        <f>I790+J790+K790+L790+M790+N790+O790+IF(P790="",0,P790*サマリー!$B$9)+IF(Q790="",0,IF(Q790=200,サマリー!$B$10,IF(Q790=100,サマリー!$B$11,0)))+IF(R790="",0,R790*サマリー!$B$12)</f>
        <v>0</v>
      </c>
      <c r="D790" s="26">
        <f>S790+T790+U790+V790+W790+IF(X790="",0,X790*サマリー!$B$9)+IF(Y790="",0,IF(Y790=200,サマリー!$B$10,IF(Y790=100,サマリー!$B$11,0)))+IF(Z790="",0,Z790*サマリー!$B$12)</f>
        <v>0</v>
      </c>
      <c r="E790" s="26">
        <f t="shared" si="32"/>
        <v>0</v>
      </c>
      <c r="I790" s="29"/>
      <c r="J790" s="29"/>
      <c r="K790" s="29"/>
      <c r="L790" s="29"/>
      <c r="M790" s="29"/>
      <c r="N790" s="29"/>
      <c r="O790" s="29"/>
      <c r="P790" s="30"/>
      <c r="Q790" s="30"/>
      <c r="R790" s="30"/>
      <c r="S790" s="31"/>
      <c r="T790" s="31"/>
      <c r="U790" s="31"/>
      <c r="V790" s="31"/>
      <c r="W790" s="31"/>
      <c r="X790" s="32"/>
      <c r="Y790" s="32"/>
      <c r="Z790" s="32"/>
    </row>
    <row r="791" spans="1:26">
      <c r="A791" s="28"/>
      <c r="B791" s="17">
        <f t="shared" si="33"/>
        <v>46319</v>
      </c>
      <c r="C791" s="26">
        <f>I791+J791+K791+L791+M791+N791+O791+IF(P791="",0,P791*サマリー!$B$9)+IF(Q791="",0,IF(Q791=200,サマリー!$B$10,IF(Q791=100,サマリー!$B$11,0)))+IF(R791="",0,R791*サマリー!$B$12)</f>
        <v>0</v>
      </c>
      <c r="D791" s="26">
        <f>S791+T791+U791+V791+W791+IF(X791="",0,X791*サマリー!$B$9)+IF(Y791="",0,IF(Y791=200,サマリー!$B$10,IF(Y791=100,サマリー!$B$11,0)))+IF(Z791="",0,Z791*サマリー!$B$12)</f>
        <v>0</v>
      </c>
      <c r="E791" s="26">
        <f t="shared" si="32"/>
        <v>0</v>
      </c>
      <c r="I791" s="29"/>
      <c r="J791" s="29"/>
      <c r="K791" s="29"/>
      <c r="L791" s="29"/>
      <c r="M791" s="29"/>
      <c r="N791" s="29"/>
      <c r="O791" s="29"/>
      <c r="P791" s="30"/>
      <c r="Q791" s="30"/>
      <c r="R791" s="30"/>
      <c r="S791" s="31"/>
      <c r="T791" s="31"/>
      <c r="U791" s="31"/>
      <c r="V791" s="31"/>
      <c r="W791" s="31"/>
      <c r="X791" s="32"/>
      <c r="Y791" s="32"/>
      <c r="Z791" s="32"/>
    </row>
    <row r="792" spans="1:26">
      <c r="A792" s="28"/>
      <c r="B792" s="17">
        <f t="shared" si="33"/>
        <v>46319</v>
      </c>
      <c r="C792" s="26">
        <f>I792+J792+K792+L792+M792+N792+O792+IF(P792="",0,P792*サマリー!$B$9)+IF(Q792="",0,IF(Q792=200,サマリー!$B$10,IF(Q792=100,サマリー!$B$11,0)))+IF(R792="",0,R792*サマリー!$B$12)</f>
        <v>0</v>
      </c>
      <c r="D792" s="26">
        <f>S792+T792+U792+V792+W792+IF(X792="",0,X792*サマリー!$B$9)+IF(Y792="",0,IF(Y792=200,サマリー!$B$10,IF(Y792=100,サマリー!$B$11,0)))+IF(Z792="",0,Z792*サマリー!$B$12)</f>
        <v>0</v>
      </c>
      <c r="E792" s="26">
        <f t="shared" si="32"/>
        <v>0</v>
      </c>
      <c r="I792" s="29"/>
      <c r="J792" s="29"/>
      <c r="K792" s="29"/>
      <c r="L792" s="29"/>
      <c r="M792" s="29"/>
      <c r="N792" s="29"/>
      <c r="O792" s="29"/>
      <c r="P792" s="30"/>
      <c r="Q792" s="30"/>
      <c r="R792" s="30"/>
      <c r="S792" s="31"/>
      <c r="T792" s="31"/>
      <c r="U792" s="31"/>
      <c r="V792" s="31"/>
      <c r="W792" s="31"/>
      <c r="X792" s="32"/>
      <c r="Y792" s="32"/>
      <c r="Z792" s="32"/>
    </row>
    <row r="793" spans="1:26">
      <c r="A793" s="28"/>
      <c r="B793" s="17">
        <f t="shared" si="33"/>
        <v>46319</v>
      </c>
      <c r="C793" s="26">
        <f>I793+J793+K793+L793+M793+N793+O793+IF(P793="",0,P793*サマリー!$B$9)+IF(Q793="",0,IF(Q793=200,サマリー!$B$10,IF(Q793=100,サマリー!$B$11,0)))+IF(R793="",0,R793*サマリー!$B$12)</f>
        <v>0</v>
      </c>
      <c r="D793" s="26">
        <f>S793+T793+U793+V793+W793+IF(X793="",0,X793*サマリー!$B$9)+IF(Y793="",0,IF(Y793=200,サマリー!$B$10,IF(Y793=100,サマリー!$B$11,0)))+IF(Z793="",0,Z793*サマリー!$B$12)</f>
        <v>0</v>
      </c>
      <c r="E793" s="26">
        <f t="shared" si="32"/>
        <v>0</v>
      </c>
      <c r="I793" s="29"/>
      <c r="J793" s="29"/>
      <c r="K793" s="29"/>
      <c r="L793" s="29"/>
      <c r="M793" s="29"/>
      <c r="N793" s="29"/>
      <c r="O793" s="29"/>
      <c r="P793" s="30"/>
      <c r="Q793" s="30"/>
      <c r="R793" s="30"/>
      <c r="S793" s="31"/>
      <c r="T793" s="31"/>
      <c r="U793" s="31"/>
      <c r="V793" s="31"/>
      <c r="W793" s="31"/>
      <c r="X793" s="32"/>
      <c r="Y793" s="32"/>
      <c r="Z793" s="32"/>
    </row>
    <row r="794" spans="1:26">
      <c r="A794" s="28"/>
      <c r="B794" s="17">
        <f t="shared" si="33"/>
        <v>46319</v>
      </c>
      <c r="C794" s="26">
        <f>I794+J794+K794+L794+M794+N794+O794+IF(P794="",0,P794*サマリー!$B$9)+IF(Q794="",0,IF(Q794=200,サマリー!$B$10,IF(Q794=100,サマリー!$B$11,0)))+IF(R794="",0,R794*サマリー!$B$12)</f>
        <v>0</v>
      </c>
      <c r="D794" s="26">
        <f>S794+T794+U794+V794+W794+IF(X794="",0,X794*サマリー!$B$9)+IF(Y794="",0,IF(Y794=200,サマリー!$B$10,IF(Y794=100,サマリー!$B$11,0)))+IF(Z794="",0,Z794*サマリー!$B$12)</f>
        <v>0</v>
      </c>
      <c r="E794" s="26">
        <f t="shared" si="32"/>
        <v>0</v>
      </c>
      <c r="I794" s="29"/>
      <c r="J794" s="29"/>
      <c r="K794" s="29"/>
      <c r="L794" s="29"/>
      <c r="M794" s="29"/>
      <c r="N794" s="29"/>
      <c r="O794" s="29"/>
      <c r="P794" s="30"/>
      <c r="Q794" s="30"/>
      <c r="R794" s="30"/>
      <c r="S794" s="31"/>
      <c r="T794" s="31"/>
      <c r="U794" s="31"/>
      <c r="V794" s="31"/>
      <c r="W794" s="31"/>
      <c r="X794" s="32"/>
      <c r="Y794" s="32"/>
      <c r="Z794" s="32"/>
    </row>
    <row r="795" spans="1:26">
      <c r="A795" s="28"/>
      <c r="B795" s="17">
        <f t="shared" si="33"/>
        <v>46319</v>
      </c>
      <c r="C795" s="26">
        <f>I795+J795+K795+L795+M795+N795+O795+IF(P795="",0,P795*サマリー!$B$9)+IF(Q795="",0,IF(Q795=200,サマリー!$B$10,IF(Q795=100,サマリー!$B$11,0)))+IF(R795="",0,R795*サマリー!$B$12)</f>
        <v>0</v>
      </c>
      <c r="D795" s="26">
        <f>S795+T795+U795+V795+W795+IF(X795="",0,X795*サマリー!$B$9)+IF(Y795="",0,IF(Y795=200,サマリー!$B$10,IF(Y795=100,サマリー!$B$11,0)))+IF(Z795="",0,Z795*サマリー!$B$12)</f>
        <v>0</v>
      </c>
      <c r="E795" s="26">
        <f t="shared" si="32"/>
        <v>0</v>
      </c>
      <c r="I795" s="29"/>
      <c r="J795" s="29"/>
      <c r="K795" s="29"/>
      <c r="L795" s="29"/>
      <c r="M795" s="29"/>
      <c r="N795" s="29"/>
      <c r="O795" s="29"/>
      <c r="P795" s="30"/>
      <c r="Q795" s="30"/>
      <c r="R795" s="30"/>
      <c r="S795" s="31"/>
      <c r="T795" s="31"/>
      <c r="U795" s="31"/>
      <c r="V795" s="31"/>
      <c r="W795" s="31"/>
      <c r="X795" s="32"/>
      <c r="Y795" s="32"/>
      <c r="Z795" s="32"/>
    </row>
    <row r="796" spans="1:26">
      <c r="A796" s="28"/>
      <c r="B796" s="17">
        <f t="shared" si="33"/>
        <v>46319</v>
      </c>
      <c r="C796" s="26">
        <f>I796+J796+K796+L796+M796+N796+O796+IF(P796="",0,P796*サマリー!$B$9)+IF(Q796="",0,IF(Q796=200,サマリー!$B$10,IF(Q796=100,サマリー!$B$11,0)))+IF(R796="",0,R796*サマリー!$B$12)</f>
        <v>0</v>
      </c>
      <c r="D796" s="26">
        <f>S796+T796+U796+V796+W796+IF(X796="",0,X796*サマリー!$B$9)+IF(Y796="",0,IF(Y796=200,サマリー!$B$10,IF(Y796=100,サマリー!$B$11,0)))+IF(Z796="",0,Z796*サマリー!$B$12)</f>
        <v>0</v>
      </c>
      <c r="E796" s="26">
        <f t="shared" si="32"/>
        <v>0</v>
      </c>
      <c r="I796" s="29"/>
      <c r="J796" s="29"/>
      <c r="K796" s="29"/>
      <c r="L796" s="29"/>
      <c r="M796" s="29"/>
      <c r="N796" s="29"/>
      <c r="O796" s="29"/>
      <c r="P796" s="30"/>
      <c r="Q796" s="30"/>
      <c r="R796" s="30"/>
      <c r="S796" s="31"/>
      <c r="T796" s="31"/>
      <c r="U796" s="31"/>
      <c r="V796" s="31"/>
      <c r="W796" s="31"/>
      <c r="X796" s="32"/>
      <c r="Y796" s="32"/>
      <c r="Z796" s="32"/>
    </row>
    <row r="797" spans="1:26">
      <c r="A797" s="28"/>
      <c r="B797" s="17">
        <f t="shared" si="33"/>
        <v>46319</v>
      </c>
      <c r="C797" s="26">
        <f>I797+J797+K797+L797+M797+N797+O797+IF(P797="",0,P797*サマリー!$B$9)+IF(Q797="",0,IF(Q797=200,サマリー!$B$10,IF(Q797=100,サマリー!$B$11,0)))+IF(R797="",0,R797*サマリー!$B$12)</f>
        <v>0</v>
      </c>
      <c r="D797" s="26">
        <f>S797+T797+U797+V797+W797+IF(X797="",0,X797*サマリー!$B$9)+IF(Y797="",0,IF(Y797=200,サマリー!$B$10,IF(Y797=100,サマリー!$B$11,0)))+IF(Z797="",0,Z797*サマリー!$B$12)</f>
        <v>0</v>
      </c>
      <c r="E797" s="26">
        <f t="shared" si="32"/>
        <v>0</v>
      </c>
      <c r="I797" s="29"/>
      <c r="J797" s="29"/>
      <c r="K797" s="29"/>
      <c r="L797" s="29"/>
      <c r="M797" s="29"/>
      <c r="N797" s="29"/>
      <c r="O797" s="29"/>
      <c r="P797" s="30"/>
      <c r="Q797" s="30"/>
      <c r="R797" s="30"/>
      <c r="S797" s="31"/>
      <c r="T797" s="31"/>
      <c r="U797" s="31"/>
      <c r="V797" s="31"/>
      <c r="W797" s="31"/>
      <c r="X797" s="32"/>
      <c r="Y797" s="32"/>
      <c r="Z797" s="32"/>
    </row>
    <row r="798" spans="1:26">
      <c r="A798" s="28"/>
      <c r="B798" s="17">
        <f t="shared" si="33"/>
        <v>46319</v>
      </c>
      <c r="C798" s="26">
        <f>I798+J798+K798+L798+M798+N798+O798+IF(P798="",0,P798*サマリー!$B$9)+IF(Q798="",0,IF(Q798=200,サマリー!$B$10,IF(Q798=100,サマリー!$B$11,0)))+IF(R798="",0,R798*サマリー!$B$12)</f>
        <v>0</v>
      </c>
      <c r="D798" s="26">
        <f>S798+T798+U798+V798+W798+IF(X798="",0,X798*サマリー!$B$9)+IF(Y798="",0,IF(Y798=200,サマリー!$B$10,IF(Y798=100,サマリー!$B$11,0)))+IF(Z798="",0,Z798*サマリー!$B$12)</f>
        <v>0</v>
      </c>
      <c r="E798" s="26">
        <f t="shared" si="32"/>
        <v>0</v>
      </c>
      <c r="I798" s="29"/>
      <c r="J798" s="29"/>
      <c r="K798" s="29"/>
      <c r="L798" s="29"/>
      <c r="M798" s="29"/>
      <c r="N798" s="29"/>
      <c r="O798" s="29"/>
      <c r="P798" s="30"/>
      <c r="Q798" s="30"/>
      <c r="R798" s="30"/>
      <c r="S798" s="31"/>
      <c r="T798" s="31"/>
      <c r="U798" s="31"/>
      <c r="V798" s="31"/>
      <c r="W798" s="31"/>
      <c r="X798" s="32"/>
      <c r="Y798" s="32"/>
      <c r="Z798" s="32"/>
    </row>
    <row r="799" spans="1:26">
      <c r="A799" s="28"/>
      <c r="B799" s="17">
        <f t="shared" si="33"/>
        <v>46319</v>
      </c>
      <c r="C799" s="26">
        <f>I799+J799+K799+L799+M799+N799+O799+IF(P799="",0,P799*サマリー!$B$9)+IF(Q799="",0,IF(Q799=200,サマリー!$B$10,IF(Q799=100,サマリー!$B$11,0)))+IF(R799="",0,R799*サマリー!$B$12)</f>
        <v>0</v>
      </c>
      <c r="D799" s="26">
        <f>S799+T799+U799+V799+W799+IF(X799="",0,X799*サマリー!$B$9)+IF(Y799="",0,IF(Y799=200,サマリー!$B$10,IF(Y799=100,サマリー!$B$11,0)))+IF(Z799="",0,Z799*サマリー!$B$12)</f>
        <v>0</v>
      </c>
      <c r="E799" s="26">
        <f t="shared" si="32"/>
        <v>0</v>
      </c>
      <c r="I799" s="29"/>
      <c r="J799" s="29"/>
      <c r="K799" s="29"/>
      <c r="L799" s="29"/>
      <c r="M799" s="29"/>
      <c r="N799" s="29"/>
      <c r="O799" s="29"/>
      <c r="P799" s="30"/>
      <c r="Q799" s="30"/>
      <c r="R799" s="30"/>
      <c r="S799" s="31"/>
      <c r="T799" s="31"/>
      <c r="U799" s="31"/>
      <c r="V799" s="31"/>
      <c r="W799" s="31"/>
      <c r="X799" s="32"/>
      <c r="Y799" s="32"/>
      <c r="Z799" s="32"/>
    </row>
    <row r="800" spans="1:26">
      <c r="A800" s="28"/>
      <c r="B800" s="17">
        <f t="shared" si="33"/>
        <v>46319</v>
      </c>
      <c r="C800" s="26">
        <f>I800+J800+K800+L800+M800+N800+O800+IF(P800="",0,P800*サマリー!$B$9)+IF(Q800="",0,IF(Q800=200,サマリー!$B$10,IF(Q800=100,サマリー!$B$11,0)))+IF(R800="",0,R800*サマリー!$B$12)</f>
        <v>0</v>
      </c>
      <c r="D800" s="26">
        <f>S800+T800+U800+V800+W800+IF(X800="",0,X800*サマリー!$B$9)+IF(Y800="",0,IF(Y800=200,サマリー!$B$10,IF(Y800=100,サマリー!$B$11,0)))+IF(Z800="",0,Z800*サマリー!$B$12)</f>
        <v>0</v>
      </c>
      <c r="E800" s="26">
        <f t="shared" si="32"/>
        <v>0</v>
      </c>
      <c r="I800" s="29"/>
      <c r="J800" s="29"/>
      <c r="K800" s="29"/>
      <c r="L800" s="29"/>
      <c r="M800" s="29"/>
      <c r="N800" s="29"/>
      <c r="O800" s="29"/>
      <c r="P800" s="30"/>
      <c r="Q800" s="30"/>
      <c r="R800" s="30"/>
      <c r="S800" s="31"/>
      <c r="T800" s="31"/>
      <c r="U800" s="31"/>
      <c r="V800" s="31"/>
      <c r="W800" s="31"/>
      <c r="X800" s="32"/>
      <c r="Y800" s="32"/>
      <c r="Z800" s="32"/>
    </row>
    <row r="801" spans="1:26">
      <c r="A801" s="28"/>
      <c r="B801" s="17">
        <f t="shared" si="33"/>
        <v>46319</v>
      </c>
      <c r="C801" s="26">
        <f>I801+J801+K801+L801+M801+N801+O801+IF(P801="",0,P801*サマリー!$B$9)+IF(Q801="",0,IF(Q801=200,サマリー!$B$10,IF(Q801=100,サマリー!$B$11,0)))+IF(R801="",0,R801*サマリー!$B$12)</f>
        <v>0</v>
      </c>
      <c r="D801" s="26">
        <f>S801+T801+U801+V801+W801+IF(X801="",0,X801*サマリー!$B$9)+IF(Y801="",0,IF(Y801=200,サマリー!$B$10,IF(Y801=100,サマリー!$B$11,0)))+IF(Z801="",0,Z801*サマリー!$B$12)</f>
        <v>0</v>
      </c>
      <c r="E801" s="26">
        <f t="shared" si="32"/>
        <v>0</v>
      </c>
      <c r="I801" s="29"/>
      <c r="J801" s="29"/>
      <c r="K801" s="29"/>
      <c r="L801" s="29"/>
      <c r="M801" s="29"/>
      <c r="N801" s="29"/>
      <c r="O801" s="29"/>
      <c r="P801" s="30"/>
      <c r="Q801" s="30"/>
      <c r="R801" s="30"/>
      <c r="S801" s="31"/>
      <c r="T801" s="31"/>
      <c r="U801" s="31"/>
      <c r="V801" s="31"/>
      <c r="W801" s="31"/>
      <c r="X801" s="32"/>
      <c r="Y801" s="32"/>
      <c r="Z801" s="32"/>
    </row>
    <row r="802" spans="1:26">
      <c r="A802" s="28"/>
      <c r="B802" s="17">
        <f t="shared" si="33"/>
        <v>46319</v>
      </c>
      <c r="C802" s="26">
        <f>I802+J802+K802+L802+M802+N802+O802+IF(P802="",0,P802*サマリー!$B$9)+IF(Q802="",0,IF(Q802=200,サマリー!$B$10,IF(Q802=100,サマリー!$B$11,0)))+IF(R802="",0,R802*サマリー!$B$12)</f>
        <v>0</v>
      </c>
      <c r="D802" s="26">
        <f>S802+T802+U802+V802+W802+IF(X802="",0,X802*サマリー!$B$9)+IF(Y802="",0,IF(Y802=200,サマリー!$B$10,IF(Y802=100,サマリー!$B$11,0)))+IF(Z802="",0,Z802*サマリー!$B$12)</f>
        <v>0</v>
      </c>
      <c r="E802" s="26">
        <f t="shared" si="32"/>
        <v>0</v>
      </c>
      <c r="I802" s="29"/>
      <c r="J802" s="29"/>
      <c r="K802" s="29"/>
      <c r="L802" s="29"/>
      <c r="M802" s="29"/>
      <c r="N802" s="29"/>
      <c r="O802" s="29"/>
      <c r="P802" s="30"/>
      <c r="Q802" s="30"/>
      <c r="R802" s="30"/>
      <c r="S802" s="31"/>
      <c r="T802" s="31"/>
      <c r="U802" s="31"/>
      <c r="V802" s="31"/>
      <c r="W802" s="31"/>
      <c r="X802" s="32"/>
      <c r="Y802" s="32"/>
      <c r="Z802" s="32"/>
    </row>
    <row r="803" spans="1:26">
      <c r="A803" s="28"/>
      <c r="B803" s="17">
        <f t="shared" si="33"/>
        <v>46319</v>
      </c>
      <c r="C803" s="26">
        <f>I803+J803+K803+L803+M803+N803+O803+IF(P803="",0,P803*サマリー!$B$9)+IF(Q803="",0,IF(Q803=200,サマリー!$B$10,IF(Q803=100,サマリー!$B$11,0)))+IF(R803="",0,R803*サマリー!$B$12)</f>
        <v>0</v>
      </c>
      <c r="D803" s="26">
        <f>S803+T803+U803+V803+W803+IF(X803="",0,X803*サマリー!$B$9)+IF(Y803="",0,IF(Y803=200,サマリー!$B$10,IF(Y803=100,サマリー!$B$11,0)))+IF(Z803="",0,Z803*サマリー!$B$12)</f>
        <v>0</v>
      </c>
      <c r="E803" s="26">
        <f t="shared" ref="E803:E866" si="34">C803+D803</f>
        <v>0</v>
      </c>
      <c r="I803" s="29"/>
      <c r="J803" s="29"/>
      <c r="K803" s="29"/>
      <c r="L803" s="29"/>
      <c r="M803" s="29"/>
      <c r="N803" s="29"/>
      <c r="O803" s="29"/>
      <c r="P803" s="30"/>
      <c r="Q803" s="30"/>
      <c r="R803" s="30"/>
      <c r="S803" s="31"/>
      <c r="T803" s="31"/>
      <c r="U803" s="31"/>
      <c r="V803" s="31"/>
      <c r="W803" s="31"/>
      <c r="X803" s="32"/>
      <c r="Y803" s="32"/>
      <c r="Z803" s="32"/>
    </row>
    <row r="804" spans="1:26">
      <c r="A804" s="28"/>
      <c r="B804" s="17">
        <f t="shared" si="33"/>
        <v>46319</v>
      </c>
      <c r="C804" s="26">
        <f>I804+J804+K804+L804+M804+N804+O804+IF(P804="",0,P804*サマリー!$B$9)+IF(Q804="",0,IF(Q804=200,サマリー!$B$10,IF(Q804=100,サマリー!$B$11,0)))+IF(R804="",0,R804*サマリー!$B$12)</f>
        <v>0</v>
      </c>
      <c r="D804" s="26">
        <f>S804+T804+U804+V804+W804+IF(X804="",0,X804*サマリー!$B$9)+IF(Y804="",0,IF(Y804=200,サマリー!$B$10,IF(Y804=100,サマリー!$B$11,0)))+IF(Z804="",0,Z804*サマリー!$B$12)</f>
        <v>0</v>
      </c>
      <c r="E804" s="26">
        <f t="shared" si="34"/>
        <v>0</v>
      </c>
      <c r="I804" s="29"/>
      <c r="J804" s="29"/>
      <c r="K804" s="29"/>
      <c r="L804" s="29"/>
      <c r="M804" s="29"/>
      <c r="N804" s="29"/>
      <c r="O804" s="29"/>
      <c r="P804" s="30"/>
      <c r="Q804" s="30"/>
      <c r="R804" s="30"/>
      <c r="S804" s="31"/>
      <c r="T804" s="31"/>
      <c r="U804" s="31"/>
      <c r="V804" s="31"/>
      <c r="W804" s="31"/>
      <c r="X804" s="32"/>
      <c r="Y804" s="32"/>
      <c r="Z804" s="32"/>
    </row>
    <row r="805" spans="1:26">
      <c r="A805" s="28"/>
      <c r="B805" s="17">
        <f t="shared" si="33"/>
        <v>46319</v>
      </c>
      <c r="C805" s="26">
        <f>I805+J805+K805+L805+M805+N805+O805+IF(P805="",0,P805*サマリー!$B$9)+IF(Q805="",0,IF(Q805=200,サマリー!$B$10,IF(Q805=100,サマリー!$B$11,0)))+IF(R805="",0,R805*サマリー!$B$12)</f>
        <v>0</v>
      </c>
      <c r="D805" s="26">
        <f>S805+T805+U805+V805+W805+IF(X805="",0,X805*サマリー!$B$9)+IF(Y805="",0,IF(Y805=200,サマリー!$B$10,IF(Y805=100,サマリー!$B$11,0)))+IF(Z805="",0,Z805*サマリー!$B$12)</f>
        <v>0</v>
      </c>
      <c r="E805" s="26">
        <f t="shared" si="34"/>
        <v>0</v>
      </c>
      <c r="I805" s="29"/>
      <c r="J805" s="29"/>
      <c r="K805" s="29"/>
      <c r="L805" s="29"/>
      <c r="M805" s="29"/>
      <c r="N805" s="29"/>
      <c r="O805" s="29"/>
      <c r="P805" s="30"/>
      <c r="Q805" s="30"/>
      <c r="R805" s="30"/>
      <c r="S805" s="31"/>
      <c r="T805" s="31"/>
      <c r="U805" s="31"/>
      <c r="V805" s="31"/>
      <c r="W805" s="31"/>
      <c r="X805" s="32"/>
      <c r="Y805" s="32"/>
      <c r="Z805" s="32"/>
    </row>
    <row r="806" spans="1:26">
      <c r="A806" s="28"/>
      <c r="B806" s="17">
        <f t="shared" si="33"/>
        <v>46319</v>
      </c>
      <c r="C806" s="26">
        <f>I806+J806+K806+L806+M806+N806+O806+IF(P806="",0,P806*サマリー!$B$9)+IF(Q806="",0,IF(Q806=200,サマリー!$B$10,IF(Q806=100,サマリー!$B$11,0)))+IF(R806="",0,R806*サマリー!$B$12)</f>
        <v>0</v>
      </c>
      <c r="D806" s="26">
        <f>S806+T806+U806+V806+W806+IF(X806="",0,X806*サマリー!$B$9)+IF(Y806="",0,IF(Y806=200,サマリー!$B$10,IF(Y806=100,サマリー!$B$11,0)))+IF(Z806="",0,Z806*サマリー!$B$12)</f>
        <v>0</v>
      </c>
      <c r="E806" s="26">
        <f t="shared" si="34"/>
        <v>0</v>
      </c>
      <c r="I806" s="29"/>
      <c r="J806" s="29"/>
      <c r="K806" s="29"/>
      <c r="L806" s="29"/>
      <c r="M806" s="29"/>
      <c r="N806" s="29"/>
      <c r="O806" s="29"/>
      <c r="P806" s="30"/>
      <c r="Q806" s="30"/>
      <c r="R806" s="30"/>
      <c r="S806" s="31"/>
      <c r="T806" s="31"/>
      <c r="U806" s="31"/>
      <c r="V806" s="31"/>
      <c r="W806" s="31"/>
      <c r="X806" s="32"/>
      <c r="Y806" s="32"/>
      <c r="Z806" s="32"/>
    </row>
    <row r="807" spans="1:26">
      <c r="A807" s="28"/>
      <c r="B807" s="17">
        <f t="shared" si="33"/>
        <v>46319</v>
      </c>
      <c r="C807" s="26">
        <f>I807+J807+K807+L807+M807+N807+O807+IF(P807="",0,P807*サマリー!$B$9)+IF(Q807="",0,IF(Q807=200,サマリー!$B$10,IF(Q807=100,サマリー!$B$11,0)))+IF(R807="",0,R807*サマリー!$B$12)</f>
        <v>0</v>
      </c>
      <c r="D807" s="26">
        <f>S807+T807+U807+V807+W807+IF(X807="",0,X807*サマリー!$B$9)+IF(Y807="",0,IF(Y807=200,サマリー!$B$10,IF(Y807=100,サマリー!$B$11,0)))+IF(Z807="",0,Z807*サマリー!$B$12)</f>
        <v>0</v>
      </c>
      <c r="E807" s="26">
        <f t="shared" si="34"/>
        <v>0</v>
      </c>
      <c r="I807" s="29"/>
      <c r="J807" s="29"/>
      <c r="K807" s="29"/>
      <c r="L807" s="29"/>
      <c r="M807" s="29"/>
      <c r="N807" s="29"/>
      <c r="O807" s="29"/>
      <c r="P807" s="30"/>
      <c r="Q807" s="30"/>
      <c r="R807" s="30"/>
      <c r="S807" s="31"/>
      <c r="T807" s="31"/>
      <c r="U807" s="31"/>
      <c r="V807" s="31"/>
      <c r="W807" s="31"/>
      <c r="X807" s="32"/>
      <c r="Y807" s="32"/>
      <c r="Z807" s="32"/>
    </row>
    <row r="808" spans="1:26">
      <c r="A808" s="28"/>
      <c r="B808" s="17">
        <f t="shared" si="33"/>
        <v>46319</v>
      </c>
      <c r="C808" s="26">
        <f>I808+J808+K808+L808+M808+N808+O808+IF(P808="",0,P808*サマリー!$B$9)+IF(Q808="",0,IF(Q808=200,サマリー!$B$10,IF(Q808=100,サマリー!$B$11,0)))+IF(R808="",0,R808*サマリー!$B$12)</f>
        <v>0</v>
      </c>
      <c r="D808" s="26">
        <f>S808+T808+U808+V808+W808+IF(X808="",0,X808*サマリー!$B$9)+IF(Y808="",0,IF(Y808=200,サマリー!$B$10,IF(Y808=100,サマリー!$B$11,0)))+IF(Z808="",0,Z808*サマリー!$B$12)</f>
        <v>0</v>
      </c>
      <c r="E808" s="26">
        <f t="shared" si="34"/>
        <v>0</v>
      </c>
      <c r="I808" s="29"/>
      <c r="J808" s="29"/>
      <c r="K808" s="29"/>
      <c r="L808" s="29"/>
      <c r="M808" s="29"/>
      <c r="N808" s="29"/>
      <c r="O808" s="29"/>
      <c r="P808" s="30"/>
      <c r="Q808" s="30"/>
      <c r="R808" s="30"/>
      <c r="S808" s="31"/>
      <c r="T808" s="31"/>
      <c r="U808" s="31"/>
      <c r="V808" s="31"/>
      <c r="W808" s="31"/>
      <c r="X808" s="32"/>
      <c r="Y808" s="32"/>
      <c r="Z808" s="32"/>
    </row>
    <row r="809" spans="1:26">
      <c r="A809" s="28"/>
      <c r="B809" s="17">
        <f t="shared" si="33"/>
        <v>46319</v>
      </c>
      <c r="C809" s="26">
        <f>I809+J809+K809+L809+M809+N809+O809+IF(P809="",0,P809*サマリー!$B$9)+IF(Q809="",0,IF(Q809=200,サマリー!$B$10,IF(Q809=100,サマリー!$B$11,0)))+IF(R809="",0,R809*サマリー!$B$12)</f>
        <v>0</v>
      </c>
      <c r="D809" s="26">
        <f>S809+T809+U809+V809+W809+IF(X809="",0,X809*サマリー!$B$9)+IF(Y809="",0,IF(Y809=200,サマリー!$B$10,IF(Y809=100,サマリー!$B$11,0)))+IF(Z809="",0,Z809*サマリー!$B$12)</f>
        <v>0</v>
      </c>
      <c r="E809" s="26">
        <f t="shared" si="34"/>
        <v>0</v>
      </c>
      <c r="I809" s="29"/>
      <c r="J809" s="29"/>
      <c r="K809" s="29"/>
      <c r="L809" s="29"/>
      <c r="M809" s="29"/>
      <c r="N809" s="29"/>
      <c r="O809" s="29"/>
      <c r="P809" s="30"/>
      <c r="Q809" s="30"/>
      <c r="R809" s="30"/>
      <c r="S809" s="31"/>
      <c r="T809" s="31"/>
      <c r="U809" s="31"/>
      <c r="V809" s="31"/>
      <c r="W809" s="31"/>
      <c r="X809" s="32"/>
      <c r="Y809" s="32"/>
      <c r="Z809" s="32"/>
    </row>
    <row r="810" spans="1:26">
      <c r="A810" s="28"/>
      <c r="B810" s="17">
        <f t="shared" si="33"/>
        <v>46319</v>
      </c>
      <c r="C810" s="26">
        <f>I810+J810+K810+L810+M810+N810+O810+IF(P810="",0,P810*サマリー!$B$9)+IF(Q810="",0,IF(Q810=200,サマリー!$B$10,IF(Q810=100,サマリー!$B$11,0)))+IF(R810="",0,R810*サマリー!$B$12)</f>
        <v>0</v>
      </c>
      <c r="D810" s="26">
        <f>S810+T810+U810+V810+W810+IF(X810="",0,X810*サマリー!$B$9)+IF(Y810="",0,IF(Y810=200,サマリー!$B$10,IF(Y810=100,サマリー!$B$11,0)))+IF(Z810="",0,Z810*サマリー!$B$12)</f>
        <v>0</v>
      </c>
      <c r="E810" s="26">
        <f t="shared" si="34"/>
        <v>0</v>
      </c>
      <c r="I810" s="29"/>
      <c r="J810" s="29"/>
      <c r="K810" s="29"/>
      <c r="L810" s="29"/>
      <c r="M810" s="29"/>
      <c r="N810" s="29"/>
      <c r="O810" s="29"/>
      <c r="P810" s="30"/>
      <c r="Q810" s="30"/>
      <c r="R810" s="30"/>
      <c r="S810" s="31"/>
      <c r="T810" s="31"/>
      <c r="U810" s="31"/>
      <c r="V810" s="31"/>
      <c r="W810" s="31"/>
      <c r="X810" s="32"/>
      <c r="Y810" s="32"/>
      <c r="Z810" s="32"/>
    </row>
    <row r="811" spans="1:26">
      <c r="A811" s="28"/>
      <c r="B811" s="17">
        <f t="shared" si="33"/>
        <v>46319</v>
      </c>
      <c r="C811" s="26">
        <f>I811+J811+K811+L811+M811+N811+O811+IF(P811="",0,P811*サマリー!$B$9)+IF(Q811="",0,IF(Q811=200,サマリー!$B$10,IF(Q811=100,サマリー!$B$11,0)))+IF(R811="",0,R811*サマリー!$B$12)</f>
        <v>0</v>
      </c>
      <c r="D811" s="26">
        <f>S811+T811+U811+V811+W811+IF(X811="",0,X811*サマリー!$B$9)+IF(Y811="",0,IF(Y811=200,サマリー!$B$10,IF(Y811=100,サマリー!$B$11,0)))+IF(Z811="",0,Z811*サマリー!$B$12)</f>
        <v>0</v>
      </c>
      <c r="E811" s="26">
        <f t="shared" si="34"/>
        <v>0</v>
      </c>
      <c r="I811" s="29"/>
      <c r="J811" s="29"/>
      <c r="K811" s="29"/>
      <c r="L811" s="29"/>
      <c r="M811" s="29"/>
      <c r="N811" s="29"/>
      <c r="O811" s="29"/>
      <c r="P811" s="30"/>
      <c r="Q811" s="30"/>
      <c r="R811" s="30"/>
      <c r="S811" s="31"/>
      <c r="T811" s="31"/>
      <c r="U811" s="31"/>
      <c r="V811" s="31"/>
      <c r="W811" s="31"/>
      <c r="X811" s="32"/>
      <c r="Y811" s="32"/>
      <c r="Z811" s="32"/>
    </row>
    <row r="812" spans="1:26">
      <c r="A812" s="28"/>
      <c r="B812" s="17">
        <f t="shared" si="33"/>
        <v>46319</v>
      </c>
      <c r="C812" s="26">
        <f>I812+J812+K812+L812+M812+N812+O812+IF(P812="",0,P812*サマリー!$B$9)+IF(Q812="",0,IF(Q812=200,サマリー!$B$10,IF(Q812=100,サマリー!$B$11,0)))+IF(R812="",0,R812*サマリー!$B$12)</f>
        <v>0</v>
      </c>
      <c r="D812" s="26">
        <f>S812+T812+U812+V812+W812+IF(X812="",0,X812*サマリー!$B$9)+IF(Y812="",0,IF(Y812=200,サマリー!$B$10,IF(Y812=100,サマリー!$B$11,0)))+IF(Z812="",0,Z812*サマリー!$B$12)</f>
        <v>0</v>
      </c>
      <c r="E812" s="26">
        <f t="shared" si="34"/>
        <v>0</v>
      </c>
      <c r="I812" s="29"/>
      <c r="J812" s="29"/>
      <c r="K812" s="29"/>
      <c r="L812" s="29"/>
      <c r="M812" s="29"/>
      <c r="N812" s="29"/>
      <c r="O812" s="29"/>
      <c r="P812" s="30"/>
      <c r="Q812" s="30"/>
      <c r="R812" s="30"/>
      <c r="S812" s="31"/>
      <c r="T812" s="31"/>
      <c r="U812" s="31"/>
      <c r="V812" s="31"/>
      <c r="W812" s="31"/>
      <c r="X812" s="32"/>
      <c r="Y812" s="32"/>
      <c r="Z812" s="32"/>
    </row>
    <row r="813" spans="1:26">
      <c r="A813" s="28"/>
      <c r="B813" s="17">
        <f t="shared" si="33"/>
        <v>46319</v>
      </c>
      <c r="C813" s="26">
        <f>I813+J813+K813+L813+M813+N813+O813+IF(P813="",0,P813*サマリー!$B$9)+IF(Q813="",0,IF(Q813=200,サマリー!$B$10,IF(Q813=100,サマリー!$B$11,0)))+IF(R813="",0,R813*サマリー!$B$12)</f>
        <v>0</v>
      </c>
      <c r="D813" s="26">
        <f>S813+T813+U813+V813+W813+IF(X813="",0,X813*サマリー!$B$9)+IF(Y813="",0,IF(Y813=200,サマリー!$B$10,IF(Y813=100,サマリー!$B$11,0)))+IF(Z813="",0,Z813*サマリー!$B$12)</f>
        <v>0</v>
      </c>
      <c r="E813" s="26">
        <f t="shared" si="34"/>
        <v>0</v>
      </c>
      <c r="I813" s="29"/>
      <c r="J813" s="29"/>
      <c r="K813" s="29"/>
      <c r="L813" s="29"/>
      <c r="M813" s="29"/>
      <c r="N813" s="29"/>
      <c r="O813" s="29"/>
      <c r="P813" s="30"/>
      <c r="Q813" s="30"/>
      <c r="R813" s="30"/>
      <c r="S813" s="31"/>
      <c r="T813" s="31"/>
      <c r="U813" s="31"/>
      <c r="V813" s="31"/>
      <c r="W813" s="31"/>
      <c r="X813" s="32"/>
      <c r="Y813" s="32"/>
      <c r="Z813" s="32"/>
    </row>
    <row r="814" spans="1:26">
      <c r="A814" s="28"/>
      <c r="B814" s="17">
        <f t="shared" si="33"/>
        <v>46319</v>
      </c>
      <c r="C814" s="26">
        <f>I814+J814+K814+L814+M814+N814+O814+IF(P814="",0,P814*サマリー!$B$9)+IF(Q814="",0,IF(Q814=200,サマリー!$B$10,IF(Q814=100,サマリー!$B$11,0)))+IF(R814="",0,R814*サマリー!$B$12)</f>
        <v>0</v>
      </c>
      <c r="D814" s="26">
        <f>S814+T814+U814+V814+W814+IF(X814="",0,X814*サマリー!$B$9)+IF(Y814="",0,IF(Y814=200,サマリー!$B$10,IF(Y814=100,サマリー!$B$11,0)))+IF(Z814="",0,Z814*サマリー!$B$12)</f>
        <v>0</v>
      </c>
      <c r="E814" s="26">
        <f t="shared" si="34"/>
        <v>0</v>
      </c>
      <c r="I814" s="29"/>
      <c r="J814" s="29"/>
      <c r="K814" s="29"/>
      <c r="L814" s="29"/>
      <c r="M814" s="29"/>
      <c r="N814" s="29"/>
      <c r="O814" s="29"/>
      <c r="P814" s="30"/>
      <c r="Q814" s="30"/>
      <c r="R814" s="30"/>
      <c r="S814" s="31"/>
      <c r="T814" s="31"/>
      <c r="U814" s="31"/>
      <c r="V814" s="31"/>
      <c r="W814" s="31"/>
      <c r="X814" s="32"/>
      <c r="Y814" s="32"/>
      <c r="Z814" s="32"/>
    </row>
    <row r="815" spans="1:26">
      <c r="A815" s="28"/>
      <c r="B815" s="17">
        <f t="shared" si="33"/>
        <v>46319</v>
      </c>
      <c r="C815" s="26">
        <f>I815+J815+K815+L815+M815+N815+O815+IF(P815="",0,P815*サマリー!$B$9)+IF(Q815="",0,IF(Q815=200,サマリー!$B$10,IF(Q815=100,サマリー!$B$11,0)))+IF(R815="",0,R815*サマリー!$B$12)</f>
        <v>0</v>
      </c>
      <c r="D815" s="26">
        <f>S815+T815+U815+V815+W815+IF(X815="",0,X815*サマリー!$B$9)+IF(Y815="",0,IF(Y815=200,サマリー!$B$10,IF(Y815=100,サマリー!$B$11,0)))+IF(Z815="",0,Z815*サマリー!$B$12)</f>
        <v>0</v>
      </c>
      <c r="E815" s="26">
        <f t="shared" si="34"/>
        <v>0</v>
      </c>
      <c r="I815" s="29"/>
      <c r="J815" s="29"/>
      <c r="K815" s="29"/>
      <c r="L815" s="29"/>
      <c r="M815" s="29"/>
      <c r="N815" s="29"/>
      <c r="O815" s="29"/>
      <c r="P815" s="30"/>
      <c r="Q815" s="30"/>
      <c r="R815" s="30"/>
      <c r="S815" s="31"/>
      <c r="T815" s="31"/>
      <c r="U815" s="31"/>
      <c r="V815" s="31"/>
      <c r="W815" s="31"/>
      <c r="X815" s="32"/>
      <c r="Y815" s="32"/>
      <c r="Z815" s="32"/>
    </row>
    <row r="816" spans="1:26">
      <c r="A816" s="28"/>
      <c r="B816" s="17">
        <f t="shared" si="33"/>
        <v>46319</v>
      </c>
      <c r="C816" s="26">
        <f>I816+J816+K816+L816+M816+N816+O816+IF(P816="",0,P816*サマリー!$B$9)+IF(Q816="",0,IF(Q816=200,サマリー!$B$10,IF(Q816=100,サマリー!$B$11,0)))+IF(R816="",0,R816*サマリー!$B$12)</f>
        <v>0</v>
      </c>
      <c r="D816" s="26">
        <f>S816+T816+U816+V816+W816+IF(X816="",0,X816*サマリー!$B$9)+IF(Y816="",0,IF(Y816=200,サマリー!$B$10,IF(Y816=100,サマリー!$B$11,0)))+IF(Z816="",0,Z816*サマリー!$B$12)</f>
        <v>0</v>
      </c>
      <c r="E816" s="26">
        <f t="shared" si="34"/>
        <v>0</v>
      </c>
      <c r="I816" s="29"/>
      <c r="J816" s="29"/>
      <c r="K816" s="29"/>
      <c r="L816" s="29"/>
      <c r="M816" s="29"/>
      <c r="N816" s="29"/>
      <c r="O816" s="29"/>
      <c r="P816" s="30"/>
      <c r="Q816" s="30"/>
      <c r="R816" s="30"/>
      <c r="S816" s="31"/>
      <c r="T816" s="31"/>
      <c r="U816" s="31"/>
      <c r="V816" s="31"/>
      <c r="W816" s="31"/>
      <c r="X816" s="32"/>
      <c r="Y816" s="32"/>
      <c r="Z816" s="32"/>
    </row>
    <row r="817" spans="1:26">
      <c r="A817" s="28"/>
      <c r="B817" s="17">
        <f t="shared" si="33"/>
        <v>46319</v>
      </c>
      <c r="C817" s="26">
        <f>I817+J817+K817+L817+M817+N817+O817+IF(P817="",0,P817*サマリー!$B$9)+IF(Q817="",0,IF(Q817=200,サマリー!$B$10,IF(Q817=100,サマリー!$B$11,0)))+IF(R817="",0,R817*サマリー!$B$12)</f>
        <v>0</v>
      </c>
      <c r="D817" s="26">
        <f>S817+T817+U817+V817+W817+IF(X817="",0,X817*サマリー!$B$9)+IF(Y817="",0,IF(Y817=200,サマリー!$B$10,IF(Y817=100,サマリー!$B$11,0)))+IF(Z817="",0,Z817*サマリー!$B$12)</f>
        <v>0</v>
      </c>
      <c r="E817" s="26">
        <f t="shared" si="34"/>
        <v>0</v>
      </c>
      <c r="I817" s="29"/>
      <c r="J817" s="29"/>
      <c r="K817" s="29"/>
      <c r="L817" s="29"/>
      <c r="M817" s="29"/>
      <c r="N817" s="29"/>
      <c r="O817" s="29"/>
      <c r="P817" s="30"/>
      <c r="Q817" s="30"/>
      <c r="R817" s="30"/>
      <c r="S817" s="31"/>
      <c r="T817" s="31"/>
      <c r="U817" s="31"/>
      <c r="V817" s="31"/>
      <c r="W817" s="31"/>
      <c r="X817" s="32"/>
      <c r="Y817" s="32"/>
      <c r="Z817" s="32"/>
    </row>
    <row r="818" spans="1:26">
      <c r="A818" s="28"/>
      <c r="B818" s="17">
        <f t="shared" si="33"/>
        <v>46319</v>
      </c>
      <c r="C818" s="26">
        <f>I818+J818+K818+L818+M818+N818+O818+IF(P818="",0,P818*サマリー!$B$9)+IF(Q818="",0,IF(Q818=200,サマリー!$B$10,IF(Q818=100,サマリー!$B$11,0)))+IF(R818="",0,R818*サマリー!$B$12)</f>
        <v>0</v>
      </c>
      <c r="D818" s="26">
        <f>S818+T818+U818+V818+W818+IF(X818="",0,X818*サマリー!$B$9)+IF(Y818="",0,IF(Y818=200,サマリー!$B$10,IF(Y818=100,サマリー!$B$11,0)))+IF(Z818="",0,Z818*サマリー!$B$12)</f>
        <v>0</v>
      </c>
      <c r="E818" s="26">
        <f t="shared" si="34"/>
        <v>0</v>
      </c>
      <c r="I818" s="29"/>
      <c r="J818" s="29"/>
      <c r="K818" s="29"/>
      <c r="L818" s="29"/>
      <c r="M818" s="29"/>
      <c r="N818" s="29"/>
      <c r="O818" s="29"/>
      <c r="P818" s="30"/>
      <c r="Q818" s="30"/>
      <c r="R818" s="30"/>
      <c r="S818" s="31"/>
      <c r="T818" s="31"/>
      <c r="U818" s="31"/>
      <c r="V818" s="31"/>
      <c r="W818" s="31"/>
      <c r="X818" s="32"/>
      <c r="Y818" s="32"/>
      <c r="Z818" s="32"/>
    </row>
    <row r="819" spans="1:26">
      <c r="A819" s="28"/>
      <c r="B819" s="17">
        <f t="shared" si="33"/>
        <v>46319</v>
      </c>
      <c r="C819" s="26">
        <f>I819+J819+K819+L819+M819+N819+O819+IF(P819="",0,P819*サマリー!$B$9)+IF(Q819="",0,IF(Q819=200,サマリー!$B$10,IF(Q819=100,サマリー!$B$11,0)))+IF(R819="",0,R819*サマリー!$B$12)</f>
        <v>0</v>
      </c>
      <c r="D819" s="26">
        <f>S819+T819+U819+V819+W819+IF(X819="",0,X819*サマリー!$B$9)+IF(Y819="",0,IF(Y819=200,サマリー!$B$10,IF(Y819=100,サマリー!$B$11,0)))+IF(Z819="",0,Z819*サマリー!$B$12)</f>
        <v>0</v>
      </c>
      <c r="E819" s="26">
        <f t="shared" si="34"/>
        <v>0</v>
      </c>
      <c r="I819" s="29"/>
      <c r="J819" s="29"/>
      <c r="K819" s="29"/>
      <c r="L819" s="29"/>
      <c r="M819" s="29"/>
      <c r="N819" s="29"/>
      <c r="O819" s="29"/>
      <c r="P819" s="30"/>
      <c r="Q819" s="30"/>
      <c r="R819" s="30"/>
      <c r="S819" s="31"/>
      <c r="T819" s="31"/>
      <c r="U819" s="31"/>
      <c r="V819" s="31"/>
      <c r="W819" s="31"/>
      <c r="X819" s="32"/>
      <c r="Y819" s="32"/>
      <c r="Z819" s="32"/>
    </row>
    <row r="820" spans="1:26">
      <c r="A820" s="28"/>
      <c r="B820" s="17">
        <f t="shared" si="33"/>
        <v>46319</v>
      </c>
      <c r="C820" s="26">
        <f>I820+J820+K820+L820+M820+N820+O820+IF(P820="",0,P820*サマリー!$B$9)+IF(Q820="",0,IF(Q820=200,サマリー!$B$10,IF(Q820=100,サマリー!$B$11,0)))+IF(R820="",0,R820*サマリー!$B$12)</f>
        <v>0</v>
      </c>
      <c r="D820" s="26">
        <f>S820+T820+U820+V820+W820+IF(X820="",0,X820*サマリー!$B$9)+IF(Y820="",0,IF(Y820=200,サマリー!$B$10,IF(Y820=100,サマリー!$B$11,0)))+IF(Z820="",0,Z820*サマリー!$B$12)</f>
        <v>0</v>
      </c>
      <c r="E820" s="26">
        <f t="shared" si="34"/>
        <v>0</v>
      </c>
      <c r="I820" s="29"/>
      <c r="J820" s="29"/>
      <c r="K820" s="29"/>
      <c r="L820" s="29"/>
      <c r="M820" s="29"/>
      <c r="N820" s="29"/>
      <c r="O820" s="29"/>
      <c r="P820" s="30"/>
      <c r="Q820" s="30"/>
      <c r="R820" s="30"/>
      <c r="S820" s="31"/>
      <c r="T820" s="31"/>
      <c r="U820" s="31"/>
      <c r="V820" s="31"/>
      <c r="W820" s="31"/>
      <c r="X820" s="32"/>
      <c r="Y820" s="32"/>
      <c r="Z820" s="32"/>
    </row>
    <row r="821" spans="1:26">
      <c r="A821" s="28"/>
      <c r="B821" s="17">
        <f t="shared" si="33"/>
        <v>46319</v>
      </c>
      <c r="C821" s="26">
        <f>I821+J821+K821+L821+M821+N821+O821+IF(P821="",0,P821*サマリー!$B$9)+IF(Q821="",0,IF(Q821=200,サマリー!$B$10,IF(Q821=100,サマリー!$B$11,0)))+IF(R821="",0,R821*サマリー!$B$12)</f>
        <v>0</v>
      </c>
      <c r="D821" s="26">
        <f>S821+T821+U821+V821+W821+IF(X821="",0,X821*サマリー!$B$9)+IF(Y821="",0,IF(Y821=200,サマリー!$B$10,IF(Y821=100,サマリー!$B$11,0)))+IF(Z821="",0,Z821*サマリー!$B$12)</f>
        <v>0</v>
      </c>
      <c r="E821" s="26">
        <f t="shared" si="34"/>
        <v>0</v>
      </c>
      <c r="I821" s="29"/>
      <c r="J821" s="29"/>
      <c r="K821" s="29"/>
      <c r="L821" s="29"/>
      <c r="M821" s="29"/>
      <c r="N821" s="29"/>
      <c r="O821" s="29"/>
      <c r="P821" s="30"/>
      <c r="Q821" s="30"/>
      <c r="R821" s="30"/>
      <c r="S821" s="31"/>
      <c r="T821" s="31"/>
      <c r="U821" s="31"/>
      <c r="V821" s="31"/>
      <c r="W821" s="31"/>
      <c r="X821" s="32"/>
      <c r="Y821" s="32"/>
      <c r="Z821" s="32"/>
    </row>
    <row r="822" spans="1:26">
      <c r="A822" s="28"/>
      <c r="B822" s="17">
        <f t="shared" si="33"/>
        <v>46319</v>
      </c>
      <c r="C822" s="26">
        <f>I822+J822+K822+L822+M822+N822+O822+IF(P822="",0,P822*サマリー!$B$9)+IF(Q822="",0,IF(Q822=200,サマリー!$B$10,IF(Q822=100,サマリー!$B$11,0)))+IF(R822="",0,R822*サマリー!$B$12)</f>
        <v>0</v>
      </c>
      <c r="D822" s="26">
        <f>S822+T822+U822+V822+W822+IF(X822="",0,X822*サマリー!$B$9)+IF(Y822="",0,IF(Y822=200,サマリー!$B$10,IF(Y822=100,サマリー!$B$11,0)))+IF(Z822="",0,Z822*サマリー!$B$12)</f>
        <v>0</v>
      </c>
      <c r="E822" s="26">
        <f t="shared" si="34"/>
        <v>0</v>
      </c>
      <c r="I822" s="29"/>
      <c r="J822" s="29"/>
      <c r="K822" s="29"/>
      <c r="L822" s="29"/>
      <c r="M822" s="29"/>
      <c r="N822" s="29"/>
      <c r="O822" s="29"/>
      <c r="P822" s="30"/>
      <c r="Q822" s="30"/>
      <c r="R822" s="30"/>
      <c r="S822" s="31"/>
      <c r="T822" s="31"/>
      <c r="U822" s="31"/>
      <c r="V822" s="31"/>
      <c r="W822" s="31"/>
      <c r="X822" s="32"/>
      <c r="Y822" s="32"/>
      <c r="Z822" s="32"/>
    </row>
    <row r="823" spans="1:26">
      <c r="A823" s="28"/>
      <c r="B823" s="17">
        <f t="shared" si="33"/>
        <v>46319</v>
      </c>
      <c r="C823" s="26">
        <f>I823+J823+K823+L823+M823+N823+O823+IF(P823="",0,P823*サマリー!$B$9)+IF(Q823="",0,IF(Q823=200,サマリー!$B$10,IF(Q823=100,サマリー!$B$11,0)))+IF(R823="",0,R823*サマリー!$B$12)</f>
        <v>0</v>
      </c>
      <c r="D823" s="26">
        <f>S823+T823+U823+V823+W823+IF(X823="",0,X823*サマリー!$B$9)+IF(Y823="",0,IF(Y823=200,サマリー!$B$10,IF(Y823=100,サマリー!$B$11,0)))+IF(Z823="",0,Z823*サマリー!$B$12)</f>
        <v>0</v>
      </c>
      <c r="E823" s="26">
        <f t="shared" si="34"/>
        <v>0</v>
      </c>
      <c r="I823" s="29"/>
      <c r="J823" s="29"/>
      <c r="K823" s="29"/>
      <c r="L823" s="29"/>
      <c r="M823" s="29"/>
      <c r="N823" s="29"/>
      <c r="O823" s="29"/>
      <c r="P823" s="30"/>
      <c r="Q823" s="30"/>
      <c r="R823" s="30"/>
      <c r="S823" s="31"/>
      <c r="T823" s="31"/>
      <c r="U823" s="31"/>
      <c r="V823" s="31"/>
      <c r="W823" s="31"/>
      <c r="X823" s="32"/>
      <c r="Y823" s="32"/>
      <c r="Z823" s="32"/>
    </row>
    <row r="824" spans="1:26">
      <c r="A824" s="28"/>
      <c r="B824" s="17">
        <f t="shared" si="33"/>
        <v>46319</v>
      </c>
      <c r="C824" s="26">
        <f>I824+J824+K824+L824+M824+N824+O824+IF(P824="",0,P824*サマリー!$B$9)+IF(Q824="",0,IF(Q824=200,サマリー!$B$10,IF(Q824=100,サマリー!$B$11,0)))+IF(R824="",0,R824*サマリー!$B$12)</f>
        <v>0</v>
      </c>
      <c r="D824" s="26">
        <f>S824+T824+U824+V824+W824+IF(X824="",0,X824*サマリー!$B$9)+IF(Y824="",0,IF(Y824=200,サマリー!$B$10,IF(Y824=100,サマリー!$B$11,0)))+IF(Z824="",0,Z824*サマリー!$B$12)</f>
        <v>0</v>
      </c>
      <c r="E824" s="26">
        <f t="shared" si="34"/>
        <v>0</v>
      </c>
      <c r="I824" s="29"/>
      <c r="J824" s="29"/>
      <c r="K824" s="29"/>
      <c r="L824" s="29"/>
      <c r="M824" s="29"/>
      <c r="N824" s="29"/>
      <c r="O824" s="29"/>
      <c r="P824" s="30"/>
      <c r="Q824" s="30"/>
      <c r="R824" s="30"/>
      <c r="S824" s="31"/>
      <c r="T824" s="31"/>
      <c r="U824" s="31"/>
      <c r="V824" s="31"/>
      <c r="W824" s="31"/>
      <c r="X824" s="32"/>
      <c r="Y824" s="32"/>
      <c r="Z824" s="32"/>
    </row>
    <row r="825" spans="1:26">
      <c r="A825" s="28"/>
      <c r="B825" s="17">
        <f t="shared" si="33"/>
        <v>46319</v>
      </c>
      <c r="C825" s="26">
        <f>I825+J825+K825+L825+M825+N825+O825+IF(P825="",0,P825*サマリー!$B$9)+IF(Q825="",0,IF(Q825=200,サマリー!$B$10,IF(Q825=100,サマリー!$B$11,0)))+IF(R825="",0,R825*サマリー!$B$12)</f>
        <v>0</v>
      </c>
      <c r="D825" s="26">
        <f>S825+T825+U825+V825+W825+IF(X825="",0,X825*サマリー!$B$9)+IF(Y825="",0,IF(Y825=200,サマリー!$B$10,IF(Y825=100,サマリー!$B$11,0)))+IF(Z825="",0,Z825*サマリー!$B$12)</f>
        <v>0</v>
      </c>
      <c r="E825" s="26">
        <f t="shared" si="34"/>
        <v>0</v>
      </c>
      <c r="I825" s="29"/>
      <c r="J825" s="29"/>
      <c r="K825" s="29"/>
      <c r="L825" s="29"/>
      <c r="M825" s="29"/>
      <c r="N825" s="29"/>
      <c r="O825" s="29"/>
      <c r="P825" s="30"/>
      <c r="Q825" s="30"/>
      <c r="R825" s="30"/>
      <c r="S825" s="31"/>
      <c r="T825" s="31"/>
      <c r="U825" s="31"/>
      <c r="V825" s="31"/>
      <c r="W825" s="31"/>
      <c r="X825" s="32"/>
      <c r="Y825" s="32"/>
      <c r="Z825" s="32"/>
    </row>
    <row r="826" spans="1:26">
      <c r="A826" s="28"/>
      <c r="B826" s="17">
        <f t="shared" si="33"/>
        <v>46319</v>
      </c>
      <c r="C826" s="26">
        <f>I826+J826+K826+L826+M826+N826+O826+IF(P826="",0,P826*サマリー!$B$9)+IF(Q826="",0,IF(Q826=200,サマリー!$B$10,IF(Q826=100,サマリー!$B$11,0)))+IF(R826="",0,R826*サマリー!$B$12)</f>
        <v>0</v>
      </c>
      <c r="D826" s="26">
        <f>S826+T826+U826+V826+W826+IF(X826="",0,X826*サマリー!$B$9)+IF(Y826="",0,IF(Y826=200,サマリー!$B$10,IF(Y826=100,サマリー!$B$11,0)))+IF(Z826="",0,Z826*サマリー!$B$12)</f>
        <v>0</v>
      </c>
      <c r="E826" s="26">
        <f t="shared" si="34"/>
        <v>0</v>
      </c>
      <c r="I826" s="29"/>
      <c r="J826" s="29"/>
      <c r="K826" s="29"/>
      <c r="L826" s="29"/>
      <c r="M826" s="29"/>
      <c r="N826" s="29"/>
      <c r="O826" s="29"/>
      <c r="P826" s="30"/>
      <c r="Q826" s="30"/>
      <c r="R826" s="30"/>
      <c r="S826" s="31"/>
      <c r="T826" s="31"/>
      <c r="U826" s="31"/>
      <c r="V826" s="31"/>
      <c r="W826" s="31"/>
      <c r="X826" s="32"/>
      <c r="Y826" s="32"/>
      <c r="Z826" s="32"/>
    </row>
    <row r="827" spans="1:26">
      <c r="A827" s="28"/>
      <c r="B827" s="17">
        <f t="shared" si="33"/>
        <v>46319</v>
      </c>
      <c r="C827" s="26">
        <f>I827+J827+K827+L827+M827+N827+O827+IF(P827="",0,P827*サマリー!$B$9)+IF(Q827="",0,IF(Q827=200,サマリー!$B$10,IF(Q827=100,サマリー!$B$11,0)))+IF(R827="",0,R827*サマリー!$B$12)</f>
        <v>0</v>
      </c>
      <c r="D827" s="26">
        <f>S827+T827+U827+V827+W827+IF(X827="",0,X827*サマリー!$B$9)+IF(Y827="",0,IF(Y827=200,サマリー!$B$10,IF(Y827=100,サマリー!$B$11,0)))+IF(Z827="",0,Z827*サマリー!$B$12)</f>
        <v>0</v>
      </c>
      <c r="E827" s="26">
        <f t="shared" si="34"/>
        <v>0</v>
      </c>
      <c r="I827" s="29"/>
      <c r="J827" s="29"/>
      <c r="K827" s="29"/>
      <c r="L827" s="29"/>
      <c r="M827" s="29"/>
      <c r="N827" s="29"/>
      <c r="O827" s="29"/>
      <c r="P827" s="30"/>
      <c r="Q827" s="30"/>
      <c r="R827" s="30"/>
      <c r="S827" s="31"/>
      <c r="T827" s="31"/>
      <c r="U827" s="31"/>
      <c r="V827" s="31"/>
      <c r="W827" s="31"/>
      <c r="X827" s="32"/>
      <c r="Y827" s="32"/>
      <c r="Z827" s="32"/>
    </row>
    <row r="828" spans="1:26">
      <c r="A828" s="28"/>
      <c r="B828" s="17">
        <f t="shared" si="33"/>
        <v>46319</v>
      </c>
      <c r="C828" s="26">
        <f>I828+J828+K828+L828+M828+N828+O828+IF(P828="",0,P828*サマリー!$B$9)+IF(Q828="",0,IF(Q828=200,サマリー!$B$10,IF(Q828=100,サマリー!$B$11,0)))+IF(R828="",0,R828*サマリー!$B$12)</f>
        <v>0</v>
      </c>
      <c r="D828" s="26">
        <f>S828+T828+U828+V828+W828+IF(X828="",0,X828*サマリー!$B$9)+IF(Y828="",0,IF(Y828=200,サマリー!$B$10,IF(Y828=100,サマリー!$B$11,0)))+IF(Z828="",0,Z828*サマリー!$B$12)</f>
        <v>0</v>
      </c>
      <c r="E828" s="26">
        <f t="shared" si="34"/>
        <v>0</v>
      </c>
      <c r="I828" s="29"/>
      <c r="J828" s="29"/>
      <c r="K828" s="29"/>
      <c r="L828" s="29"/>
      <c r="M828" s="29"/>
      <c r="N828" s="29"/>
      <c r="O828" s="29"/>
      <c r="P828" s="30"/>
      <c r="Q828" s="30"/>
      <c r="R828" s="30"/>
      <c r="S828" s="31"/>
      <c r="T828" s="31"/>
      <c r="U828" s="31"/>
      <c r="V828" s="31"/>
      <c r="W828" s="31"/>
      <c r="X828" s="32"/>
      <c r="Y828" s="32"/>
      <c r="Z828" s="32"/>
    </row>
    <row r="829" spans="1:26">
      <c r="A829" s="28"/>
      <c r="B829" s="17">
        <f t="shared" si="33"/>
        <v>46319</v>
      </c>
      <c r="C829" s="26">
        <f>I829+J829+K829+L829+M829+N829+O829+IF(P829="",0,P829*サマリー!$B$9)+IF(Q829="",0,IF(Q829=200,サマリー!$B$10,IF(Q829=100,サマリー!$B$11,0)))+IF(R829="",0,R829*サマリー!$B$12)</f>
        <v>0</v>
      </c>
      <c r="D829" s="26">
        <f>S829+T829+U829+V829+W829+IF(X829="",0,X829*サマリー!$B$9)+IF(Y829="",0,IF(Y829=200,サマリー!$B$10,IF(Y829=100,サマリー!$B$11,0)))+IF(Z829="",0,Z829*サマリー!$B$12)</f>
        <v>0</v>
      </c>
      <c r="E829" s="26">
        <f t="shared" si="34"/>
        <v>0</v>
      </c>
      <c r="I829" s="29"/>
      <c r="J829" s="29"/>
      <c r="K829" s="29"/>
      <c r="L829" s="29"/>
      <c r="M829" s="29"/>
      <c r="N829" s="29"/>
      <c r="O829" s="29"/>
      <c r="P829" s="30"/>
      <c r="Q829" s="30"/>
      <c r="R829" s="30"/>
      <c r="S829" s="31"/>
      <c r="T829" s="31"/>
      <c r="U829" s="31"/>
      <c r="V829" s="31"/>
      <c r="W829" s="31"/>
      <c r="X829" s="32"/>
      <c r="Y829" s="32"/>
      <c r="Z829" s="32"/>
    </row>
    <row r="830" spans="1:26">
      <c r="A830" s="28"/>
      <c r="B830" s="17">
        <f t="shared" si="33"/>
        <v>46319</v>
      </c>
      <c r="C830" s="26">
        <f>I830+J830+K830+L830+M830+N830+O830+IF(P830="",0,P830*サマリー!$B$9)+IF(Q830="",0,IF(Q830=200,サマリー!$B$10,IF(Q830=100,サマリー!$B$11,0)))+IF(R830="",0,R830*サマリー!$B$12)</f>
        <v>0</v>
      </c>
      <c r="D830" s="26">
        <f>S830+T830+U830+V830+W830+IF(X830="",0,X830*サマリー!$B$9)+IF(Y830="",0,IF(Y830=200,サマリー!$B$10,IF(Y830=100,サマリー!$B$11,0)))+IF(Z830="",0,Z830*サマリー!$B$12)</f>
        <v>0</v>
      </c>
      <c r="E830" s="26">
        <f t="shared" si="34"/>
        <v>0</v>
      </c>
      <c r="I830" s="29"/>
      <c r="J830" s="29"/>
      <c r="K830" s="29"/>
      <c r="L830" s="29"/>
      <c r="M830" s="29"/>
      <c r="N830" s="29"/>
      <c r="O830" s="29"/>
      <c r="P830" s="30"/>
      <c r="Q830" s="30"/>
      <c r="R830" s="30"/>
      <c r="S830" s="31"/>
      <c r="T830" s="31"/>
      <c r="U830" s="31"/>
      <c r="V830" s="31"/>
      <c r="W830" s="31"/>
      <c r="X830" s="32"/>
      <c r="Y830" s="32"/>
      <c r="Z830" s="32"/>
    </row>
    <row r="831" spans="1:26">
      <c r="A831" s="28"/>
      <c r="B831" s="17">
        <f t="shared" si="33"/>
        <v>46319</v>
      </c>
      <c r="C831" s="26">
        <f>I831+J831+K831+L831+M831+N831+O831+IF(P831="",0,P831*サマリー!$B$9)+IF(Q831="",0,IF(Q831=200,サマリー!$B$10,IF(Q831=100,サマリー!$B$11,0)))+IF(R831="",0,R831*サマリー!$B$12)</f>
        <v>0</v>
      </c>
      <c r="D831" s="26">
        <f>S831+T831+U831+V831+W831+IF(X831="",0,X831*サマリー!$B$9)+IF(Y831="",0,IF(Y831=200,サマリー!$B$10,IF(Y831=100,サマリー!$B$11,0)))+IF(Z831="",0,Z831*サマリー!$B$12)</f>
        <v>0</v>
      </c>
      <c r="E831" s="26">
        <f t="shared" si="34"/>
        <v>0</v>
      </c>
      <c r="I831" s="29"/>
      <c r="J831" s="29"/>
      <c r="K831" s="29"/>
      <c r="L831" s="29"/>
      <c r="M831" s="29"/>
      <c r="N831" s="29"/>
      <c r="O831" s="29"/>
      <c r="P831" s="30"/>
      <c r="Q831" s="30"/>
      <c r="R831" s="30"/>
      <c r="S831" s="31"/>
      <c r="T831" s="31"/>
      <c r="U831" s="31"/>
      <c r="V831" s="31"/>
      <c r="W831" s="31"/>
      <c r="X831" s="32"/>
      <c r="Y831" s="32"/>
      <c r="Z831" s="32"/>
    </row>
    <row r="832" spans="1:26">
      <c r="A832" s="28"/>
      <c r="B832" s="17">
        <f t="shared" si="33"/>
        <v>46319</v>
      </c>
      <c r="C832" s="26">
        <f>I832+J832+K832+L832+M832+N832+O832+IF(P832="",0,P832*サマリー!$B$9)+IF(Q832="",0,IF(Q832=200,サマリー!$B$10,IF(Q832=100,サマリー!$B$11,0)))+IF(R832="",0,R832*サマリー!$B$12)</f>
        <v>0</v>
      </c>
      <c r="D832" s="26">
        <f>S832+T832+U832+V832+W832+IF(X832="",0,X832*サマリー!$B$9)+IF(Y832="",0,IF(Y832=200,サマリー!$B$10,IF(Y832=100,サマリー!$B$11,0)))+IF(Z832="",0,Z832*サマリー!$B$12)</f>
        <v>0</v>
      </c>
      <c r="E832" s="26">
        <f t="shared" si="34"/>
        <v>0</v>
      </c>
      <c r="I832" s="29"/>
      <c r="J832" s="29"/>
      <c r="K832" s="29"/>
      <c r="L832" s="29"/>
      <c r="M832" s="29"/>
      <c r="N832" s="29"/>
      <c r="O832" s="29"/>
      <c r="P832" s="30"/>
      <c r="Q832" s="30"/>
      <c r="R832" s="30"/>
      <c r="S832" s="31"/>
      <c r="T832" s="31"/>
      <c r="U832" s="31"/>
      <c r="V832" s="31"/>
      <c r="W832" s="31"/>
      <c r="X832" s="32"/>
      <c r="Y832" s="32"/>
      <c r="Z832" s="32"/>
    </row>
    <row r="833" spans="1:26">
      <c r="A833" s="28"/>
      <c r="B833" s="17">
        <f t="shared" ref="B833:B896" si="35">IF(A833="",B832,IF(A833&lt;DAY(B832),DATE(YEAR(B832),MONTH(B832)+1,A833),DATE(YEAR(B832),MONTH(B832),A833)))</f>
        <v>46319</v>
      </c>
      <c r="C833" s="26">
        <f>I833+J833+K833+L833+M833+N833+O833+IF(P833="",0,P833*サマリー!$B$9)+IF(Q833="",0,IF(Q833=200,サマリー!$B$10,IF(Q833=100,サマリー!$B$11,0)))+IF(R833="",0,R833*サマリー!$B$12)</f>
        <v>0</v>
      </c>
      <c r="D833" s="26">
        <f>S833+T833+U833+V833+W833+IF(X833="",0,X833*サマリー!$B$9)+IF(Y833="",0,IF(Y833=200,サマリー!$B$10,IF(Y833=100,サマリー!$B$11,0)))+IF(Z833="",0,Z833*サマリー!$B$12)</f>
        <v>0</v>
      </c>
      <c r="E833" s="26">
        <f t="shared" si="34"/>
        <v>0</v>
      </c>
      <c r="I833" s="29"/>
      <c r="J833" s="29"/>
      <c r="K833" s="29"/>
      <c r="L833" s="29"/>
      <c r="M833" s="29"/>
      <c r="N833" s="29"/>
      <c r="O833" s="29"/>
      <c r="P833" s="30"/>
      <c r="Q833" s="30"/>
      <c r="R833" s="30"/>
      <c r="S833" s="31"/>
      <c r="T833" s="31"/>
      <c r="U833" s="31"/>
      <c r="V833" s="31"/>
      <c r="W833" s="31"/>
      <c r="X833" s="32"/>
      <c r="Y833" s="32"/>
      <c r="Z833" s="32"/>
    </row>
    <row r="834" spans="1:26">
      <c r="A834" s="28"/>
      <c r="B834" s="17">
        <f t="shared" si="35"/>
        <v>46319</v>
      </c>
      <c r="C834" s="26">
        <f>I834+J834+K834+L834+M834+N834+O834+IF(P834="",0,P834*サマリー!$B$9)+IF(Q834="",0,IF(Q834=200,サマリー!$B$10,IF(Q834=100,サマリー!$B$11,0)))+IF(R834="",0,R834*サマリー!$B$12)</f>
        <v>0</v>
      </c>
      <c r="D834" s="26">
        <f>S834+T834+U834+V834+W834+IF(X834="",0,X834*サマリー!$B$9)+IF(Y834="",0,IF(Y834=200,サマリー!$B$10,IF(Y834=100,サマリー!$B$11,0)))+IF(Z834="",0,Z834*サマリー!$B$12)</f>
        <v>0</v>
      </c>
      <c r="E834" s="26">
        <f t="shared" si="34"/>
        <v>0</v>
      </c>
      <c r="I834" s="29"/>
      <c r="J834" s="29"/>
      <c r="K834" s="29"/>
      <c r="L834" s="29"/>
      <c r="M834" s="29"/>
      <c r="N834" s="29"/>
      <c r="O834" s="29"/>
      <c r="P834" s="30"/>
      <c r="Q834" s="30"/>
      <c r="R834" s="30"/>
      <c r="S834" s="31"/>
      <c r="T834" s="31"/>
      <c r="U834" s="31"/>
      <c r="V834" s="31"/>
      <c r="W834" s="31"/>
      <c r="X834" s="32"/>
      <c r="Y834" s="32"/>
      <c r="Z834" s="32"/>
    </row>
    <row r="835" spans="1:26">
      <c r="A835" s="28"/>
      <c r="B835" s="17">
        <f t="shared" si="35"/>
        <v>46319</v>
      </c>
      <c r="C835" s="26">
        <f>I835+J835+K835+L835+M835+N835+O835+IF(P835="",0,P835*サマリー!$B$9)+IF(Q835="",0,IF(Q835=200,サマリー!$B$10,IF(Q835=100,サマリー!$B$11,0)))+IF(R835="",0,R835*サマリー!$B$12)</f>
        <v>0</v>
      </c>
      <c r="D835" s="26">
        <f>S835+T835+U835+V835+W835+IF(X835="",0,X835*サマリー!$B$9)+IF(Y835="",0,IF(Y835=200,サマリー!$B$10,IF(Y835=100,サマリー!$B$11,0)))+IF(Z835="",0,Z835*サマリー!$B$12)</f>
        <v>0</v>
      </c>
      <c r="E835" s="26">
        <f t="shared" si="34"/>
        <v>0</v>
      </c>
      <c r="I835" s="29"/>
      <c r="J835" s="29"/>
      <c r="K835" s="29"/>
      <c r="L835" s="29"/>
      <c r="M835" s="29"/>
      <c r="N835" s="29"/>
      <c r="O835" s="29"/>
      <c r="P835" s="30"/>
      <c r="Q835" s="30"/>
      <c r="R835" s="30"/>
      <c r="S835" s="31"/>
      <c r="T835" s="31"/>
      <c r="U835" s="31"/>
      <c r="V835" s="31"/>
      <c r="W835" s="31"/>
      <c r="X835" s="32"/>
      <c r="Y835" s="32"/>
      <c r="Z835" s="32"/>
    </row>
    <row r="836" spans="1:26">
      <c r="A836" s="28"/>
      <c r="B836" s="17">
        <f t="shared" si="35"/>
        <v>46319</v>
      </c>
      <c r="C836" s="26">
        <f>I836+J836+K836+L836+M836+N836+O836+IF(P836="",0,P836*サマリー!$B$9)+IF(Q836="",0,IF(Q836=200,サマリー!$B$10,IF(Q836=100,サマリー!$B$11,0)))+IF(R836="",0,R836*サマリー!$B$12)</f>
        <v>0</v>
      </c>
      <c r="D836" s="26">
        <f>S836+T836+U836+V836+W836+IF(X836="",0,X836*サマリー!$B$9)+IF(Y836="",0,IF(Y836=200,サマリー!$B$10,IF(Y836=100,サマリー!$B$11,0)))+IF(Z836="",0,Z836*サマリー!$B$12)</f>
        <v>0</v>
      </c>
      <c r="E836" s="26">
        <f t="shared" si="34"/>
        <v>0</v>
      </c>
      <c r="I836" s="29"/>
      <c r="J836" s="29"/>
      <c r="K836" s="29"/>
      <c r="L836" s="29"/>
      <c r="M836" s="29"/>
      <c r="N836" s="29"/>
      <c r="O836" s="29"/>
      <c r="P836" s="30"/>
      <c r="Q836" s="30"/>
      <c r="R836" s="30"/>
      <c r="S836" s="31"/>
      <c r="T836" s="31"/>
      <c r="U836" s="31"/>
      <c r="V836" s="31"/>
      <c r="W836" s="31"/>
      <c r="X836" s="32"/>
      <c r="Y836" s="32"/>
      <c r="Z836" s="32"/>
    </row>
    <row r="837" spans="1:26">
      <c r="A837" s="28"/>
      <c r="B837" s="17">
        <f t="shared" si="35"/>
        <v>46319</v>
      </c>
      <c r="C837" s="26">
        <f>I837+J837+K837+L837+M837+N837+O837+IF(P837="",0,P837*サマリー!$B$9)+IF(Q837="",0,IF(Q837=200,サマリー!$B$10,IF(Q837=100,サマリー!$B$11,0)))+IF(R837="",0,R837*サマリー!$B$12)</f>
        <v>0</v>
      </c>
      <c r="D837" s="26">
        <f>S837+T837+U837+V837+W837+IF(X837="",0,X837*サマリー!$B$9)+IF(Y837="",0,IF(Y837=200,サマリー!$B$10,IF(Y837=100,サマリー!$B$11,0)))+IF(Z837="",0,Z837*サマリー!$B$12)</f>
        <v>0</v>
      </c>
      <c r="E837" s="26">
        <f t="shared" si="34"/>
        <v>0</v>
      </c>
      <c r="I837" s="29"/>
      <c r="J837" s="29"/>
      <c r="K837" s="29"/>
      <c r="L837" s="29"/>
      <c r="M837" s="29"/>
      <c r="N837" s="29"/>
      <c r="O837" s="29"/>
      <c r="P837" s="30"/>
      <c r="Q837" s="30"/>
      <c r="R837" s="30"/>
      <c r="S837" s="31"/>
      <c r="T837" s="31"/>
      <c r="U837" s="31"/>
      <c r="V837" s="31"/>
      <c r="W837" s="31"/>
      <c r="X837" s="32"/>
      <c r="Y837" s="32"/>
      <c r="Z837" s="32"/>
    </row>
    <row r="838" spans="1:26">
      <c r="A838" s="28"/>
      <c r="B838" s="17">
        <f t="shared" si="35"/>
        <v>46319</v>
      </c>
      <c r="C838" s="26">
        <f>I838+J838+K838+L838+M838+N838+O838+IF(P838="",0,P838*サマリー!$B$9)+IF(Q838="",0,IF(Q838=200,サマリー!$B$10,IF(Q838=100,サマリー!$B$11,0)))+IF(R838="",0,R838*サマリー!$B$12)</f>
        <v>0</v>
      </c>
      <c r="D838" s="26">
        <f>S838+T838+U838+V838+W838+IF(X838="",0,X838*サマリー!$B$9)+IF(Y838="",0,IF(Y838=200,サマリー!$B$10,IF(Y838=100,サマリー!$B$11,0)))+IF(Z838="",0,Z838*サマリー!$B$12)</f>
        <v>0</v>
      </c>
      <c r="E838" s="26">
        <f t="shared" si="34"/>
        <v>0</v>
      </c>
      <c r="I838" s="29"/>
      <c r="J838" s="29"/>
      <c r="K838" s="29"/>
      <c r="L838" s="29"/>
      <c r="M838" s="29"/>
      <c r="N838" s="29"/>
      <c r="O838" s="29"/>
      <c r="P838" s="30"/>
      <c r="Q838" s="30"/>
      <c r="R838" s="30"/>
      <c r="S838" s="31"/>
      <c r="T838" s="31"/>
      <c r="U838" s="31"/>
      <c r="V838" s="31"/>
      <c r="W838" s="31"/>
      <c r="X838" s="32"/>
      <c r="Y838" s="32"/>
      <c r="Z838" s="32"/>
    </row>
    <row r="839" spans="1:26">
      <c r="A839" s="28"/>
      <c r="B839" s="17">
        <f t="shared" si="35"/>
        <v>46319</v>
      </c>
      <c r="C839" s="26">
        <f>I839+J839+K839+L839+M839+N839+O839+IF(P839="",0,P839*サマリー!$B$9)+IF(Q839="",0,IF(Q839=200,サマリー!$B$10,IF(Q839=100,サマリー!$B$11,0)))+IF(R839="",0,R839*サマリー!$B$12)</f>
        <v>0</v>
      </c>
      <c r="D839" s="26">
        <f>S839+T839+U839+V839+W839+IF(X839="",0,X839*サマリー!$B$9)+IF(Y839="",0,IF(Y839=200,サマリー!$B$10,IF(Y839=100,サマリー!$B$11,0)))+IF(Z839="",0,Z839*サマリー!$B$12)</f>
        <v>0</v>
      </c>
      <c r="E839" s="26">
        <f t="shared" si="34"/>
        <v>0</v>
      </c>
      <c r="I839" s="29"/>
      <c r="J839" s="29"/>
      <c r="K839" s="29"/>
      <c r="L839" s="29"/>
      <c r="M839" s="29"/>
      <c r="N839" s="29"/>
      <c r="O839" s="29"/>
      <c r="P839" s="30"/>
      <c r="Q839" s="30"/>
      <c r="R839" s="30"/>
      <c r="S839" s="31"/>
      <c r="T839" s="31"/>
      <c r="U839" s="31"/>
      <c r="V839" s="31"/>
      <c r="W839" s="31"/>
      <c r="X839" s="32"/>
      <c r="Y839" s="32"/>
      <c r="Z839" s="32"/>
    </row>
    <row r="840" spans="1:26">
      <c r="A840" s="28"/>
      <c r="B840" s="17">
        <f t="shared" si="35"/>
        <v>46319</v>
      </c>
      <c r="C840" s="26">
        <f>I840+J840+K840+L840+M840+N840+O840+IF(P840="",0,P840*サマリー!$B$9)+IF(Q840="",0,IF(Q840=200,サマリー!$B$10,IF(Q840=100,サマリー!$B$11,0)))+IF(R840="",0,R840*サマリー!$B$12)</f>
        <v>0</v>
      </c>
      <c r="D840" s="26">
        <f>S840+T840+U840+V840+W840+IF(X840="",0,X840*サマリー!$B$9)+IF(Y840="",0,IF(Y840=200,サマリー!$B$10,IF(Y840=100,サマリー!$B$11,0)))+IF(Z840="",0,Z840*サマリー!$B$12)</f>
        <v>0</v>
      </c>
      <c r="E840" s="26">
        <f t="shared" si="34"/>
        <v>0</v>
      </c>
      <c r="I840" s="29"/>
      <c r="J840" s="29"/>
      <c r="K840" s="29"/>
      <c r="L840" s="29"/>
      <c r="M840" s="29"/>
      <c r="N840" s="29"/>
      <c r="O840" s="29"/>
      <c r="P840" s="30"/>
      <c r="Q840" s="30"/>
      <c r="R840" s="30"/>
      <c r="S840" s="31"/>
      <c r="T840" s="31"/>
      <c r="U840" s="31"/>
      <c r="V840" s="31"/>
      <c r="W840" s="31"/>
      <c r="X840" s="32"/>
      <c r="Y840" s="32"/>
      <c r="Z840" s="32"/>
    </row>
    <row r="841" spans="1:26">
      <c r="A841" s="28"/>
      <c r="B841" s="17">
        <f t="shared" si="35"/>
        <v>46319</v>
      </c>
      <c r="C841" s="26">
        <f>I841+J841+K841+L841+M841+N841+O841+IF(P841="",0,P841*サマリー!$B$9)+IF(Q841="",0,IF(Q841=200,サマリー!$B$10,IF(Q841=100,サマリー!$B$11,0)))+IF(R841="",0,R841*サマリー!$B$12)</f>
        <v>0</v>
      </c>
      <c r="D841" s="26">
        <f>S841+T841+U841+V841+W841+IF(X841="",0,X841*サマリー!$B$9)+IF(Y841="",0,IF(Y841=200,サマリー!$B$10,IF(Y841=100,サマリー!$B$11,0)))+IF(Z841="",0,Z841*サマリー!$B$12)</f>
        <v>0</v>
      </c>
      <c r="E841" s="26">
        <f t="shared" si="34"/>
        <v>0</v>
      </c>
      <c r="I841" s="29"/>
      <c r="J841" s="29"/>
      <c r="K841" s="29"/>
      <c r="L841" s="29"/>
      <c r="M841" s="29"/>
      <c r="N841" s="29"/>
      <c r="O841" s="29"/>
      <c r="P841" s="30"/>
      <c r="Q841" s="30"/>
      <c r="R841" s="30"/>
      <c r="S841" s="31"/>
      <c r="T841" s="31"/>
      <c r="U841" s="31"/>
      <c r="V841" s="31"/>
      <c r="W841" s="31"/>
      <c r="X841" s="32"/>
      <c r="Y841" s="32"/>
      <c r="Z841" s="32"/>
    </row>
    <row r="842" spans="1:26">
      <c r="A842" s="28"/>
      <c r="B842" s="17">
        <f t="shared" si="35"/>
        <v>46319</v>
      </c>
      <c r="C842" s="26">
        <f>I842+J842+K842+L842+M842+N842+O842+IF(P842="",0,P842*サマリー!$B$9)+IF(Q842="",0,IF(Q842=200,サマリー!$B$10,IF(Q842=100,サマリー!$B$11,0)))+IF(R842="",0,R842*サマリー!$B$12)</f>
        <v>0</v>
      </c>
      <c r="D842" s="26">
        <f>S842+T842+U842+V842+W842+IF(X842="",0,X842*サマリー!$B$9)+IF(Y842="",0,IF(Y842=200,サマリー!$B$10,IF(Y842=100,サマリー!$B$11,0)))+IF(Z842="",0,Z842*サマリー!$B$12)</f>
        <v>0</v>
      </c>
      <c r="E842" s="26">
        <f t="shared" si="34"/>
        <v>0</v>
      </c>
      <c r="I842" s="29"/>
      <c r="J842" s="29"/>
      <c r="K842" s="29"/>
      <c r="L842" s="29"/>
      <c r="M842" s="29"/>
      <c r="N842" s="29"/>
      <c r="O842" s="29"/>
      <c r="P842" s="30"/>
      <c r="Q842" s="30"/>
      <c r="R842" s="30"/>
      <c r="S842" s="31"/>
      <c r="T842" s="31"/>
      <c r="U842" s="31"/>
      <c r="V842" s="31"/>
      <c r="W842" s="31"/>
      <c r="X842" s="32"/>
      <c r="Y842" s="32"/>
      <c r="Z842" s="32"/>
    </row>
    <row r="843" spans="1:26">
      <c r="A843" s="28"/>
      <c r="B843" s="17">
        <f t="shared" si="35"/>
        <v>46319</v>
      </c>
      <c r="C843" s="26">
        <f>I843+J843+K843+L843+M843+N843+O843+IF(P843="",0,P843*サマリー!$B$9)+IF(Q843="",0,IF(Q843=200,サマリー!$B$10,IF(Q843=100,サマリー!$B$11,0)))+IF(R843="",0,R843*サマリー!$B$12)</f>
        <v>0</v>
      </c>
      <c r="D843" s="26">
        <f>S843+T843+U843+V843+W843+IF(X843="",0,X843*サマリー!$B$9)+IF(Y843="",0,IF(Y843=200,サマリー!$B$10,IF(Y843=100,サマリー!$B$11,0)))+IF(Z843="",0,Z843*サマリー!$B$12)</f>
        <v>0</v>
      </c>
      <c r="E843" s="26">
        <f t="shared" si="34"/>
        <v>0</v>
      </c>
      <c r="I843" s="29"/>
      <c r="J843" s="29"/>
      <c r="K843" s="29"/>
      <c r="L843" s="29"/>
      <c r="M843" s="29"/>
      <c r="N843" s="29"/>
      <c r="O843" s="29"/>
      <c r="P843" s="30"/>
      <c r="Q843" s="30"/>
      <c r="R843" s="30"/>
      <c r="S843" s="31"/>
      <c r="T843" s="31"/>
      <c r="U843" s="31"/>
      <c r="V843" s="31"/>
      <c r="W843" s="31"/>
      <c r="X843" s="32"/>
      <c r="Y843" s="32"/>
      <c r="Z843" s="32"/>
    </row>
    <row r="844" spans="1:26">
      <c r="A844" s="28"/>
      <c r="B844" s="17">
        <f t="shared" si="35"/>
        <v>46319</v>
      </c>
      <c r="C844" s="26">
        <f>I844+J844+K844+L844+M844+N844+O844+IF(P844="",0,P844*サマリー!$B$9)+IF(Q844="",0,IF(Q844=200,サマリー!$B$10,IF(Q844=100,サマリー!$B$11,0)))+IF(R844="",0,R844*サマリー!$B$12)</f>
        <v>0</v>
      </c>
      <c r="D844" s="26">
        <f>S844+T844+U844+V844+W844+IF(X844="",0,X844*サマリー!$B$9)+IF(Y844="",0,IF(Y844=200,サマリー!$B$10,IF(Y844=100,サマリー!$B$11,0)))+IF(Z844="",0,Z844*サマリー!$B$12)</f>
        <v>0</v>
      </c>
      <c r="E844" s="26">
        <f t="shared" si="34"/>
        <v>0</v>
      </c>
      <c r="I844" s="29"/>
      <c r="J844" s="29"/>
      <c r="K844" s="29"/>
      <c r="L844" s="29"/>
      <c r="M844" s="29"/>
      <c r="N844" s="29"/>
      <c r="O844" s="29"/>
      <c r="P844" s="30"/>
      <c r="Q844" s="30"/>
      <c r="R844" s="30"/>
      <c r="S844" s="31"/>
      <c r="T844" s="31"/>
      <c r="U844" s="31"/>
      <c r="V844" s="31"/>
      <c r="W844" s="31"/>
      <c r="X844" s="32"/>
      <c r="Y844" s="32"/>
      <c r="Z844" s="32"/>
    </row>
    <row r="845" spans="1:26">
      <c r="A845" s="28"/>
      <c r="B845" s="17">
        <f t="shared" si="35"/>
        <v>46319</v>
      </c>
      <c r="C845" s="26">
        <f>I845+J845+K845+L845+M845+N845+O845+IF(P845="",0,P845*サマリー!$B$9)+IF(Q845="",0,IF(Q845=200,サマリー!$B$10,IF(Q845=100,サマリー!$B$11,0)))+IF(R845="",0,R845*サマリー!$B$12)</f>
        <v>0</v>
      </c>
      <c r="D845" s="26">
        <f>S845+T845+U845+V845+W845+IF(X845="",0,X845*サマリー!$B$9)+IF(Y845="",0,IF(Y845=200,サマリー!$B$10,IF(Y845=100,サマリー!$B$11,0)))+IF(Z845="",0,Z845*サマリー!$B$12)</f>
        <v>0</v>
      </c>
      <c r="E845" s="26">
        <f t="shared" si="34"/>
        <v>0</v>
      </c>
      <c r="I845" s="29"/>
      <c r="J845" s="29"/>
      <c r="K845" s="29"/>
      <c r="L845" s="29"/>
      <c r="M845" s="29"/>
      <c r="N845" s="29"/>
      <c r="O845" s="29"/>
      <c r="P845" s="30"/>
      <c r="Q845" s="30"/>
      <c r="R845" s="30"/>
      <c r="S845" s="31"/>
      <c r="T845" s="31"/>
      <c r="U845" s="31"/>
      <c r="V845" s="31"/>
      <c r="W845" s="31"/>
      <c r="X845" s="32"/>
      <c r="Y845" s="32"/>
      <c r="Z845" s="32"/>
    </row>
    <row r="846" spans="1:26">
      <c r="A846" s="28"/>
      <c r="B846" s="17">
        <f t="shared" si="35"/>
        <v>46319</v>
      </c>
      <c r="C846" s="26">
        <f>I846+J846+K846+L846+M846+N846+O846+IF(P846="",0,P846*サマリー!$B$9)+IF(Q846="",0,IF(Q846=200,サマリー!$B$10,IF(Q846=100,サマリー!$B$11,0)))+IF(R846="",0,R846*サマリー!$B$12)</f>
        <v>0</v>
      </c>
      <c r="D846" s="26">
        <f>S846+T846+U846+V846+W846+IF(X846="",0,X846*サマリー!$B$9)+IF(Y846="",0,IF(Y846=200,サマリー!$B$10,IF(Y846=100,サマリー!$B$11,0)))+IF(Z846="",0,Z846*サマリー!$B$12)</f>
        <v>0</v>
      </c>
      <c r="E846" s="26">
        <f t="shared" si="34"/>
        <v>0</v>
      </c>
      <c r="I846" s="29"/>
      <c r="J846" s="29"/>
      <c r="K846" s="29"/>
      <c r="L846" s="29"/>
      <c r="M846" s="29"/>
      <c r="N846" s="29"/>
      <c r="O846" s="29"/>
      <c r="P846" s="30"/>
      <c r="Q846" s="30"/>
      <c r="R846" s="30"/>
      <c r="S846" s="31"/>
      <c r="T846" s="31"/>
      <c r="U846" s="31"/>
      <c r="V846" s="31"/>
      <c r="W846" s="31"/>
      <c r="X846" s="32"/>
      <c r="Y846" s="32"/>
      <c r="Z846" s="32"/>
    </row>
    <row r="847" spans="1:26">
      <c r="A847" s="28"/>
      <c r="B847" s="17">
        <f t="shared" si="35"/>
        <v>46319</v>
      </c>
      <c r="C847" s="26">
        <f>I847+J847+K847+L847+M847+N847+O847+IF(P847="",0,P847*サマリー!$B$9)+IF(Q847="",0,IF(Q847=200,サマリー!$B$10,IF(Q847=100,サマリー!$B$11,0)))+IF(R847="",0,R847*サマリー!$B$12)</f>
        <v>0</v>
      </c>
      <c r="D847" s="26">
        <f>S847+T847+U847+V847+W847+IF(X847="",0,X847*サマリー!$B$9)+IF(Y847="",0,IF(Y847=200,サマリー!$B$10,IF(Y847=100,サマリー!$B$11,0)))+IF(Z847="",0,Z847*サマリー!$B$12)</f>
        <v>0</v>
      </c>
      <c r="E847" s="26">
        <f t="shared" si="34"/>
        <v>0</v>
      </c>
      <c r="I847" s="29"/>
      <c r="J847" s="29"/>
      <c r="K847" s="29"/>
      <c r="L847" s="29"/>
      <c r="M847" s="29"/>
      <c r="N847" s="29"/>
      <c r="O847" s="29"/>
      <c r="P847" s="30"/>
      <c r="Q847" s="30"/>
      <c r="R847" s="30"/>
      <c r="S847" s="31"/>
      <c r="T847" s="31"/>
      <c r="U847" s="31"/>
      <c r="V847" s="31"/>
      <c r="W847" s="31"/>
      <c r="X847" s="32"/>
      <c r="Y847" s="32"/>
      <c r="Z847" s="32"/>
    </row>
    <row r="848" spans="1:26">
      <c r="A848" s="28"/>
      <c r="B848" s="17">
        <f t="shared" si="35"/>
        <v>46319</v>
      </c>
      <c r="C848" s="26">
        <f>I848+J848+K848+L848+M848+N848+O848+IF(P848="",0,P848*サマリー!$B$9)+IF(Q848="",0,IF(Q848=200,サマリー!$B$10,IF(Q848=100,サマリー!$B$11,0)))+IF(R848="",0,R848*サマリー!$B$12)</f>
        <v>0</v>
      </c>
      <c r="D848" s="26">
        <f>S848+T848+U848+V848+W848+IF(X848="",0,X848*サマリー!$B$9)+IF(Y848="",0,IF(Y848=200,サマリー!$B$10,IF(Y848=100,サマリー!$B$11,0)))+IF(Z848="",0,Z848*サマリー!$B$12)</f>
        <v>0</v>
      </c>
      <c r="E848" s="26">
        <f t="shared" si="34"/>
        <v>0</v>
      </c>
      <c r="I848" s="29"/>
      <c r="J848" s="29"/>
      <c r="K848" s="29"/>
      <c r="L848" s="29"/>
      <c r="M848" s="29"/>
      <c r="N848" s="29"/>
      <c r="O848" s="29"/>
      <c r="P848" s="30"/>
      <c r="Q848" s="30"/>
      <c r="R848" s="30"/>
      <c r="S848" s="31"/>
      <c r="T848" s="31"/>
      <c r="U848" s="31"/>
      <c r="V848" s="31"/>
      <c r="W848" s="31"/>
      <c r="X848" s="32"/>
      <c r="Y848" s="32"/>
      <c r="Z848" s="32"/>
    </row>
    <row r="849" spans="1:26">
      <c r="A849" s="28"/>
      <c r="B849" s="17">
        <f t="shared" si="35"/>
        <v>46319</v>
      </c>
      <c r="C849" s="26">
        <f>I849+J849+K849+L849+M849+N849+O849+IF(P849="",0,P849*サマリー!$B$9)+IF(Q849="",0,IF(Q849=200,サマリー!$B$10,IF(Q849=100,サマリー!$B$11,0)))+IF(R849="",0,R849*サマリー!$B$12)</f>
        <v>0</v>
      </c>
      <c r="D849" s="26">
        <f>S849+T849+U849+V849+W849+IF(X849="",0,X849*サマリー!$B$9)+IF(Y849="",0,IF(Y849=200,サマリー!$B$10,IF(Y849=100,サマリー!$B$11,0)))+IF(Z849="",0,Z849*サマリー!$B$12)</f>
        <v>0</v>
      </c>
      <c r="E849" s="26">
        <f t="shared" si="34"/>
        <v>0</v>
      </c>
      <c r="I849" s="29"/>
      <c r="J849" s="29"/>
      <c r="K849" s="29"/>
      <c r="L849" s="29"/>
      <c r="M849" s="29"/>
      <c r="N849" s="29"/>
      <c r="O849" s="29"/>
      <c r="P849" s="30"/>
      <c r="Q849" s="30"/>
      <c r="R849" s="30"/>
      <c r="S849" s="31"/>
      <c r="T849" s="31"/>
      <c r="U849" s="31"/>
      <c r="V849" s="31"/>
      <c r="W849" s="31"/>
      <c r="X849" s="32"/>
      <c r="Y849" s="32"/>
      <c r="Z849" s="32"/>
    </row>
    <row r="850" spans="1:26">
      <c r="A850" s="28"/>
      <c r="B850" s="17">
        <f t="shared" si="35"/>
        <v>46319</v>
      </c>
      <c r="C850" s="26">
        <f>I850+J850+K850+L850+M850+N850+O850+IF(P850="",0,P850*サマリー!$B$9)+IF(Q850="",0,IF(Q850=200,サマリー!$B$10,IF(Q850=100,サマリー!$B$11,0)))+IF(R850="",0,R850*サマリー!$B$12)</f>
        <v>0</v>
      </c>
      <c r="D850" s="26">
        <f>S850+T850+U850+V850+W850+IF(X850="",0,X850*サマリー!$B$9)+IF(Y850="",0,IF(Y850=200,サマリー!$B$10,IF(Y850=100,サマリー!$B$11,0)))+IF(Z850="",0,Z850*サマリー!$B$12)</f>
        <v>0</v>
      </c>
      <c r="E850" s="26">
        <f t="shared" si="34"/>
        <v>0</v>
      </c>
      <c r="I850" s="29"/>
      <c r="J850" s="29"/>
      <c r="K850" s="29"/>
      <c r="L850" s="29"/>
      <c r="M850" s="29"/>
      <c r="N850" s="29"/>
      <c r="O850" s="29"/>
      <c r="P850" s="30"/>
      <c r="Q850" s="30"/>
      <c r="R850" s="30"/>
      <c r="S850" s="31"/>
      <c r="T850" s="31"/>
      <c r="U850" s="31"/>
      <c r="V850" s="31"/>
      <c r="W850" s="31"/>
      <c r="X850" s="32"/>
      <c r="Y850" s="32"/>
      <c r="Z850" s="32"/>
    </row>
    <row r="851" spans="1:26">
      <c r="A851" s="28"/>
      <c r="B851" s="17">
        <f t="shared" si="35"/>
        <v>46319</v>
      </c>
      <c r="C851" s="26">
        <f>I851+J851+K851+L851+M851+N851+O851+IF(P851="",0,P851*サマリー!$B$9)+IF(Q851="",0,IF(Q851=200,サマリー!$B$10,IF(Q851=100,サマリー!$B$11,0)))+IF(R851="",0,R851*サマリー!$B$12)</f>
        <v>0</v>
      </c>
      <c r="D851" s="26">
        <f>S851+T851+U851+V851+W851+IF(X851="",0,X851*サマリー!$B$9)+IF(Y851="",0,IF(Y851=200,サマリー!$B$10,IF(Y851=100,サマリー!$B$11,0)))+IF(Z851="",0,Z851*サマリー!$B$12)</f>
        <v>0</v>
      </c>
      <c r="E851" s="26">
        <f t="shared" si="34"/>
        <v>0</v>
      </c>
      <c r="I851" s="29"/>
      <c r="J851" s="29"/>
      <c r="K851" s="29"/>
      <c r="L851" s="29"/>
      <c r="M851" s="29"/>
      <c r="N851" s="29"/>
      <c r="O851" s="29"/>
      <c r="P851" s="30"/>
      <c r="Q851" s="30"/>
      <c r="R851" s="30"/>
      <c r="S851" s="31"/>
      <c r="T851" s="31"/>
      <c r="U851" s="31"/>
      <c r="V851" s="31"/>
      <c r="W851" s="31"/>
      <c r="X851" s="32"/>
      <c r="Y851" s="32"/>
      <c r="Z851" s="32"/>
    </row>
    <row r="852" spans="1:26">
      <c r="A852" s="28"/>
      <c r="B852" s="17">
        <f t="shared" si="35"/>
        <v>46319</v>
      </c>
      <c r="C852" s="26">
        <f>I852+J852+K852+L852+M852+N852+O852+IF(P852="",0,P852*サマリー!$B$9)+IF(Q852="",0,IF(Q852=200,サマリー!$B$10,IF(Q852=100,サマリー!$B$11,0)))+IF(R852="",0,R852*サマリー!$B$12)</f>
        <v>0</v>
      </c>
      <c r="D852" s="26">
        <f>S852+T852+U852+V852+W852+IF(X852="",0,X852*サマリー!$B$9)+IF(Y852="",0,IF(Y852=200,サマリー!$B$10,IF(Y852=100,サマリー!$B$11,0)))+IF(Z852="",0,Z852*サマリー!$B$12)</f>
        <v>0</v>
      </c>
      <c r="E852" s="26">
        <f t="shared" si="34"/>
        <v>0</v>
      </c>
      <c r="I852" s="29"/>
      <c r="J852" s="29"/>
      <c r="K852" s="29"/>
      <c r="L852" s="29"/>
      <c r="M852" s="29"/>
      <c r="N852" s="29"/>
      <c r="O852" s="29"/>
      <c r="P852" s="30"/>
      <c r="Q852" s="30"/>
      <c r="R852" s="30"/>
      <c r="S852" s="31"/>
      <c r="T852" s="31"/>
      <c r="U852" s="31"/>
      <c r="V852" s="31"/>
      <c r="W852" s="31"/>
      <c r="X852" s="32"/>
      <c r="Y852" s="32"/>
      <c r="Z852" s="32"/>
    </row>
    <row r="853" spans="1:26">
      <c r="A853" s="28"/>
      <c r="B853" s="17">
        <f t="shared" si="35"/>
        <v>46319</v>
      </c>
      <c r="C853" s="26">
        <f>I853+J853+K853+L853+M853+N853+O853+IF(P853="",0,P853*サマリー!$B$9)+IF(Q853="",0,IF(Q853=200,サマリー!$B$10,IF(Q853=100,サマリー!$B$11,0)))+IF(R853="",0,R853*サマリー!$B$12)</f>
        <v>0</v>
      </c>
      <c r="D853" s="26">
        <f>S853+T853+U853+V853+W853+IF(X853="",0,X853*サマリー!$B$9)+IF(Y853="",0,IF(Y853=200,サマリー!$B$10,IF(Y853=100,サマリー!$B$11,0)))+IF(Z853="",0,Z853*サマリー!$B$12)</f>
        <v>0</v>
      </c>
      <c r="E853" s="26">
        <f t="shared" si="34"/>
        <v>0</v>
      </c>
      <c r="I853" s="29"/>
      <c r="J853" s="29"/>
      <c r="K853" s="29"/>
      <c r="L853" s="29"/>
      <c r="M853" s="29"/>
      <c r="N853" s="29"/>
      <c r="O853" s="29"/>
      <c r="P853" s="30"/>
      <c r="Q853" s="30"/>
      <c r="R853" s="30"/>
      <c r="S853" s="31"/>
      <c r="T853" s="31"/>
      <c r="U853" s="31"/>
      <c r="V853" s="31"/>
      <c r="W853" s="31"/>
      <c r="X853" s="32"/>
      <c r="Y853" s="32"/>
      <c r="Z853" s="32"/>
    </row>
    <row r="854" spans="1:26">
      <c r="A854" s="28"/>
      <c r="B854" s="17">
        <f t="shared" si="35"/>
        <v>46319</v>
      </c>
      <c r="C854" s="26">
        <f>I854+J854+K854+L854+M854+N854+O854+IF(P854="",0,P854*サマリー!$B$9)+IF(Q854="",0,IF(Q854=200,サマリー!$B$10,IF(Q854=100,サマリー!$B$11,0)))+IF(R854="",0,R854*サマリー!$B$12)</f>
        <v>0</v>
      </c>
      <c r="D854" s="26">
        <f>S854+T854+U854+V854+W854+IF(X854="",0,X854*サマリー!$B$9)+IF(Y854="",0,IF(Y854=200,サマリー!$B$10,IF(Y854=100,サマリー!$B$11,0)))+IF(Z854="",0,Z854*サマリー!$B$12)</f>
        <v>0</v>
      </c>
      <c r="E854" s="26">
        <f t="shared" si="34"/>
        <v>0</v>
      </c>
      <c r="I854" s="29"/>
      <c r="J854" s="29"/>
      <c r="K854" s="29"/>
      <c r="L854" s="29"/>
      <c r="M854" s="29"/>
      <c r="N854" s="29"/>
      <c r="O854" s="29"/>
      <c r="P854" s="30"/>
      <c r="Q854" s="30"/>
      <c r="R854" s="30"/>
      <c r="S854" s="31"/>
      <c r="T854" s="31"/>
      <c r="U854" s="31"/>
      <c r="V854" s="31"/>
      <c r="W854" s="31"/>
      <c r="X854" s="32"/>
      <c r="Y854" s="32"/>
      <c r="Z854" s="32"/>
    </row>
    <row r="855" spans="1:26">
      <c r="A855" s="28"/>
      <c r="B855" s="17">
        <f t="shared" si="35"/>
        <v>46319</v>
      </c>
      <c r="C855" s="26">
        <f>I855+J855+K855+L855+M855+N855+O855+IF(P855="",0,P855*サマリー!$B$9)+IF(Q855="",0,IF(Q855=200,サマリー!$B$10,IF(Q855=100,サマリー!$B$11,0)))+IF(R855="",0,R855*サマリー!$B$12)</f>
        <v>0</v>
      </c>
      <c r="D855" s="26">
        <f>S855+T855+U855+V855+W855+IF(X855="",0,X855*サマリー!$B$9)+IF(Y855="",0,IF(Y855=200,サマリー!$B$10,IF(Y855=100,サマリー!$B$11,0)))+IF(Z855="",0,Z855*サマリー!$B$12)</f>
        <v>0</v>
      </c>
      <c r="E855" s="26">
        <f t="shared" si="34"/>
        <v>0</v>
      </c>
      <c r="I855" s="29"/>
      <c r="J855" s="29"/>
      <c r="K855" s="29"/>
      <c r="L855" s="29"/>
      <c r="M855" s="29"/>
      <c r="N855" s="29"/>
      <c r="O855" s="29"/>
      <c r="P855" s="30"/>
      <c r="Q855" s="30"/>
      <c r="R855" s="30"/>
      <c r="S855" s="31"/>
      <c r="T855" s="31"/>
      <c r="U855" s="31"/>
      <c r="V855" s="31"/>
      <c r="W855" s="31"/>
      <c r="X855" s="32"/>
      <c r="Y855" s="32"/>
      <c r="Z855" s="32"/>
    </row>
    <row r="856" spans="1:26">
      <c r="A856" s="28"/>
      <c r="B856" s="17">
        <f t="shared" si="35"/>
        <v>46319</v>
      </c>
      <c r="C856" s="26">
        <f>I856+J856+K856+L856+M856+N856+O856+IF(P856="",0,P856*サマリー!$B$9)+IF(Q856="",0,IF(Q856=200,サマリー!$B$10,IF(Q856=100,サマリー!$B$11,0)))+IF(R856="",0,R856*サマリー!$B$12)</f>
        <v>0</v>
      </c>
      <c r="D856" s="26">
        <f>S856+T856+U856+V856+W856+IF(X856="",0,X856*サマリー!$B$9)+IF(Y856="",0,IF(Y856=200,サマリー!$B$10,IF(Y856=100,サマリー!$B$11,0)))+IF(Z856="",0,Z856*サマリー!$B$12)</f>
        <v>0</v>
      </c>
      <c r="E856" s="26">
        <f t="shared" si="34"/>
        <v>0</v>
      </c>
      <c r="I856" s="29"/>
      <c r="J856" s="29"/>
      <c r="K856" s="29"/>
      <c r="L856" s="29"/>
      <c r="M856" s="29"/>
      <c r="N856" s="29"/>
      <c r="O856" s="29"/>
      <c r="P856" s="30"/>
      <c r="Q856" s="30"/>
      <c r="R856" s="30"/>
      <c r="S856" s="31"/>
      <c r="T856" s="31"/>
      <c r="U856" s="31"/>
      <c r="V856" s="31"/>
      <c r="W856" s="31"/>
      <c r="X856" s="32"/>
      <c r="Y856" s="32"/>
      <c r="Z856" s="32"/>
    </row>
    <row r="857" spans="1:26">
      <c r="A857" s="28"/>
      <c r="B857" s="17">
        <f t="shared" si="35"/>
        <v>46319</v>
      </c>
      <c r="C857" s="26">
        <f>I857+J857+K857+L857+M857+N857+O857+IF(P857="",0,P857*サマリー!$B$9)+IF(Q857="",0,IF(Q857=200,サマリー!$B$10,IF(Q857=100,サマリー!$B$11,0)))+IF(R857="",0,R857*サマリー!$B$12)</f>
        <v>0</v>
      </c>
      <c r="D857" s="26">
        <f>S857+T857+U857+V857+W857+IF(X857="",0,X857*サマリー!$B$9)+IF(Y857="",0,IF(Y857=200,サマリー!$B$10,IF(Y857=100,サマリー!$B$11,0)))+IF(Z857="",0,Z857*サマリー!$B$12)</f>
        <v>0</v>
      </c>
      <c r="E857" s="26">
        <f t="shared" si="34"/>
        <v>0</v>
      </c>
      <c r="I857" s="29"/>
      <c r="J857" s="29"/>
      <c r="K857" s="29"/>
      <c r="L857" s="29"/>
      <c r="M857" s="29"/>
      <c r="N857" s="29"/>
      <c r="O857" s="29"/>
      <c r="P857" s="30"/>
      <c r="Q857" s="30"/>
      <c r="R857" s="30"/>
      <c r="S857" s="31"/>
      <c r="T857" s="31"/>
      <c r="U857" s="31"/>
      <c r="V857" s="31"/>
      <c r="W857" s="31"/>
      <c r="X857" s="32"/>
      <c r="Y857" s="32"/>
      <c r="Z857" s="32"/>
    </row>
    <row r="858" spans="1:26">
      <c r="A858" s="28"/>
      <c r="B858" s="17">
        <f t="shared" si="35"/>
        <v>46319</v>
      </c>
      <c r="C858" s="26">
        <f>I858+J858+K858+L858+M858+N858+O858+IF(P858="",0,P858*サマリー!$B$9)+IF(Q858="",0,IF(Q858=200,サマリー!$B$10,IF(Q858=100,サマリー!$B$11,0)))+IF(R858="",0,R858*サマリー!$B$12)</f>
        <v>0</v>
      </c>
      <c r="D858" s="26">
        <f>S858+T858+U858+V858+W858+IF(X858="",0,X858*サマリー!$B$9)+IF(Y858="",0,IF(Y858=200,サマリー!$B$10,IF(Y858=100,サマリー!$B$11,0)))+IF(Z858="",0,Z858*サマリー!$B$12)</f>
        <v>0</v>
      </c>
      <c r="E858" s="26">
        <f t="shared" si="34"/>
        <v>0</v>
      </c>
      <c r="I858" s="29"/>
      <c r="J858" s="29"/>
      <c r="K858" s="29"/>
      <c r="L858" s="29"/>
      <c r="M858" s="29"/>
      <c r="N858" s="29"/>
      <c r="O858" s="29"/>
      <c r="P858" s="30"/>
      <c r="Q858" s="30"/>
      <c r="R858" s="30"/>
      <c r="S858" s="31"/>
      <c r="T858" s="31"/>
      <c r="U858" s="31"/>
      <c r="V858" s="31"/>
      <c r="W858" s="31"/>
      <c r="X858" s="32"/>
      <c r="Y858" s="32"/>
      <c r="Z858" s="32"/>
    </row>
    <row r="859" spans="1:26">
      <c r="A859" s="28"/>
      <c r="B859" s="17">
        <f t="shared" si="35"/>
        <v>46319</v>
      </c>
      <c r="C859" s="26">
        <f>I859+J859+K859+L859+M859+N859+O859+IF(P859="",0,P859*サマリー!$B$9)+IF(Q859="",0,IF(Q859=200,サマリー!$B$10,IF(Q859=100,サマリー!$B$11,0)))+IF(R859="",0,R859*サマリー!$B$12)</f>
        <v>0</v>
      </c>
      <c r="D859" s="26">
        <f>S859+T859+U859+V859+W859+IF(X859="",0,X859*サマリー!$B$9)+IF(Y859="",0,IF(Y859=200,サマリー!$B$10,IF(Y859=100,サマリー!$B$11,0)))+IF(Z859="",0,Z859*サマリー!$B$12)</f>
        <v>0</v>
      </c>
      <c r="E859" s="26">
        <f t="shared" si="34"/>
        <v>0</v>
      </c>
      <c r="I859" s="29"/>
      <c r="J859" s="29"/>
      <c r="K859" s="29"/>
      <c r="L859" s="29"/>
      <c r="M859" s="29"/>
      <c r="N859" s="29"/>
      <c r="O859" s="29"/>
      <c r="P859" s="30"/>
      <c r="Q859" s="30"/>
      <c r="R859" s="30"/>
      <c r="S859" s="31"/>
      <c r="T859" s="31"/>
      <c r="U859" s="31"/>
      <c r="V859" s="31"/>
      <c r="W859" s="31"/>
      <c r="X859" s="32"/>
      <c r="Y859" s="32"/>
      <c r="Z859" s="32"/>
    </row>
    <row r="860" spans="1:26">
      <c r="A860" s="28"/>
      <c r="B860" s="17">
        <f t="shared" si="35"/>
        <v>46319</v>
      </c>
      <c r="C860" s="26">
        <f>I860+J860+K860+L860+M860+N860+O860+IF(P860="",0,P860*サマリー!$B$9)+IF(Q860="",0,IF(Q860=200,サマリー!$B$10,IF(Q860=100,サマリー!$B$11,0)))+IF(R860="",0,R860*サマリー!$B$12)</f>
        <v>0</v>
      </c>
      <c r="D860" s="26">
        <f>S860+T860+U860+V860+W860+IF(X860="",0,X860*サマリー!$B$9)+IF(Y860="",0,IF(Y860=200,サマリー!$B$10,IF(Y860=100,サマリー!$B$11,0)))+IF(Z860="",0,Z860*サマリー!$B$12)</f>
        <v>0</v>
      </c>
      <c r="E860" s="26">
        <f t="shared" si="34"/>
        <v>0</v>
      </c>
      <c r="I860" s="29"/>
      <c r="J860" s="29"/>
      <c r="K860" s="29"/>
      <c r="L860" s="29"/>
      <c r="M860" s="29"/>
      <c r="N860" s="29"/>
      <c r="O860" s="29"/>
      <c r="P860" s="30"/>
      <c r="Q860" s="30"/>
      <c r="R860" s="30"/>
      <c r="S860" s="31"/>
      <c r="T860" s="31"/>
      <c r="U860" s="31"/>
      <c r="V860" s="31"/>
      <c r="W860" s="31"/>
      <c r="X860" s="32"/>
      <c r="Y860" s="32"/>
      <c r="Z860" s="32"/>
    </row>
    <row r="861" spans="1:26">
      <c r="A861" s="28"/>
      <c r="B861" s="17">
        <f t="shared" si="35"/>
        <v>46319</v>
      </c>
      <c r="C861" s="26">
        <f>I861+J861+K861+L861+M861+N861+O861+IF(P861="",0,P861*サマリー!$B$9)+IF(Q861="",0,IF(Q861=200,サマリー!$B$10,IF(Q861=100,サマリー!$B$11,0)))+IF(R861="",0,R861*サマリー!$B$12)</f>
        <v>0</v>
      </c>
      <c r="D861" s="26">
        <f>S861+T861+U861+V861+W861+IF(X861="",0,X861*サマリー!$B$9)+IF(Y861="",0,IF(Y861=200,サマリー!$B$10,IF(Y861=100,サマリー!$B$11,0)))+IF(Z861="",0,Z861*サマリー!$B$12)</f>
        <v>0</v>
      </c>
      <c r="E861" s="26">
        <f t="shared" si="34"/>
        <v>0</v>
      </c>
      <c r="I861" s="29"/>
      <c r="J861" s="29"/>
      <c r="K861" s="29"/>
      <c r="L861" s="29"/>
      <c r="M861" s="29"/>
      <c r="N861" s="29"/>
      <c r="O861" s="29"/>
      <c r="P861" s="30"/>
      <c r="Q861" s="30"/>
      <c r="R861" s="30"/>
      <c r="S861" s="31"/>
      <c r="T861" s="31"/>
      <c r="U861" s="31"/>
      <c r="V861" s="31"/>
      <c r="W861" s="31"/>
      <c r="X861" s="32"/>
      <c r="Y861" s="32"/>
      <c r="Z861" s="32"/>
    </row>
    <row r="862" spans="1:26">
      <c r="A862" s="28"/>
      <c r="B862" s="17">
        <f t="shared" si="35"/>
        <v>46319</v>
      </c>
      <c r="C862" s="26">
        <f>I862+J862+K862+L862+M862+N862+O862+IF(P862="",0,P862*サマリー!$B$9)+IF(Q862="",0,IF(Q862=200,サマリー!$B$10,IF(Q862=100,サマリー!$B$11,0)))+IF(R862="",0,R862*サマリー!$B$12)</f>
        <v>0</v>
      </c>
      <c r="D862" s="26">
        <f>S862+T862+U862+V862+W862+IF(X862="",0,X862*サマリー!$B$9)+IF(Y862="",0,IF(Y862=200,サマリー!$B$10,IF(Y862=100,サマリー!$B$11,0)))+IF(Z862="",0,Z862*サマリー!$B$12)</f>
        <v>0</v>
      </c>
      <c r="E862" s="26">
        <f t="shared" si="34"/>
        <v>0</v>
      </c>
      <c r="I862" s="29"/>
      <c r="J862" s="29"/>
      <c r="K862" s="29"/>
      <c r="L862" s="29"/>
      <c r="M862" s="29"/>
      <c r="N862" s="29"/>
      <c r="O862" s="29"/>
      <c r="P862" s="30"/>
      <c r="Q862" s="30"/>
      <c r="R862" s="30"/>
      <c r="S862" s="31"/>
      <c r="T862" s="31"/>
      <c r="U862" s="31"/>
      <c r="V862" s="31"/>
      <c r="W862" s="31"/>
      <c r="X862" s="32"/>
      <c r="Y862" s="32"/>
      <c r="Z862" s="32"/>
    </row>
    <row r="863" spans="1:26">
      <c r="A863" s="28"/>
      <c r="B863" s="17">
        <f t="shared" si="35"/>
        <v>46319</v>
      </c>
      <c r="C863" s="26">
        <f>I863+J863+K863+L863+M863+N863+O863+IF(P863="",0,P863*サマリー!$B$9)+IF(Q863="",0,IF(Q863=200,サマリー!$B$10,IF(Q863=100,サマリー!$B$11,0)))+IF(R863="",0,R863*サマリー!$B$12)</f>
        <v>0</v>
      </c>
      <c r="D863" s="26">
        <f>S863+T863+U863+V863+W863+IF(X863="",0,X863*サマリー!$B$9)+IF(Y863="",0,IF(Y863=200,サマリー!$B$10,IF(Y863=100,サマリー!$B$11,0)))+IF(Z863="",0,Z863*サマリー!$B$12)</f>
        <v>0</v>
      </c>
      <c r="E863" s="26">
        <f t="shared" si="34"/>
        <v>0</v>
      </c>
      <c r="I863" s="29"/>
      <c r="J863" s="29"/>
      <c r="K863" s="29"/>
      <c r="L863" s="29"/>
      <c r="M863" s="29"/>
      <c r="N863" s="29"/>
      <c r="O863" s="29"/>
      <c r="P863" s="30"/>
      <c r="Q863" s="30"/>
      <c r="R863" s="30"/>
      <c r="S863" s="31"/>
      <c r="T863" s="31"/>
      <c r="U863" s="31"/>
      <c r="V863" s="31"/>
      <c r="W863" s="31"/>
      <c r="X863" s="32"/>
      <c r="Y863" s="32"/>
      <c r="Z863" s="32"/>
    </row>
    <row r="864" spans="1:26">
      <c r="A864" s="28"/>
      <c r="B864" s="17">
        <f t="shared" si="35"/>
        <v>46319</v>
      </c>
      <c r="C864" s="26">
        <f>I864+J864+K864+L864+M864+N864+O864+IF(P864="",0,P864*サマリー!$B$9)+IF(Q864="",0,IF(Q864=200,サマリー!$B$10,IF(Q864=100,サマリー!$B$11,0)))+IF(R864="",0,R864*サマリー!$B$12)</f>
        <v>0</v>
      </c>
      <c r="D864" s="26">
        <f>S864+T864+U864+V864+W864+IF(X864="",0,X864*サマリー!$B$9)+IF(Y864="",0,IF(Y864=200,サマリー!$B$10,IF(Y864=100,サマリー!$B$11,0)))+IF(Z864="",0,Z864*サマリー!$B$12)</f>
        <v>0</v>
      </c>
      <c r="E864" s="26">
        <f t="shared" si="34"/>
        <v>0</v>
      </c>
      <c r="I864" s="29"/>
      <c r="J864" s="29"/>
      <c r="K864" s="29"/>
      <c r="L864" s="29"/>
      <c r="M864" s="29"/>
      <c r="N864" s="29"/>
      <c r="O864" s="29"/>
      <c r="P864" s="30"/>
      <c r="Q864" s="30"/>
      <c r="R864" s="30"/>
      <c r="S864" s="31"/>
      <c r="T864" s="31"/>
      <c r="U864" s="31"/>
      <c r="V864" s="31"/>
      <c r="W864" s="31"/>
      <c r="X864" s="32"/>
      <c r="Y864" s="32"/>
      <c r="Z864" s="32"/>
    </row>
    <row r="865" spans="1:26">
      <c r="A865" s="28"/>
      <c r="B865" s="17">
        <f t="shared" si="35"/>
        <v>46319</v>
      </c>
      <c r="C865" s="26">
        <f>I865+J865+K865+L865+M865+N865+O865+IF(P865="",0,P865*サマリー!$B$9)+IF(Q865="",0,IF(Q865=200,サマリー!$B$10,IF(Q865=100,サマリー!$B$11,0)))+IF(R865="",0,R865*サマリー!$B$12)</f>
        <v>0</v>
      </c>
      <c r="D865" s="26">
        <f>S865+T865+U865+V865+W865+IF(X865="",0,X865*サマリー!$B$9)+IF(Y865="",0,IF(Y865=200,サマリー!$B$10,IF(Y865=100,サマリー!$B$11,0)))+IF(Z865="",0,Z865*サマリー!$B$12)</f>
        <v>0</v>
      </c>
      <c r="E865" s="26">
        <f t="shared" si="34"/>
        <v>0</v>
      </c>
      <c r="I865" s="29"/>
      <c r="J865" s="29"/>
      <c r="K865" s="29"/>
      <c r="L865" s="29"/>
      <c r="M865" s="29"/>
      <c r="N865" s="29"/>
      <c r="O865" s="29"/>
      <c r="P865" s="30"/>
      <c r="Q865" s="30"/>
      <c r="R865" s="30"/>
      <c r="S865" s="31"/>
      <c r="T865" s="31"/>
      <c r="U865" s="31"/>
      <c r="V865" s="31"/>
      <c r="W865" s="31"/>
      <c r="X865" s="32"/>
      <c r="Y865" s="32"/>
      <c r="Z865" s="32"/>
    </row>
    <row r="866" spans="1:26">
      <c r="A866" s="28"/>
      <c r="B866" s="17">
        <f t="shared" si="35"/>
        <v>46319</v>
      </c>
      <c r="C866" s="26">
        <f>I866+J866+K866+L866+M866+N866+O866+IF(P866="",0,P866*サマリー!$B$9)+IF(Q866="",0,IF(Q866=200,サマリー!$B$10,IF(Q866=100,サマリー!$B$11,0)))+IF(R866="",0,R866*サマリー!$B$12)</f>
        <v>0</v>
      </c>
      <c r="D866" s="26">
        <f>S866+T866+U866+V866+W866+IF(X866="",0,X866*サマリー!$B$9)+IF(Y866="",0,IF(Y866=200,サマリー!$B$10,IF(Y866=100,サマリー!$B$11,0)))+IF(Z866="",0,Z866*サマリー!$B$12)</f>
        <v>0</v>
      </c>
      <c r="E866" s="26">
        <f t="shared" si="34"/>
        <v>0</v>
      </c>
      <c r="I866" s="29"/>
      <c r="J866" s="29"/>
      <c r="K866" s="29"/>
      <c r="L866" s="29"/>
      <c r="M866" s="29"/>
      <c r="N866" s="29"/>
      <c r="O866" s="29"/>
      <c r="P866" s="30"/>
      <c r="Q866" s="30"/>
      <c r="R866" s="30"/>
      <c r="S866" s="31"/>
      <c r="T866" s="31"/>
      <c r="U866" s="31"/>
      <c r="V866" s="31"/>
      <c r="W866" s="31"/>
      <c r="X866" s="32"/>
      <c r="Y866" s="32"/>
      <c r="Z866" s="32"/>
    </row>
    <row r="867" spans="1:26">
      <c r="A867" s="28"/>
      <c r="B867" s="17">
        <f t="shared" si="35"/>
        <v>46319</v>
      </c>
      <c r="C867" s="26">
        <f>I867+J867+K867+L867+M867+N867+O867+IF(P867="",0,P867*サマリー!$B$9)+IF(Q867="",0,IF(Q867=200,サマリー!$B$10,IF(Q867=100,サマリー!$B$11,0)))+IF(R867="",0,R867*サマリー!$B$12)</f>
        <v>0</v>
      </c>
      <c r="D867" s="26">
        <f>S867+T867+U867+V867+W867+IF(X867="",0,X867*サマリー!$B$9)+IF(Y867="",0,IF(Y867=200,サマリー!$B$10,IF(Y867=100,サマリー!$B$11,0)))+IF(Z867="",0,Z867*サマリー!$B$12)</f>
        <v>0</v>
      </c>
      <c r="E867" s="26">
        <f t="shared" ref="E867:E930" si="36">C867+D867</f>
        <v>0</v>
      </c>
      <c r="I867" s="29"/>
      <c r="J867" s="29"/>
      <c r="K867" s="29"/>
      <c r="L867" s="29"/>
      <c r="M867" s="29"/>
      <c r="N867" s="29"/>
      <c r="O867" s="29"/>
      <c r="P867" s="30"/>
      <c r="Q867" s="30"/>
      <c r="R867" s="30"/>
      <c r="S867" s="31"/>
      <c r="T867" s="31"/>
      <c r="U867" s="31"/>
      <c r="V867" s="31"/>
      <c r="W867" s="31"/>
      <c r="X867" s="32"/>
      <c r="Y867" s="32"/>
      <c r="Z867" s="32"/>
    </row>
    <row r="868" spans="1:26">
      <c r="A868" s="28"/>
      <c r="B868" s="17">
        <f t="shared" si="35"/>
        <v>46319</v>
      </c>
      <c r="C868" s="26">
        <f>I868+J868+K868+L868+M868+N868+O868+IF(P868="",0,P868*サマリー!$B$9)+IF(Q868="",0,IF(Q868=200,サマリー!$B$10,IF(Q868=100,サマリー!$B$11,0)))+IF(R868="",0,R868*サマリー!$B$12)</f>
        <v>0</v>
      </c>
      <c r="D868" s="26">
        <f>S868+T868+U868+V868+W868+IF(X868="",0,X868*サマリー!$B$9)+IF(Y868="",0,IF(Y868=200,サマリー!$B$10,IF(Y868=100,サマリー!$B$11,0)))+IF(Z868="",0,Z868*サマリー!$B$12)</f>
        <v>0</v>
      </c>
      <c r="E868" s="26">
        <f t="shared" si="36"/>
        <v>0</v>
      </c>
      <c r="I868" s="29"/>
      <c r="J868" s="29"/>
      <c r="K868" s="29"/>
      <c r="L868" s="29"/>
      <c r="M868" s="29"/>
      <c r="N868" s="29"/>
      <c r="O868" s="29"/>
      <c r="P868" s="30"/>
      <c r="Q868" s="30"/>
      <c r="R868" s="30"/>
      <c r="S868" s="31"/>
      <c r="T868" s="31"/>
      <c r="U868" s="31"/>
      <c r="V868" s="31"/>
      <c r="W868" s="31"/>
      <c r="X868" s="32"/>
      <c r="Y868" s="32"/>
      <c r="Z868" s="32"/>
    </row>
    <row r="869" spans="1:26">
      <c r="A869" s="28"/>
      <c r="B869" s="17">
        <f t="shared" si="35"/>
        <v>46319</v>
      </c>
      <c r="C869" s="26">
        <f>I869+J869+K869+L869+M869+N869+O869+IF(P869="",0,P869*サマリー!$B$9)+IF(Q869="",0,IF(Q869=200,サマリー!$B$10,IF(Q869=100,サマリー!$B$11,0)))+IF(R869="",0,R869*サマリー!$B$12)</f>
        <v>0</v>
      </c>
      <c r="D869" s="26">
        <f>S869+T869+U869+V869+W869+IF(X869="",0,X869*サマリー!$B$9)+IF(Y869="",0,IF(Y869=200,サマリー!$B$10,IF(Y869=100,サマリー!$B$11,0)))+IF(Z869="",0,Z869*サマリー!$B$12)</f>
        <v>0</v>
      </c>
      <c r="E869" s="26">
        <f t="shared" si="36"/>
        <v>0</v>
      </c>
      <c r="I869" s="29"/>
      <c r="J869" s="29"/>
      <c r="K869" s="29"/>
      <c r="L869" s="29"/>
      <c r="M869" s="29"/>
      <c r="N869" s="29"/>
      <c r="O869" s="29"/>
      <c r="P869" s="30"/>
      <c r="Q869" s="30"/>
      <c r="R869" s="30"/>
      <c r="S869" s="31"/>
      <c r="T869" s="31"/>
      <c r="U869" s="31"/>
      <c r="V869" s="31"/>
      <c r="W869" s="31"/>
      <c r="X869" s="32"/>
      <c r="Y869" s="32"/>
      <c r="Z869" s="32"/>
    </row>
    <row r="870" spans="1:26">
      <c r="A870" s="28"/>
      <c r="B870" s="17">
        <f t="shared" si="35"/>
        <v>46319</v>
      </c>
      <c r="C870" s="26">
        <f>I870+J870+K870+L870+M870+N870+O870+IF(P870="",0,P870*サマリー!$B$9)+IF(Q870="",0,IF(Q870=200,サマリー!$B$10,IF(Q870=100,サマリー!$B$11,0)))+IF(R870="",0,R870*サマリー!$B$12)</f>
        <v>0</v>
      </c>
      <c r="D870" s="26">
        <f>S870+T870+U870+V870+W870+IF(X870="",0,X870*サマリー!$B$9)+IF(Y870="",0,IF(Y870=200,サマリー!$B$10,IF(Y870=100,サマリー!$B$11,0)))+IF(Z870="",0,Z870*サマリー!$B$12)</f>
        <v>0</v>
      </c>
      <c r="E870" s="26">
        <f t="shared" si="36"/>
        <v>0</v>
      </c>
      <c r="I870" s="29"/>
      <c r="J870" s="29"/>
      <c r="K870" s="29"/>
      <c r="L870" s="29"/>
      <c r="M870" s="29"/>
      <c r="N870" s="29"/>
      <c r="O870" s="29"/>
      <c r="P870" s="30"/>
      <c r="Q870" s="30"/>
      <c r="R870" s="30"/>
      <c r="S870" s="31"/>
      <c r="T870" s="31"/>
      <c r="U870" s="31"/>
      <c r="V870" s="31"/>
      <c r="W870" s="31"/>
      <c r="X870" s="32"/>
      <c r="Y870" s="32"/>
      <c r="Z870" s="32"/>
    </row>
    <row r="871" spans="1:26">
      <c r="A871" s="28"/>
      <c r="B871" s="17">
        <f t="shared" si="35"/>
        <v>46319</v>
      </c>
      <c r="C871" s="26">
        <f>I871+J871+K871+L871+M871+N871+O871+IF(P871="",0,P871*サマリー!$B$9)+IF(Q871="",0,IF(Q871=200,サマリー!$B$10,IF(Q871=100,サマリー!$B$11,0)))+IF(R871="",0,R871*サマリー!$B$12)</f>
        <v>0</v>
      </c>
      <c r="D871" s="26">
        <f>S871+T871+U871+V871+W871+IF(X871="",0,X871*サマリー!$B$9)+IF(Y871="",0,IF(Y871=200,サマリー!$B$10,IF(Y871=100,サマリー!$B$11,0)))+IF(Z871="",0,Z871*サマリー!$B$12)</f>
        <v>0</v>
      </c>
      <c r="E871" s="26">
        <f t="shared" si="36"/>
        <v>0</v>
      </c>
      <c r="I871" s="29"/>
      <c r="J871" s="29"/>
      <c r="K871" s="29"/>
      <c r="L871" s="29"/>
      <c r="M871" s="29"/>
      <c r="N871" s="29"/>
      <c r="O871" s="29"/>
      <c r="P871" s="30"/>
      <c r="Q871" s="30"/>
      <c r="R871" s="30"/>
      <c r="S871" s="31"/>
      <c r="T871" s="31"/>
      <c r="U871" s="31"/>
      <c r="V871" s="31"/>
      <c r="W871" s="31"/>
      <c r="X871" s="32"/>
      <c r="Y871" s="32"/>
      <c r="Z871" s="32"/>
    </row>
    <row r="872" spans="1:26">
      <c r="A872" s="28"/>
      <c r="B872" s="17">
        <f t="shared" si="35"/>
        <v>46319</v>
      </c>
      <c r="C872" s="26">
        <f>I872+J872+K872+L872+M872+N872+O872+IF(P872="",0,P872*サマリー!$B$9)+IF(Q872="",0,IF(Q872=200,サマリー!$B$10,IF(Q872=100,サマリー!$B$11,0)))+IF(R872="",0,R872*サマリー!$B$12)</f>
        <v>0</v>
      </c>
      <c r="D872" s="26">
        <f>S872+T872+U872+V872+W872+IF(X872="",0,X872*サマリー!$B$9)+IF(Y872="",0,IF(Y872=200,サマリー!$B$10,IF(Y872=100,サマリー!$B$11,0)))+IF(Z872="",0,Z872*サマリー!$B$12)</f>
        <v>0</v>
      </c>
      <c r="E872" s="26">
        <f t="shared" si="36"/>
        <v>0</v>
      </c>
      <c r="I872" s="29"/>
      <c r="J872" s="29"/>
      <c r="K872" s="29"/>
      <c r="L872" s="29"/>
      <c r="M872" s="29"/>
      <c r="N872" s="29"/>
      <c r="O872" s="29"/>
      <c r="P872" s="30"/>
      <c r="Q872" s="30"/>
      <c r="R872" s="30"/>
      <c r="S872" s="31"/>
      <c r="T872" s="31"/>
      <c r="U872" s="31"/>
      <c r="V872" s="31"/>
      <c r="W872" s="31"/>
      <c r="X872" s="32"/>
      <c r="Y872" s="32"/>
      <c r="Z872" s="32"/>
    </row>
    <row r="873" spans="1:26">
      <c r="A873" s="28"/>
      <c r="B873" s="17">
        <f t="shared" si="35"/>
        <v>46319</v>
      </c>
      <c r="C873" s="26">
        <f>I873+J873+K873+L873+M873+N873+O873+IF(P873="",0,P873*サマリー!$B$9)+IF(Q873="",0,IF(Q873=200,サマリー!$B$10,IF(Q873=100,サマリー!$B$11,0)))+IF(R873="",0,R873*サマリー!$B$12)</f>
        <v>0</v>
      </c>
      <c r="D873" s="26">
        <f>S873+T873+U873+V873+W873+IF(X873="",0,X873*サマリー!$B$9)+IF(Y873="",0,IF(Y873=200,サマリー!$B$10,IF(Y873=100,サマリー!$B$11,0)))+IF(Z873="",0,Z873*サマリー!$B$12)</f>
        <v>0</v>
      </c>
      <c r="E873" s="26">
        <f t="shared" si="36"/>
        <v>0</v>
      </c>
      <c r="I873" s="29"/>
      <c r="J873" s="29"/>
      <c r="K873" s="29"/>
      <c r="L873" s="29"/>
      <c r="M873" s="29"/>
      <c r="N873" s="29"/>
      <c r="O873" s="29"/>
      <c r="P873" s="30"/>
      <c r="Q873" s="30"/>
      <c r="R873" s="30"/>
      <c r="S873" s="31"/>
      <c r="T873" s="31"/>
      <c r="U873" s="31"/>
      <c r="V873" s="31"/>
      <c r="W873" s="31"/>
      <c r="X873" s="32"/>
      <c r="Y873" s="32"/>
      <c r="Z873" s="32"/>
    </row>
    <row r="874" spans="1:26">
      <c r="A874" s="28"/>
      <c r="B874" s="17">
        <f t="shared" si="35"/>
        <v>46319</v>
      </c>
      <c r="C874" s="26">
        <f>I874+J874+K874+L874+M874+N874+O874+IF(P874="",0,P874*サマリー!$B$9)+IF(Q874="",0,IF(Q874=200,サマリー!$B$10,IF(Q874=100,サマリー!$B$11,0)))+IF(R874="",0,R874*サマリー!$B$12)</f>
        <v>0</v>
      </c>
      <c r="D874" s="26">
        <f>S874+T874+U874+V874+W874+IF(X874="",0,X874*サマリー!$B$9)+IF(Y874="",0,IF(Y874=200,サマリー!$B$10,IF(Y874=100,サマリー!$B$11,0)))+IF(Z874="",0,Z874*サマリー!$B$12)</f>
        <v>0</v>
      </c>
      <c r="E874" s="26">
        <f t="shared" si="36"/>
        <v>0</v>
      </c>
      <c r="I874" s="29"/>
      <c r="J874" s="29"/>
      <c r="K874" s="29"/>
      <c r="L874" s="29"/>
      <c r="M874" s="29"/>
      <c r="N874" s="29"/>
      <c r="O874" s="29"/>
      <c r="P874" s="30"/>
      <c r="Q874" s="30"/>
      <c r="R874" s="30"/>
      <c r="S874" s="31"/>
      <c r="T874" s="31"/>
      <c r="U874" s="31"/>
      <c r="V874" s="31"/>
      <c r="W874" s="31"/>
      <c r="X874" s="32"/>
      <c r="Y874" s="32"/>
      <c r="Z874" s="32"/>
    </row>
    <row r="875" spans="1:26">
      <c r="A875" s="28"/>
      <c r="B875" s="17">
        <f t="shared" si="35"/>
        <v>46319</v>
      </c>
      <c r="C875" s="26">
        <f>I875+J875+K875+L875+M875+N875+O875+IF(P875="",0,P875*サマリー!$B$9)+IF(Q875="",0,IF(Q875=200,サマリー!$B$10,IF(Q875=100,サマリー!$B$11,0)))+IF(R875="",0,R875*サマリー!$B$12)</f>
        <v>0</v>
      </c>
      <c r="D875" s="26">
        <f>S875+T875+U875+V875+W875+IF(X875="",0,X875*サマリー!$B$9)+IF(Y875="",0,IF(Y875=200,サマリー!$B$10,IF(Y875=100,サマリー!$B$11,0)))+IF(Z875="",0,Z875*サマリー!$B$12)</f>
        <v>0</v>
      </c>
      <c r="E875" s="26">
        <f t="shared" si="36"/>
        <v>0</v>
      </c>
      <c r="I875" s="29"/>
      <c r="J875" s="29"/>
      <c r="K875" s="29"/>
      <c r="L875" s="29"/>
      <c r="M875" s="29"/>
      <c r="N875" s="29"/>
      <c r="O875" s="29"/>
      <c r="P875" s="30"/>
      <c r="Q875" s="30"/>
      <c r="R875" s="30"/>
      <c r="S875" s="31"/>
      <c r="T875" s="31"/>
      <c r="U875" s="31"/>
      <c r="V875" s="31"/>
      <c r="W875" s="31"/>
      <c r="X875" s="32"/>
      <c r="Y875" s="32"/>
      <c r="Z875" s="32"/>
    </row>
    <row r="876" spans="1:26">
      <c r="A876" s="28"/>
      <c r="B876" s="17">
        <f t="shared" si="35"/>
        <v>46319</v>
      </c>
      <c r="C876" s="26">
        <f>I876+J876+K876+L876+M876+N876+O876+IF(P876="",0,P876*サマリー!$B$9)+IF(Q876="",0,IF(Q876=200,サマリー!$B$10,IF(Q876=100,サマリー!$B$11,0)))+IF(R876="",0,R876*サマリー!$B$12)</f>
        <v>0</v>
      </c>
      <c r="D876" s="26">
        <f>S876+T876+U876+V876+W876+IF(X876="",0,X876*サマリー!$B$9)+IF(Y876="",0,IF(Y876=200,サマリー!$B$10,IF(Y876=100,サマリー!$B$11,0)))+IF(Z876="",0,Z876*サマリー!$B$12)</f>
        <v>0</v>
      </c>
      <c r="E876" s="26">
        <f t="shared" si="36"/>
        <v>0</v>
      </c>
      <c r="I876" s="29"/>
      <c r="J876" s="29"/>
      <c r="K876" s="29"/>
      <c r="L876" s="29"/>
      <c r="M876" s="29"/>
      <c r="N876" s="29"/>
      <c r="O876" s="29"/>
      <c r="P876" s="30"/>
      <c r="Q876" s="30"/>
      <c r="R876" s="30"/>
      <c r="S876" s="31"/>
      <c r="T876" s="31"/>
      <c r="U876" s="31"/>
      <c r="V876" s="31"/>
      <c r="W876" s="31"/>
      <c r="X876" s="32"/>
      <c r="Y876" s="32"/>
      <c r="Z876" s="32"/>
    </row>
    <row r="877" spans="1:26">
      <c r="A877" s="28"/>
      <c r="B877" s="17">
        <f t="shared" si="35"/>
        <v>46319</v>
      </c>
      <c r="C877" s="26">
        <f>I877+J877+K877+L877+M877+N877+O877+IF(P877="",0,P877*サマリー!$B$9)+IF(Q877="",0,IF(Q877=200,サマリー!$B$10,IF(Q877=100,サマリー!$B$11,0)))+IF(R877="",0,R877*サマリー!$B$12)</f>
        <v>0</v>
      </c>
      <c r="D877" s="26">
        <f>S877+T877+U877+V877+W877+IF(X877="",0,X877*サマリー!$B$9)+IF(Y877="",0,IF(Y877=200,サマリー!$B$10,IF(Y877=100,サマリー!$B$11,0)))+IF(Z877="",0,Z877*サマリー!$B$12)</f>
        <v>0</v>
      </c>
      <c r="E877" s="26">
        <f t="shared" si="36"/>
        <v>0</v>
      </c>
      <c r="I877" s="29"/>
      <c r="J877" s="29"/>
      <c r="K877" s="29"/>
      <c r="L877" s="29"/>
      <c r="M877" s="29"/>
      <c r="N877" s="29"/>
      <c r="O877" s="29"/>
      <c r="P877" s="30"/>
      <c r="Q877" s="30"/>
      <c r="R877" s="30"/>
      <c r="S877" s="31"/>
      <c r="T877" s="31"/>
      <c r="U877" s="31"/>
      <c r="V877" s="31"/>
      <c r="W877" s="31"/>
      <c r="X877" s="32"/>
      <c r="Y877" s="32"/>
      <c r="Z877" s="32"/>
    </row>
    <row r="878" spans="1:26">
      <c r="A878" s="28"/>
      <c r="B878" s="17">
        <f t="shared" si="35"/>
        <v>46319</v>
      </c>
      <c r="C878" s="26">
        <f>I878+J878+K878+L878+M878+N878+O878+IF(P878="",0,P878*サマリー!$B$9)+IF(Q878="",0,IF(Q878=200,サマリー!$B$10,IF(Q878=100,サマリー!$B$11,0)))+IF(R878="",0,R878*サマリー!$B$12)</f>
        <v>0</v>
      </c>
      <c r="D878" s="26">
        <f>S878+T878+U878+V878+W878+IF(X878="",0,X878*サマリー!$B$9)+IF(Y878="",0,IF(Y878=200,サマリー!$B$10,IF(Y878=100,サマリー!$B$11,0)))+IF(Z878="",0,Z878*サマリー!$B$12)</f>
        <v>0</v>
      </c>
      <c r="E878" s="26">
        <f t="shared" si="36"/>
        <v>0</v>
      </c>
      <c r="I878" s="29"/>
      <c r="J878" s="29"/>
      <c r="K878" s="29"/>
      <c r="L878" s="29"/>
      <c r="M878" s="29"/>
      <c r="N878" s="29"/>
      <c r="O878" s="29"/>
      <c r="P878" s="30"/>
      <c r="Q878" s="30"/>
      <c r="R878" s="30"/>
      <c r="S878" s="31"/>
      <c r="T878" s="31"/>
      <c r="U878" s="31"/>
      <c r="V878" s="31"/>
      <c r="W878" s="31"/>
      <c r="X878" s="32"/>
      <c r="Y878" s="32"/>
      <c r="Z878" s="32"/>
    </row>
    <row r="879" spans="1:26">
      <c r="A879" s="28"/>
      <c r="B879" s="17">
        <f t="shared" si="35"/>
        <v>46319</v>
      </c>
      <c r="C879" s="26">
        <f>I879+J879+K879+L879+M879+N879+O879+IF(P879="",0,P879*サマリー!$B$9)+IF(Q879="",0,IF(Q879=200,サマリー!$B$10,IF(Q879=100,サマリー!$B$11,0)))+IF(R879="",0,R879*サマリー!$B$12)</f>
        <v>0</v>
      </c>
      <c r="D879" s="26">
        <f>S879+T879+U879+V879+W879+IF(X879="",0,X879*サマリー!$B$9)+IF(Y879="",0,IF(Y879=200,サマリー!$B$10,IF(Y879=100,サマリー!$B$11,0)))+IF(Z879="",0,Z879*サマリー!$B$12)</f>
        <v>0</v>
      </c>
      <c r="E879" s="26">
        <f t="shared" si="36"/>
        <v>0</v>
      </c>
      <c r="I879" s="29"/>
      <c r="J879" s="29"/>
      <c r="K879" s="29"/>
      <c r="L879" s="29"/>
      <c r="M879" s="29"/>
      <c r="N879" s="29"/>
      <c r="O879" s="29"/>
      <c r="P879" s="30"/>
      <c r="Q879" s="30"/>
      <c r="R879" s="30"/>
      <c r="S879" s="31"/>
      <c r="T879" s="31"/>
      <c r="U879" s="31"/>
      <c r="V879" s="31"/>
      <c r="W879" s="31"/>
      <c r="X879" s="32"/>
      <c r="Y879" s="32"/>
      <c r="Z879" s="32"/>
    </row>
    <row r="880" spans="1:26">
      <c r="A880" s="28"/>
      <c r="B880" s="17">
        <f t="shared" si="35"/>
        <v>46319</v>
      </c>
      <c r="C880" s="26">
        <f>I880+J880+K880+L880+M880+N880+O880+IF(P880="",0,P880*サマリー!$B$9)+IF(Q880="",0,IF(Q880=200,サマリー!$B$10,IF(Q880=100,サマリー!$B$11,0)))+IF(R880="",0,R880*サマリー!$B$12)</f>
        <v>0</v>
      </c>
      <c r="D880" s="26">
        <f>S880+T880+U880+V880+W880+IF(X880="",0,X880*サマリー!$B$9)+IF(Y880="",0,IF(Y880=200,サマリー!$B$10,IF(Y880=100,サマリー!$B$11,0)))+IF(Z880="",0,Z880*サマリー!$B$12)</f>
        <v>0</v>
      </c>
      <c r="E880" s="26">
        <f t="shared" si="36"/>
        <v>0</v>
      </c>
      <c r="I880" s="29"/>
      <c r="J880" s="29"/>
      <c r="K880" s="29"/>
      <c r="L880" s="29"/>
      <c r="M880" s="29"/>
      <c r="N880" s="29"/>
      <c r="O880" s="29"/>
      <c r="P880" s="30"/>
      <c r="Q880" s="30"/>
      <c r="R880" s="30"/>
      <c r="S880" s="31"/>
      <c r="T880" s="31"/>
      <c r="U880" s="31"/>
      <c r="V880" s="31"/>
      <c r="W880" s="31"/>
      <c r="X880" s="32"/>
      <c r="Y880" s="32"/>
      <c r="Z880" s="32"/>
    </row>
    <row r="881" spans="1:26">
      <c r="A881" s="28"/>
      <c r="B881" s="17">
        <f t="shared" si="35"/>
        <v>46319</v>
      </c>
      <c r="C881" s="26">
        <f>I881+J881+K881+L881+M881+N881+O881+IF(P881="",0,P881*サマリー!$B$9)+IF(Q881="",0,IF(Q881=200,サマリー!$B$10,IF(Q881=100,サマリー!$B$11,0)))+IF(R881="",0,R881*サマリー!$B$12)</f>
        <v>0</v>
      </c>
      <c r="D881" s="26">
        <f>S881+T881+U881+V881+W881+IF(X881="",0,X881*サマリー!$B$9)+IF(Y881="",0,IF(Y881=200,サマリー!$B$10,IF(Y881=100,サマリー!$B$11,0)))+IF(Z881="",0,Z881*サマリー!$B$12)</f>
        <v>0</v>
      </c>
      <c r="E881" s="26">
        <f t="shared" si="36"/>
        <v>0</v>
      </c>
      <c r="I881" s="29"/>
      <c r="J881" s="29"/>
      <c r="K881" s="29"/>
      <c r="L881" s="29"/>
      <c r="M881" s="29"/>
      <c r="N881" s="29"/>
      <c r="O881" s="29"/>
      <c r="P881" s="30"/>
      <c r="Q881" s="30"/>
      <c r="R881" s="30"/>
      <c r="S881" s="31"/>
      <c r="T881" s="31"/>
      <c r="U881" s="31"/>
      <c r="V881" s="31"/>
      <c r="W881" s="31"/>
      <c r="X881" s="32"/>
      <c r="Y881" s="32"/>
      <c r="Z881" s="32"/>
    </row>
    <row r="882" spans="1:26">
      <c r="A882" s="28"/>
      <c r="B882" s="17">
        <f t="shared" si="35"/>
        <v>46319</v>
      </c>
      <c r="C882" s="26">
        <f>I882+J882+K882+L882+M882+N882+O882+IF(P882="",0,P882*サマリー!$B$9)+IF(Q882="",0,IF(Q882=200,サマリー!$B$10,IF(Q882=100,サマリー!$B$11,0)))+IF(R882="",0,R882*サマリー!$B$12)</f>
        <v>0</v>
      </c>
      <c r="D882" s="26">
        <f>S882+T882+U882+V882+W882+IF(X882="",0,X882*サマリー!$B$9)+IF(Y882="",0,IF(Y882=200,サマリー!$B$10,IF(Y882=100,サマリー!$B$11,0)))+IF(Z882="",0,Z882*サマリー!$B$12)</f>
        <v>0</v>
      </c>
      <c r="E882" s="26">
        <f t="shared" si="36"/>
        <v>0</v>
      </c>
      <c r="I882" s="29"/>
      <c r="J882" s="29"/>
      <c r="K882" s="29"/>
      <c r="L882" s="29"/>
      <c r="M882" s="29"/>
      <c r="N882" s="29"/>
      <c r="O882" s="29"/>
      <c r="P882" s="30"/>
      <c r="Q882" s="30"/>
      <c r="R882" s="30"/>
      <c r="S882" s="31"/>
      <c r="T882" s="31"/>
      <c r="U882" s="31"/>
      <c r="V882" s="31"/>
      <c r="W882" s="31"/>
      <c r="X882" s="32"/>
      <c r="Y882" s="32"/>
      <c r="Z882" s="32"/>
    </row>
    <row r="883" spans="1:26">
      <c r="A883" s="28"/>
      <c r="B883" s="17">
        <f t="shared" si="35"/>
        <v>46319</v>
      </c>
      <c r="C883" s="26">
        <f>I883+J883+K883+L883+M883+N883+O883+IF(P883="",0,P883*サマリー!$B$9)+IF(Q883="",0,IF(Q883=200,サマリー!$B$10,IF(Q883=100,サマリー!$B$11,0)))+IF(R883="",0,R883*サマリー!$B$12)</f>
        <v>0</v>
      </c>
      <c r="D883" s="26">
        <f>S883+T883+U883+V883+W883+IF(X883="",0,X883*サマリー!$B$9)+IF(Y883="",0,IF(Y883=200,サマリー!$B$10,IF(Y883=100,サマリー!$B$11,0)))+IF(Z883="",0,Z883*サマリー!$B$12)</f>
        <v>0</v>
      </c>
      <c r="E883" s="26">
        <f t="shared" si="36"/>
        <v>0</v>
      </c>
      <c r="I883" s="29"/>
      <c r="J883" s="29"/>
      <c r="K883" s="29"/>
      <c r="L883" s="29"/>
      <c r="M883" s="29"/>
      <c r="N883" s="29"/>
      <c r="O883" s="29"/>
      <c r="P883" s="30"/>
      <c r="Q883" s="30"/>
      <c r="R883" s="30"/>
      <c r="S883" s="31"/>
      <c r="T883" s="31"/>
      <c r="U883" s="31"/>
      <c r="V883" s="31"/>
      <c r="W883" s="31"/>
      <c r="X883" s="32"/>
      <c r="Y883" s="32"/>
      <c r="Z883" s="32"/>
    </row>
    <row r="884" spans="1:26">
      <c r="A884" s="28"/>
      <c r="B884" s="17">
        <f t="shared" si="35"/>
        <v>46319</v>
      </c>
      <c r="C884" s="26">
        <f>I884+J884+K884+L884+M884+N884+O884+IF(P884="",0,P884*サマリー!$B$9)+IF(Q884="",0,IF(Q884=200,サマリー!$B$10,IF(Q884=100,サマリー!$B$11,0)))+IF(R884="",0,R884*サマリー!$B$12)</f>
        <v>0</v>
      </c>
      <c r="D884" s="26">
        <f>S884+T884+U884+V884+W884+IF(X884="",0,X884*サマリー!$B$9)+IF(Y884="",0,IF(Y884=200,サマリー!$B$10,IF(Y884=100,サマリー!$B$11,0)))+IF(Z884="",0,Z884*サマリー!$B$12)</f>
        <v>0</v>
      </c>
      <c r="E884" s="26">
        <f t="shared" si="36"/>
        <v>0</v>
      </c>
      <c r="I884" s="29"/>
      <c r="J884" s="29"/>
      <c r="K884" s="29"/>
      <c r="L884" s="29"/>
      <c r="M884" s="29"/>
      <c r="N884" s="29"/>
      <c r="O884" s="29"/>
      <c r="P884" s="30"/>
      <c r="Q884" s="30"/>
      <c r="R884" s="30"/>
      <c r="S884" s="31"/>
      <c r="T884" s="31"/>
      <c r="U884" s="31"/>
      <c r="V884" s="31"/>
      <c r="W884" s="31"/>
      <c r="X884" s="32"/>
      <c r="Y884" s="32"/>
      <c r="Z884" s="32"/>
    </row>
    <row r="885" spans="1:26">
      <c r="A885" s="28"/>
      <c r="B885" s="17">
        <f t="shared" si="35"/>
        <v>46319</v>
      </c>
      <c r="C885" s="26">
        <f>I885+J885+K885+L885+M885+N885+O885+IF(P885="",0,P885*サマリー!$B$9)+IF(Q885="",0,IF(Q885=200,サマリー!$B$10,IF(Q885=100,サマリー!$B$11,0)))+IF(R885="",0,R885*サマリー!$B$12)</f>
        <v>0</v>
      </c>
      <c r="D885" s="26">
        <f>S885+T885+U885+V885+W885+IF(X885="",0,X885*サマリー!$B$9)+IF(Y885="",0,IF(Y885=200,サマリー!$B$10,IF(Y885=100,サマリー!$B$11,0)))+IF(Z885="",0,Z885*サマリー!$B$12)</f>
        <v>0</v>
      </c>
      <c r="E885" s="26">
        <f t="shared" si="36"/>
        <v>0</v>
      </c>
      <c r="I885" s="29"/>
      <c r="J885" s="29"/>
      <c r="K885" s="29"/>
      <c r="L885" s="29"/>
      <c r="M885" s="29"/>
      <c r="N885" s="29"/>
      <c r="O885" s="29"/>
      <c r="P885" s="30"/>
      <c r="Q885" s="30"/>
      <c r="R885" s="30"/>
      <c r="S885" s="31"/>
      <c r="T885" s="31"/>
      <c r="U885" s="31"/>
      <c r="V885" s="31"/>
      <c r="W885" s="31"/>
      <c r="X885" s="32"/>
      <c r="Y885" s="32"/>
      <c r="Z885" s="32"/>
    </row>
    <row r="886" spans="1:26">
      <c r="A886" s="28"/>
      <c r="B886" s="17">
        <f t="shared" si="35"/>
        <v>46319</v>
      </c>
      <c r="C886" s="26">
        <f>I886+J886+K886+L886+M886+N886+O886+IF(P886="",0,P886*サマリー!$B$9)+IF(Q886="",0,IF(Q886=200,サマリー!$B$10,IF(Q886=100,サマリー!$B$11,0)))+IF(R886="",0,R886*サマリー!$B$12)</f>
        <v>0</v>
      </c>
      <c r="D886" s="26">
        <f>S886+T886+U886+V886+W886+IF(X886="",0,X886*サマリー!$B$9)+IF(Y886="",0,IF(Y886=200,サマリー!$B$10,IF(Y886=100,サマリー!$B$11,0)))+IF(Z886="",0,Z886*サマリー!$B$12)</f>
        <v>0</v>
      </c>
      <c r="E886" s="26">
        <f t="shared" si="36"/>
        <v>0</v>
      </c>
      <c r="I886" s="29"/>
      <c r="J886" s="29"/>
      <c r="K886" s="29"/>
      <c r="L886" s="29"/>
      <c r="M886" s="29"/>
      <c r="N886" s="29"/>
      <c r="O886" s="29"/>
      <c r="P886" s="30"/>
      <c r="Q886" s="30"/>
      <c r="R886" s="30"/>
      <c r="S886" s="31"/>
      <c r="T886" s="31"/>
      <c r="U886" s="31"/>
      <c r="V886" s="31"/>
      <c r="W886" s="31"/>
      <c r="X886" s="32"/>
      <c r="Y886" s="32"/>
      <c r="Z886" s="32"/>
    </row>
    <row r="887" spans="1:26">
      <c r="A887" s="28"/>
      <c r="B887" s="17">
        <f t="shared" si="35"/>
        <v>46319</v>
      </c>
      <c r="C887" s="26">
        <f>I887+J887+K887+L887+M887+N887+O887+IF(P887="",0,P887*サマリー!$B$9)+IF(Q887="",0,IF(Q887=200,サマリー!$B$10,IF(Q887=100,サマリー!$B$11,0)))+IF(R887="",0,R887*サマリー!$B$12)</f>
        <v>0</v>
      </c>
      <c r="D887" s="26">
        <f>S887+T887+U887+V887+W887+IF(X887="",0,X887*サマリー!$B$9)+IF(Y887="",0,IF(Y887=200,サマリー!$B$10,IF(Y887=100,サマリー!$B$11,0)))+IF(Z887="",0,Z887*サマリー!$B$12)</f>
        <v>0</v>
      </c>
      <c r="E887" s="26">
        <f t="shared" si="36"/>
        <v>0</v>
      </c>
      <c r="I887" s="29"/>
      <c r="J887" s="29"/>
      <c r="K887" s="29"/>
      <c r="L887" s="29"/>
      <c r="M887" s="29"/>
      <c r="N887" s="29"/>
      <c r="O887" s="29"/>
      <c r="P887" s="30"/>
      <c r="Q887" s="30"/>
      <c r="R887" s="30"/>
      <c r="S887" s="31"/>
      <c r="T887" s="31"/>
      <c r="U887" s="31"/>
      <c r="V887" s="31"/>
      <c r="W887" s="31"/>
      <c r="X887" s="32"/>
      <c r="Y887" s="32"/>
      <c r="Z887" s="32"/>
    </row>
    <row r="888" spans="1:26">
      <c r="A888" s="28"/>
      <c r="B888" s="17">
        <f t="shared" si="35"/>
        <v>46319</v>
      </c>
      <c r="C888" s="26">
        <f>I888+J888+K888+L888+M888+N888+O888+IF(P888="",0,P888*サマリー!$B$9)+IF(Q888="",0,IF(Q888=200,サマリー!$B$10,IF(Q888=100,サマリー!$B$11,0)))+IF(R888="",0,R888*サマリー!$B$12)</f>
        <v>0</v>
      </c>
      <c r="D888" s="26">
        <f>S888+T888+U888+V888+W888+IF(X888="",0,X888*サマリー!$B$9)+IF(Y888="",0,IF(Y888=200,サマリー!$B$10,IF(Y888=100,サマリー!$B$11,0)))+IF(Z888="",0,Z888*サマリー!$B$12)</f>
        <v>0</v>
      </c>
      <c r="E888" s="26">
        <f t="shared" si="36"/>
        <v>0</v>
      </c>
      <c r="I888" s="29"/>
      <c r="J888" s="29"/>
      <c r="K888" s="29"/>
      <c r="L888" s="29"/>
      <c r="M888" s="29"/>
      <c r="N888" s="29"/>
      <c r="O888" s="29"/>
      <c r="P888" s="30"/>
      <c r="Q888" s="30"/>
      <c r="R888" s="30"/>
      <c r="S888" s="31"/>
      <c r="T888" s="31"/>
      <c r="U888" s="31"/>
      <c r="V888" s="31"/>
      <c r="W888" s="31"/>
      <c r="X888" s="32"/>
      <c r="Y888" s="32"/>
      <c r="Z888" s="32"/>
    </row>
    <row r="889" spans="1:26">
      <c r="A889" s="28"/>
      <c r="B889" s="17">
        <f t="shared" si="35"/>
        <v>46319</v>
      </c>
      <c r="C889" s="26">
        <f>I889+J889+K889+L889+M889+N889+O889+IF(P889="",0,P889*サマリー!$B$9)+IF(Q889="",0,IF(Q889=200,サマリー!$B$10,IF(Q889=100,サマリー!$B$11,0)))+IF(R889="",0,R889*サマリー!$B$12)</f>
        <v>0</v>
      </c>
      <c r="D889" s="26">
        <f>S889+T889+U889+V889+W889+IF(X889="",0,X889*サマリー!$B$9)+IF(Y889="",0,IF(Y889=200,サマリー!$B$10,IF(Y889=100,サマリー!$B$11,0)))+IF(Z889="",0,Z889*サマリー!$B$12)</f>
        <v>0</v>
      </c>
      <c r="E889" s="26">
        <f t="shared" si="36"/>
        <v>0</v>
      </c>
      <c r="I889" s="29"/>
      <c r="J889" s="29"/>
      <c r="K889" s="29"/>
      <c r="L889" s="29"/>
      <c r="M889" s="29"/>
      <c r="N889" s="29"/>
      <c r="O889" s="29"/>
      <c r="P889" s="30"/>
      <c r="Q889" s="30"/>
      <c r="R889" s="30"/>
      <c r="S889" s="31"/>
      <c r="T889" s="31"/>
      <c r="U889" s="31"/>
      <c r="V889" s="31"/>
      <c r="W889" s="31"/>
      <c r="X889" s="32"/>
      <c r="Y889" s="32"/>
      <c r="Z889" s="32"/>
    </row>
    <row r="890" spans="1:26">
      <c r="A890" s="28"/>
      <c r="B890" s="17">
        <f t="shared" si="35"/>
        <v>46319</v>
      </c>
      <c r="C890" s="26">
        <f>I890+J890+K890+L890+M890+N890+O890+IF(P890="",0,P890*サマリー!$B$9)+IF(Q890="",0,IF(Q890=200,サマリー!$B$10,IF(Q890=100,サマリー!$B$11,0)))+IF(R890="",0,R890*サマリー!$B$12)</f>
        <v>0</v>
      </c>
      <c r="D890" s="26">
        <f>S890+T890+U890+V890+W890+IF(X890="",0,X890*サマリー!$B$9)+IF(Y890="",0,IF(Y890=200,サマリー!$B$10,IF(Y890=100,サマリー!$B$11,0)))+IF(Z890="",0,Z890*サマリー!$B$12)</f>
        <v>0</v>
      </c>
      <c r="E890" s="26">
        <f t="shared" si="36"/>
        <v>0</v>
      </c>
      <c r="I890" s="29"/>
      <c r="J890" s="29"/>
      <c r="K890" s="29"/>
      <c r="L890" s="29"/>
      <c r="M890" s="29"/>
      <c r="N890" s="29"/>
      <c r="O890" s="29"/>
      <c r="P890" s="30"/>
      <c r="Q890" s="30"/>
      <c r="R890" s="30"/>
      <c r="S890" s="31"/>
      <c r="T890" s="31"/>
      <c r="U890" s="31"/>
      <c r="V890" s="31"/>
      <c r="W890" s="31"/>
      <c r="X890" s="32"/>
      <c r="Y890" s="32"/>
      <c r="Z890" s="32"/>
    </row>
    <row r="891" spans="1:26">
      <c r="A891" s="28"/>
      <c r="B891" s="17">
        <f t="shared" si="35"/>
        <v>46319</v>
      </c>
      <c r="C891" s="26">
        <f>I891+J891+K891+L891+M891+N891+O891+IF(P891="",0,P891*サマリー!$B$9)+IF(Q891="",0,IF(Q891=200,サマリー!$B$10,IF(Q891=100,サマリー!$B$11,0)))+IF(R891="",0,R891*サマリー!$B$12)</f>
        <v>0</v>
      </c>
      <c r="D891" s="26">
        <f>S891+T891+U891+V891+W891+IF(X891="",0,X891*サマリー!$B$9)+IF(Y891="",0,IF(Y891=200,サマリー!$B$10,IF(Y891=100,サマリー!$B$11,0)))+IF(Z891="",0,Z891*サマリー!$B$12)</f>
        <v>0</v>
      </c>
      <c r="E891" s="26">
        <f t="shared" si="36"/>
        <v>0</v>
      </c>
      <c r="I891" s="29"/>
      <c r="J891" s="29"/>
      <c r="K891" s="29"/>
      <c r="L891" s="29"/>
      <c r="M891" s="29"/>
      <c r="N891" s="29"/>
      <c r="O891" s="29"/>
      <c r="P891" s="30"/>
      <c r="Q891" s="30"/>
      <c r="R891" s="30"/>
      <c r="S891" s="31"/>
      <c r="T891" s="31"/>
      <c r="U891" s="31"/>
      <c r="V891" s="31"/>
      <c r="W891" s="31"/>
      <c r="X891" s="32"/>
      <c r="Y891" s="32"/>
      <c r="Z891" s="32"/>
    </row>
    <row r="892" spans="1:26">
      <c r="A892" s="28"/>
      <c r="B892" s="17">
        <f t="shared" si="35"/>
        <v>46319</v>
      </c>
      <c r="C892" s="26">
        <f>I892+J892+K892+L892+M892+N892+O892+IF(P892="",0,P892*サマリー!$B$9)+IF(Q892="",0,IF(Q892=200,サマリー!$B$10,IF(Q892=100,サマリー!$B$11,0)))+IF(R892="",0,R892*サマリー!$B$12)</f>
        <v>0</v>
      </c>
      <c r="D892" s="26">
        <f>S892+T892+U892+V892+W892+IF(X892="",0,X892*サマリー!$B$9)+IF(Y892="",0,IF(Y892=200,サマリー!$B$10,IF(Y892=100,サマリー!$B$11,0)))+IF(Z892="",0,Z892*サマリー!$B$12)</f>
        <v>0</v>
      </c>
      <c r="E892" s="26">
        <f t="shared" si="36"/>
        <v>0</v>
      </c>
      <c r="I892" s="29"/>
      <c r="J892" s="29"/>
      <c r="K892" s="29"/>
      <c r="L892" s="29"/>
      <c r="M892" s="29"/>
      <c r="N892" s="29"/>
      <c r="O892" s="29"/>
      <c r="P892" s="30"/>
      <c r="Q892" s="30"/>
      <c r="R892" s="30"/>
      <c r="S892" s="31"/>
      <c r="T892" s="31"/>
      <c r="U892" s="31"/>
      <c r="V892" s="31"/>
      <c r="W892" s="31"/>
      <c r="X892" s="32"/>
      <c r="Y892" s="32"/>
      <c r="Z892" s="32"/>
    </row>
    <row r="893" spans="1:26">
      <c r="A893" s="28"/>
      <c r="B893" s="17">
        <f t="shared" si="35"/>
        <v>46319</v>
      </c>
      <c r="C893" s="26">
        <f>I893+J893+K893+L893+M893+N893+O893+IF(P893="",0,P893*サマリー!$B$9)+IF(Q893="",0,IF(Q893=200,サマリー!$B$10,IF(Q893=100,サマリー!$B$11,0)))+IF(R893="",0,R893*サマリー!$B$12)</f>
        <v>0</v>
      </c>
      <c r="D893" s="26">
        <f>S893+T893+U893+V893+W893+IF(X893="",0,X893*サマリー!$B$9)+IF(Y893="",0,IF(Y893=200,サマリー!$B$10,IF(Y893=100,サマリー!$B$11,0)))+IF(Z893="",0,Z893*サマリー!$B$12)</f>
        <v>0</v>
      </c>
      <c r="E893" s="26">
        <f t="shared" si="36"/>
        <v>0</v>
      </c>
      <c r="I893" s="29"/>
      <c r="J893" s="29"/>
      <c r="K893" s="29"/>
      <c r="L893" s="29"/>
      <c r="M893" s="29"/>
      <c r="N893" s="29"/>
      <c r="O893" s="29"/>
      <c r="P893" s="30"/>
      <c r="Q893" s="30"/>
      <c r="R893" s="30"/>
      <c r="S893" s="31"/>
      <c r="T893" s="31"/>
      <c r="U893" s="31"/>
      <c r="V893" s="31"/>
      <c r="W893" s="31"/>
      <c r="X893" s="32"/>
      <c r="Y893" s="32"/>
      <c r="Z893" s="32"/>
    </row>
    <row r="894" spans="1:26">
      <c r="A894" s="28"/>
      <c r="B894" s="17">
        <f t="shared" si="35"/>
        <v>46319</v>
      </c>
      <c r="C894" s="26">
        <f>I894+J894+K894+L894+M894+N894+O894+IF(P894="",0,P894*サマリー!$B$9)+IF(Q894="",0,IF(Q894=200,サマリー!$B$10,IF(Q894=100,サマリー!$B$11,0)))+IF(R894="",0,R894*サマリー!$B$12)</f>
        <v>0</v>
      </c>
      <c r="D894" s="26">
        <f>S894+T894+U894+V894+W894+IF(X894="",0,X894*サマリー!$B$9)+IF(Y894="",0,IF(Y894=200,サマリー!$B$10,IF(Y894=100,サマリー!$B$11,0)))+IF(Z894="",0,Z894*サマリー!$B$12)</f>
        <v>0</v>
      </c>
      <c r="E894" s="26">
        <f t="shared" si="36"/>
        <v>0</v>
      </c>
      <c r="I894" s="29"/>
      <c r="J894" s="29"/>
      <c r="K894" s="29"/>
      <c r="L894" s="29"/>
      <c r="M894" s="29"/>
      <c r="N894" s="29"/>
      <c r="O894" s="29"/>
      <c r="P894" s="30"/>
      <c r="Q894" s="30"/>
      <c r="R894" s="30"/>
      <c r="S894" s="31"/>
      <c r="T894" s="31"/>
      <c r="U894" s="31"/>
      <c r="V894" s="31"/>
      <c r="W894" s="31"/>
      <c r="X894" s="32"/>
      <c r="Y894" s="32"/>
      <c r="Z894" s="32"/>
    </row>
    <row r="895" spans="1:26">
      <c r="A895" s="28"/>
      <c r="B895" s="17">
        <f t="shared" si="35"/>
        <v>46319</v>
      </c>
      <c r="C895" s="26">
        <f>I895+J895+K895+L895+M895+N895+O895+IF(P895="",0,P895*サマリー!$B$9)+IF(Q895="",0,IF(Q895=200,サマリー!$B$10,IF(Q895=100,サマリー!$B$11,0)))+IF(R895="",0,R895*サマリー!$B$12)</f>
        <v>0</v>
      </c>
      <c r="D895" s="26">
        <f>S895+T895+U895+V895+W895+IF(X895="",0,X895*サマリー!$B$9)+IF(Y895="",0,IF(Y895=200,サマリー!$B$10,IF(Y895=100,サマリー!$B$11,0)))+IF(Z895="",0,Z895*サマリー!$B$12)</f>
        <v>0</v>
      </c>
      <c r="E895" s="26">
        <f t="shared" si="36"/>
        <v>0</v>
      </c>
      <c r="I895" s="29"/>
      <c r="J895" s="29"/>
      <c r="K895" s="29"/>
      <c r="L895" s="29"/>
      <c r="M895" s="29"/>
      <c r="N895" s="29"/>
      <c r="O895" s="29"/>
      <c r="P895" s="30"/>
      <c r="Q895" s="30"/>
      <c r="R895" s="30"/>
      <c r="S895" s="31"/>
      <c r="T895" s="31"/>
      <c r="U895" s="31"/>
      <c r="V895" s="31"/>
      <c r="W895" s="31"/>
      <c r="X895" s="32"/>
      <c r="Y895" s="32"/>
      <c r="Z895" s="32"/>
    </row>
    <row r="896" spans="1:26">
      <c r="A896" s="28"/>
      <c r="B896" s="17">
        <f t="shared" si="35"/>
        <v>46319</v>
      </c>
      <c r="C896" s="26">
        <f>I896+J896+K896+L896+M896+N896+O896+IF(P896="",0,P896*サマリー!$B$9)+IF(Q896="",0,IF(Q896=200,サマリー!$B$10,IF(Q896=100,サマリー!$B$11,0)))+IF(R896="",0,R896*サマリー!$B$12)</f>
        <v>0</v>
      </c>
      <c r="D896" s="26">
        <f>S896+T896+U896+V896+W896+IF(X896="",0,X896*サマリー!$B$9)+IF(Y896="",0,IF(Y896=200,サマリー!$B$10,IF(Y896=100,サマリー!$B$11,0)))+IF(Z896="",0,Z896*サマリー!$B$12)</f>
        <v>0</v>
      </c>
      <c r="E896" s="26">
        <f t="shared" si="36"/>
        <v>0</v>
      </c>
      <c r="I896" s="29"/>
      <c r="J896" s="29"/>
      <c r="K896" s="29"/>
      <c r="L896" s="29"/>
      <c r="M896" s="29"/>
      <c r="N896" s="29"/>
      <c r="O896" s="29"/>
      <c r="P896" s="30"/>
      <c r="Q896" s="30"/>
      <c r="R896" s="30"/>
      <c r="S896" s="31"/>
      <c r="T896" s="31"/>
      <c r="U896" s="31"/>
      <c r="V896" s="31"/>
      <c r="W896" s="31"/>
      <c r="X896" s="32"/>
      <c r="Y896" s="32"/>
      <c r="Z896" s="32"/>
    </row>
    <row r="897" spans="1:26">
      <c r="A897" s="28"/>
      <c r="B897" s="17">
        <f t="shared" ref="B897:B960" si="37">IF(A897="",B896,IF(A897&lt;DAY(B896),DATE(YEAR(B896),MONTH(B896)+1,A897),DATE(YEAR(B896),MONTH(B896),A897)))</f>
        <v>46319</v>
      </c>
      <c r="C897" s="26">
        <f>I897+J897+K897+L897+M897+N897+O897+IF(P897="",0,P897*サマリー!$B$9)+IF(Q897="",0,IF(Q897=200,サマリー!$B$10,IF(Q897=100,サマリー!$B$11,0)))+IF(R897="",0,R897*サマリー!$B$12)</f>
        <v>0</v>
      </c>
      <c r="D897" s="26">
        <f>S897+T897+U897+V897+W897+IF(X897="",0,X897*サマリー!$B$9)+IF(Y897="",0,IF(Y897=200,サマリー!$B$10,IF(Y897=100,サマリー!$B$11,0)))+IF(Z897="",0,Z897*サマリー!$B$12)</f>
        <v>0</v>
      </c>
      <c r="E897" s="26">
        <f t="shared" si="36"/>
        <v>0</v>
      </c>
      <c r="I897" s="29"/>
      <c r="J897" s="29"/>
      <c r="K897" s="29"/>
      <c r="L897" s="29"/>
      <c r="M897" s="29"/>
      <c r="N897" s="29"/>
      <c r="O897" s="29"/>
      <c r="P897" s="30"/>
      <c r="Q897" s="30"/>
      <c r="R897" s="30"/>
      <c r="S897" s="31"/>
      <c r="T897" s="31"/>
      <c r="U897" s="31"/>
      <c r="V897" s="31"/>
      <c r="W897" s="31"/>
      <c r="X897" s="32"/>
      <c r="Y897" s="32"/>
      <c r="Z897" s="32"/>
    </row>
    <row r="898" spans="1:26">
      <c r="A898" s="28"/>
      <c r="B898" s="17">
        <f t="shared" si="37"/>
        <v>46319</v>
      </c>
      <c r="C898" s="26">
        <f>I898+J898+K898+L898+M898+N898+O898+IF(P898="",0,P898*サマリー!$B$9)+IF(Q898="",0,IF(Q898=200,サマリー!$B$10,IF(Q898=100,サマリー!$B$11,0)))+IF(R898="",0,R898*サマリー!$B$12)</f>
        <v>0</v>
      </c>
      <c r="D898" s="26">
        <f>S898+T898+U898+V898+W898+IF(X898="",0,X898*サマリー!$B$9)+IF(Y898="",0,IF(Y898=200,サマリー!$B$10,IF(Y898=100,サマリー!$B$11,0)))+IF(Z898="",0,Z898*サマリー!$B$12)</f>
        <v>0</v>
      </c>
      <c r="E898" s="26">
        <f t="shared" si="36"/>
        <v>0</v>
      </c>
      <c r="I898" s="29"/>
      <c r="J898" s="29"/>
      <c r="K898" s="29"/>
      <c r="L898" s="29"/>
      <c r="M898" s="29"/>
      <c r="N898" s="29"/>
      <c r="O898" s="29"/>
      <c r="P898" s="30"/>
      <c r="Q898" s="30"/>
      <c r="R898" s="30"/>
      <c r="S898" s="31"/>
      <c r="T898" s="31"/>
      <c r="U898" s="31"/>
      <c r="V898" s="31"/>
      <c r="W898" s="31"/>
      <c r="X898" s="32"/>
      <c r="Y898" s="32"/>
      <c r="Z898" s="32"/>
    </row>
    <row r="899" spans="1:26">
      <c r="A899" s="28"/>
      <c r="B899" s="17">
        <f t="shared" si="37"/>
        <v>46319</v>
      </c>
      <c r="C899" s="26">
        <f>I899+J899+K899+L899+M899+N899+O899+IF(P899="",0,P899*サマリー!$B$9)+IF(Q899="",0,IF(Q899=200,サマリー!$B$10,IF(Q899=100,サマリー!$B$11,0)))+IF(R899="",0,R899*サマリー!$B$12)</f>
        <v>0</v>
      </c>
      <c r="D899" s="26">
        <f>S899+T899+U899+V899+W899+IF(X899="",0,X899*サマリー!$B$9)+IF(Y899="",0,IF(Y899=200,サマリー!$B$10,IF(Y899=100,サマリー!$B$11,0)))+IF(Z899="",0,Z899*サマリー!$B$12)</f>
        <v>0</v>
      </c>
      <c r="E899" s="26">
        <f t="shared" si="36"/>
        <v>0</v>
      </c>
      <c r="I899" s="29"/>
      <c r="J899" s="29"/>
      <c r="K899" s="29"/>
      <c r="L899" s="29"/>
      <c r="M899" s="29"/>
      <c r="N899" s="29"/>
      <c r="O899" s="29"/>
      <c r="P899" s="30"/>
      <c r="Q899" s="30"/>
      <c r="R899" s="30"/>
      <c r="S899" s="31"/>
      <c r="T899" s="31"/>
      <c r="U899" s="31"/>
      <c r="V899" s="31"/>
      <c r="W899" s="31"/>
      <c r="X899" s="32"/>
      <c r="Y899" s="32"/>
      <c r="Z899" s="32"/>
    </row>
    <row r="900" spans="1:26">
      <c r="A900" s="28"/>
      <c r="B900" s="17">
        <f t="shared" si="37"/>
        <v>46319</v>
      </c>
      <c r="C900" s="26">
        <f>I900+J900+K900+L900+M900+N900+O900+IF(P900="",0,P900*サマリー!$B$9)+IF(Q900="",0,IF(Q900=200,サマリー!$B$10,IF(Q900=100,サマリー!$B$11,0)))+IF(R900="",0,R900*サマリー!$B$12)</f>
        <v>0</v>
      </c>
      <c r="D900" s="26">
        <f>S900+T900+U900+V900+W900+IF(X900="",0,X900*サマリー!$B$9)+IF(Y900="",0,IF(Y900=200,サマリー!$B$10,IF(Y900=100,サマリー!$B$11,0)))+IF(Z900="",0,Z900*サマリー!$B$12)</f>
        <v>0</v>
      </c>
      <c r="E900" s="26">
        <f t="shared" si="36"/>
        <v>0</v>
      </c>
      <c r="I900" s="29"/>
      <c r="J900" s="29"/>
      <c r="K900" s="29"/>
      <c r="L900" s="29"/>
      <c r="M900" s="29"/>
      <c r="N900" s="29"/>
      <c r="O900" s="29"/>
      <c r="P900" s="30"/>
      <c r="Q900" s="30"/>
      <c r="R900" s="30"/>
      <c r="S900" s="31"/>
      <c r="T900" s="31"/>
      <c r="U900" s="31"/>
      <c r="V900" s="31"/>
      <c r="W900" s="31"/>
      <c r="X900" s="32"/>
      <c r="Y900" s="32"/>
      <c r="Z900" s="32"/>
    </row>
    <row r="901" spans="1:26">
      <c r="A901" s="28"/>
      <c r="B901" s="17">
        <f t="shared" si="37"/>
        <v>46319</v>
      </c>
      <c r="C901" s="26">
        <f>I901+J901+K901+L901+M901+N901+O901+IF(P901="",0,P901*サマリー!$B$9)+IF(Q901="",0,IF(Q901=200,サマリー!$B$10,IF(Q901=100,サマリー!$B$11,0)))+IF(R901="",0,R901*サマリー!$B$12)</f>
        <v>0</v>
      </c>
      <c r="D901" s="26">
        <f>S901+T901+U901+V901+W901+IF(X901="",0,X901*サマリー!$B$9)+IF(Y901="",0,IF(Y901=200,サマリー!$B$10,IF(Y901=100,サマリー!$B$11,0)))+IF(Z901="",0,Z901*サマリー!$B$12)</f>
        <v>0</v>
      </c>
      <c r="E901" s="26">
        <f t="shared" si="36"/>
        <v>0</v>
      </c>
      <c r="I901" s="29"/>
      <c r="J901" s="29"/>
      <c r="K901" s="29"/>
      <c r="L901" s="29"/>
      <c r="M901" s="29"/>
      <c r="N901" s="29"/>
      <c r="O901" s="29"/>
      <c r="P901" s="30"/>
      <c r="Q901" s="30"/>
      <c r="R901" s="30"/>
      <c r="S901" s="31"/>
      <c r="T901" s="31"/>
      <c r="U901" s="31"/>
      <c r="V901" s="31"/>
      <c r="W901" s="31"/>
      <c r="X901" s="32"/>
      <c r="Y901" s="32"/>
      <c r="Z901" s="32"/>
    </row>
    <row r="902" spans="1:26">
      <c r="A902" s="28"/>
      <c r="B902" s="17">
        <f t="shared" si="37"/>
        <v>46319</v>
      </c>
      <c r="C902" s="26">
        <f>I902+J902+K902+L902+M902+N902+O902+IF(P902="",0,P902*サマリー!$B$9)+IF(Q902="",0,IF(Q902=200,サマリー!$B$10,IF(Q902=100,サマリー!$B$11,0)))+IF(R902="",0,R902*サマリー!$B$12)</f>
        <v>0</v>
      </c>
      <c r="D902" s="26">
        <f>S902+T902+U902+V902+W902+IF(X902="",0,X902*サマリー!$B$9)+IF(Y902="",0,IF(Y902=200,サマリー!$B$10,IF(Y902=100,サマリー!$B$11,0)))+IF(Z902="",0,Z902*サマリー!$B$12)</f>
        <v>0</v>
      </c>
      <c r="E902" s="26">
        <f t="shared" si="36"/>
        <v>0</v>
      </c>
      <c r="I902" s="29"/>
      <c r="J902" s="29"/>
      <c r="K902" s="29"/>
      <c r="L902" s="29"/>
      <c r="M902" s="29"/>
      <c r="N902" s="29"/>
      <c r="O902" s="29"/>
      <c r="P902" s="30"/>
      <c r="Q902" s="30"/>
      <c r="R902" s="30"/>
      <c r="S902" s="31"/>
      <c r="T902" s="31"/>
      <c r="U902" s="31"/>
      <c r="V902" s="31"/>
      <c r="W902" s="31"/>
      <c r="X902" s="32"/>
      <c r="Y902" s="32"/>
      <c r="Z902" s="32"/>
    </row>
    <row r="903" spans="1:26">
      <c r="A903" s="28"/>
      <c r="B903" s="17">
        <f t="shared" si="37"/>
        <v>46319</v>
      </c>
      <c r="C903" s="26">
        <f>I903+J903+K903+L903+M903+N903+O903+IF(P903="",0,P903*サマリー!$B$9)+IF(Q903="",0,IF(Q903=200,サマリー!$B$10,IF(Q903=100,サマリー!$B$11,0)))+IF(R903="",0,R903*サマリー!$B$12)</f>
        <v>0</v>
      </c>
      <c r="D903" s="26">
        <f>S903+T903+U903+V903+W903+IF(X903="",0,X903*サマリー!$B$9)+IF(Y903="",0,IF(Y903=200,サマリー!$B$10,IF(Y903=100,サマリー!$B$11,0)))+IF(Z903="",0,Z903*サマリー!$B$12)</f>
        <v>0</v>
      </c>
      <c r="E903" s="26">
        <f t="shared" si="36"/>
        <v>0</v>
      </c>
      <c r="I903" s="29"/>
      <c r="J903" s="29"/>
      <c r="K903" s="29"/>
      <c r="L903" s="29"/>
      <c r="M903" s="29"/>
      <c r="N903" s="29"/>
      <c r="O903" s="29"/>
      <c r="P903" s="30"/>
      <c r="Q903" s="30"/>
      <c r="R903" s="30"/>
      <c r="S903" s="31"/>
      <c r="T903" s="31"/>
      <c r="U903" s="31"/>
      <c r="V903" s="31"/>
      <c r="W903" s="31"/>
      <c r="X903" s="32"/>
      <c r="Y903" s="32"/>
      <c r="Z903" s="32"/>
    </row>
    <row r="904" spans="1:26">
      <c r="A904" s="28"/>
      <c r="B904" s="17">
        <f t="shared" si="37"/>
        <v>46319</v>
      </c>
      <c r="C904" s="26">
        <f>I904+J904+K904+L904+M904+N904+O904+IF(P904="",0,P904*サマリー!$B$9)+IF(Q904="",0,IF(Q904=200,サマリー!$B$10,IF(Q904=100,サマリー!$B$11,0)))+IF(R904="",0,R904*サマリー!$B$12)</f>
        <v>0</v>
      </c>
      <c r="D904" s="26">
        <f>S904+T904+U904+V904+W904+IF(X904="",0,X904*サマリー!$B$9)+IF(Y904="",0,IF(Y904=200,サマリー!$B$10,IF(Y904=100,サマリー!$B$11,0)))+IF(Z904="",0,Z904*サマリー!$B$12)</f>
        <v>0</v>
      </c>
      <c r="E904" s="26">
        <f t="shared" si="36"/>
        <v>0</v>
      </c>
      <c r="I904" s="29"/>
      <c r="J904" s="29"/>
      <c r="K904" s="29"/>
      <c r="L904" s="29"/>
      <c r="M904" s="29"/>
      <c r="N904" s="29"/>
      <c r="O904" s="29"/>
      <c r="P904" s="30"/>
      <c r="Q904" s="30"/>
      <c r="R904" s="30"/>
      <c r="S904" s="31"/>
      <c r="T904" s="31"/>
      <c r="U904" s="31"/>
      <c r="V904" s="31"/>
      <c r="W904" s="31"/>
      <c r="X904" s="32"/>
      <c r="Y904" s="32"/>
      <c r="Z904" s="32"/>
    </row>
    <row r="905" spans="1:26">
      <c r="A905" s="28"/>
      <c r="B905" s="17">
        <f t="shared" si="37"/>
        <v>46319</v>
      </c>
      <c r="C905" s="26">
        <f>I905+J905+K905+L905+M905+N905+O905+IF(P905="",0,P905*サマリー!$B$9)+IF(Q905="",0,IF(Q905=200,サマリー!$B$10,IF(Q905=100,サマリー!$B$11,0)))+IF(R905="",0,R905*サマリー!$B$12)</f>
        <v>0</v>
      </c>
      <c r="D905" s="26">
        <f>S905+T905+U905+V905+W905+IF(X905="",0,X905*サマリー!$B$9)+IF(Y905="",0,IF(Y905=200,サマリー!$B$10,IF(Y905=100,サマリー!$B$11,0)))+IF(Z905="",0,Z905*サマリー!$B$12)</f>
        <v>0</v>
      </c>
      <c r="E905" s="26">
        <f t="shared" si="36"/>
        <v>0</v>
      </c>
      <c r="I905" s="29"/>
      <c r="J905" s="29"/>
      <c r="K905" s="29"/>
      <c r="L905" s="29"/>
      <c r="M905" s="29"/>
      <c r="N905" s="29"/>
      <c r="O905" s="29"/>
      <c r="P905" s="30"/>
      <c r="Q905" s="30"/>
      <c r="R905" s="30"/>
      <c r="S905" s="31"/>
      <c r="T905" s="31"/>
      <c r="U905" s="31"/>
      <c r="V905" s="31"/>
      <c r="W905" s="31"/>
      <c r="X905" s="32"/>
      <c r="Y905" s="32"/>
      <c r="Z905" s="32"/>
    </row>
    <row r="906" spans="1:26">
      <c r="A906" s="28"/>
      <c r="B906" s="17">
        <f t="shared" si="37"/>
        <v>46319</v>
      </c>
      <c r="C906" s="26">
        <f>I906+J906+K906+L906+M906+N906+O906+IF(P906="",0,P906*サマリー!$B$9)+IF(Q906="",0,IF(Q906=200,サマリー!$B$10,IF(Q906=100,サマリー!$B$11,0)))+IF(R906="",0,R906*サマリー!$B$12)</f>
        <v>0</v>
      </c>
      <c r="D906" s="26">
        <f>S906+T906+U906+V906+W906+IF(X906="",0,X906*サマリー!$B$9)+IF(Y906="",0,IF(Y906=200,サマリー!$B$10,IF(Y906=100,サマリー!$B$11,0)))+IF(Z906="",0,Z906*サマリー!$B$12)</f>
        <v>0</v>
      </c>
      <c r="E906" s="26">
        <f t="shared" si="36"/>
        <v>0</v>
      </c>
      <c r="I906" s="29"/>
      <c r="J906" s="29"/>
      <c r="K906" s="29"/>
      <c r="L906" s="29"/>
      <c r="M906" s="29"/>
      <c r="N906" s="29"/>
      <c r="O906" s="29"/>
      <c r="P906" s="30"/>
      <c r="Q906" s="30"/>
      <c r="R906" s="30"/>
      <c r="S906" s="31"/>
      <c r="T906" s="31"/>
      <c r="U906" s="31"/>
      <c r="V906" s="31"/>
      <c r="W906" s="31"/>
      <c r="X906" s="32"/>
      <c r="Y906" s="32"/>
      <c r="Z906" s="32"/>
    </row>
    <row r="907" spans="1:26">
      <c r="A907" s="28"/>
      <c r="B907" s="17">
        <f t="shared" si="37"/>
        <v>46319</v>
      </c>
      <c r="C907" s="26">
        <f>I907+J907+K907+L907+M907+N907+O907+IF(P907="",0,P907*サマリー!$B$9)+IF(Q907="",0,IF(Q907=200,サマリー!$B$10,IF(Q907=100,サマリー!$B$11,0)))+IF(R907="",0,R907*サマリー!$B$12)</f>
        <v>0</v>
      </c>
      <c r="D907" s="26">
        <f>S907+T907+U907+V907+W907+IF(X907="",0,X907*サマリー!$B$9)+IF(Y907="",0,IF(Y907=200,サマリー!$B$10,IF(Y907=100,サマリー!$B$11,0)))+IF(Z907="",0,Z907*サマリー!$B$12)</f>
        <v>0</v>
      </c>
      <c r="E907" s="26">
        <f t="shared" si="36"/>
        <v>0</v>
      </c>
      <c r="I907" s="29"/>
      <c r="J907" s="29"/>
      <c r="K907" s="29"/>
      <c r="L907" s="29"/>
      <c r="M907" s="29"/>
      <c r="N907" s="29"/>
      <c r="O907" s="29"/>
      <c r="P907" s="30"/>
      <c r="Q907" s="30"/>
      <c r="R907" s="30"/>
      <c r="S907" s="31"/>
      <c r="T907" s="31"/>
      <c r="U907" s="31"/>
      <c r="V907" s="31"/>
      <c r="W907" s="31"/>
      <c r="X907" s="32"/>
      <c r="Y907" s="32"/>
      <c r="Z907" s="32"/>
    </row>
    <row r="908" spans="1:26">
      <c r="A908" s="28"/>
      <c r="B908" s="17">
        <f t="shared" si="37"/>
        <v>46319</v>
      </c>
      <c r="C908" s="26">
        <f>I908+J908+K908+L908+M908+N908+O908+IF(P908="",0,P908*サマリー!$B$9)+IF(Q908="",0,IF(Q908=200,サマリー!$B$10,IF(Q908=100,サマリー!$B$11,0)))+IF(R908="",0,R908*サマリー!$B$12)</f>
        <v>0</v>
      </c>
      <c r="D908" s="26">
        <f>S908+T908+U908+V908+W908+IF(X908="",0,X908*サマリー!$B$9)+IF(Y908="",0,IF(Y908=200,サマリー!$B$10,IF(Y908=100,サマリー!$B$11,0)))+IF(Z908="",0,Z908*サマリー!$B$12)</f>
        <v>0</v>
      </c>
      <c r="E908" s="26">
        <f t="shared" si="36"/>
        <v>0</v>
      </c>
      <c r="I908" s="29"/>
      <c r="J908" s="29"/>
      <c r="K908" s="29"/>
      <c r="L908" s="29"/>
      <c r="M908" s="29"/>
      <c r="N908" s="29"/>
      <c r="O908" s="29"/>
      <c r="P908" s="30"/>
      <c r="Q908" s="30"/>
      <c r="R908" s="30"/>
      <c r="S908" s="31"/>
      <c r="T908" s="31"/>
      <c r="U908" s="31"/>
      <c r="V908" s="31"/>
      <c r="W908" s="31"/>
      <c r="X908" s="32"/>
      <c r="Y908" s="32"/>
      <c r="Z908" s="32"/>
    </row>
    <row r="909" spans="1:26">
      <c r="A909" s="28"/>
      <c r="B909" s="17">
        <f t="shared" si="37"/>
        <v>46319</v>
      </c>
      <c r="C909" s="26">
        <f>I909+J909+K909+L909+M909+N909+O909+IF(P909="",0,P909*サマリー!$B$9)+IF(Q909="",0,IF(Q909=200,サマリー!$B$10,IF(Q909=100,サマリー!$B$11,0)))+IF(R909="",0,R909*サマリー!$B$12)</f>
        <v>0</v>
      </c>
      <c r="D909" s="26">
        <f>S909+T909+U909+V909+W909+IF(X909="",0,X909*サマリー!$B$9)+IF(Y909="",0,IF(Y909=200,サマリー!$B$10,IF(Y909=100,サマリー!$B$11,0)))+IF(Z909="",0,Z909*サマリー!$B$12)</f>
        <v>0</v>
      </c>
      <c r="E909" s="26">
        <f t="shared" si="36"/>
        <v>0</v>
      </c>
      <c r="I909" s="29"/>
      <c r="J909" s="29"/>
      <c r="K909" s="29"/>
      <c r="L909" s="29"/>
      <c r="M909" s="29"/>
      <c r="N909" s="29"/>
      <c r="O909" s="29"/>
      <c r="P909" s="30"/>
      <c r="Q909" s="30"/>
      <c r="R909" s="30"/>
      <c r="S909" s="31"/>
      <c r="T909" s="31"/>
      <c r="U909" s="31"/>
      <c r="V909" s="31"/>
      <c r="W909" s="31"/>
      <c r="X909" s="32"/>
      <c r="Y909" s="32"/>
      <c r="Z909" s="32"/>
    </row>
    <row r="910" spans="1:26">
      <c r="A910" s="28"/>
      <c r="B910" s="17">
        <f t="shared" si="37"/>
        <v>46319</v>
      </c>
      <c r="C910" s="26">
        <f>I910+J910+K910+L910+M910+N910+O910+IF(P910="",0,P910*サマリー!$B$9)+IF(Q910="",0,IF(Q910=200,サマリー!$B$10,IF(Q910=100,サマリー!$B$11,0)))+IF(R910="",0,R910*サマリー!$B$12)</f>
        <v>0</v>
      </c>
      <c r="D910" s="26">
        <f>S910+T910+U910+V910+W910+IF(X910="",0,X910*サマリー!$B$9)+IF(Y910="",0,IF(Y910=200,サマリー!$B$10,IF(Y910=100,サマリー!$B$11,0)))+IF(Z910="",0,Z910*サマリー!$B$12)</f>
        <v>0</v>
      </c>
      <c r="E910" s="26">
        <f t="shared" si="36"/>
        <v>0</v>
      </c>
      <c r="I910" s="29"/>
      <c r="J910" s="29"/>
      <c r="K910" s="29"/>
      <c r="L910" s="29"/>
      <c r="M910" s="29"/>
      <c r="N910" s="29"/>
      <c r="O910" s="29"/>
      <c r="P910" s="30"/>
      <c r="Q910" s="30"/>
      <c r="R910" s="30"/>
      <c r="S910" s="31"/>
      <c r="T910" s="31"/>
      <c r="U910" s="31"/>
      <c r="V910" s="31"/>
      <c r="W910" s="31"/>
      <c r="X910" s="32"/>
      <c r="Y910" s="32"/>
      <c r="Z910" s="32"/>
    </row>
    <row r="911" spans="1:26">
      <c r="A911" s="28"/>
      <c r="B911" s="17">
        <f t="shared" si="37"/>
        <v>46319</v>
      </c>
      <c r="C911" s="26">
        <f>I911+J911+K911+L911+M911+N911+O911+IF(P911="",0,P911*サマリー!$B$9)+IF(Q911="",0,IF(Q911=200,サマリー!$B$10,IF(Q911=100,サマリー!$B$11,0)))+IF(R911="",0,R911*サマリー!$B$12)</f>
        <v>0</v>
      </c>
      <c r="D911" s="26">
        <f>S911+T911+U911+V911+W911+IF(X911="",0,X911*サマリー!$B$9)+IF(Y911="",0,IF(Y911=200,サマリー!$B$10,IF(Y911=100,サマリー!$B$11,0)))+IF(Z911="",0,Z911*サマリー!$B$12)</f>
        <v>0</v>
      </c>
      <c r="E911" s="26">
        <f t="shared" si="36"/>
        <v>0</v>
      </c>
      <c r="I911" s="29"/>
      <c r="J911" s="29"/>
      <c r="K911" s="29"/>
      <c r="L911" s="29"/>
      <c r="M911" s="29"/>
      <c r="N911" s="29"/>
      <c r="O911" s="29"/>
      <c r="P911" s="30"/>
      <c r="Q911" s="30"/>
      <c r="R911" s="30"/>
      <c r="S911" s="31"/>
      <c r="T911" s="31"/>
      <c r="U911" s="31"/>
      <c r="V911" s="31"/>
      <c r="W911" s="31"/>
      <c r="X911" s="32"/>
      <c r="Y911" s="32"/>
      <c r="Z911" s="32"/>
    </row>
    <row r="912" spans="1:26">
      <c r="A912" s="28"/>
      <c r="B912" s="17">
        <f t="shared" si="37"/>
        <v>46319</v>
      </c>
      <c r="C912" s="26">
        <f>I912+J912+K912+L912+M912+N912+O912+IF(P912="",0,P912*サマリー!$B$9)+IF(Q912="",0,IF(Q912=200,サマリー!$B$10,IF(Q912=100,サマリー!$B$11,0)))+IF(R912="",0,R912*サマリー!$B$12)</f>
        <v>0</v>
      </c>
      <c r="D912" s="26">
        <f>S912+T912+U912+V912+W912+IF(X912="",0,X912*サマリー!$B$9)+IF(Y912="",0,IF(Y912=200,サマリー!$B$10,IF(Y912=100,サマリー!$B$11,0)))+IF(Z912="",0,Z912*サマリー!$B$12)</f>
        <v>0</v>
      </c>
      <c r="E912" s="26">
        <f t="shared" si="36"/>
        <v>0</v>
      </c>
      <c r="I912" s="29"/>
      <c r="J912" s="29"/>
      <c r="K912" s="29"/>
      <c r="L912" s="29"/>
      <c r="M912" s="29"/>
      <c r="N912" s="29"/>
      <c r="O912" s="29"/>
      <c r="P912" s="30"/>
      <c r="Q912" s="30"/>
      <c r="R912" s="30"/>
      <c r="S912" s="31"/>
      <c r="T912" s="31"/>
      <c r="U912" s="31"/>
      <c r="V912" s="31"/>
      <c r="W912" s="31"/>
      <c r="X912" s="32"/>
      <c r="Y912" s="32"/>
      <c r="Z912" s="32"/>
    </row>
    <row r="913" spans="1:26">
      <c r="A913" s="28"/>
      <c r="B913" s="17">
        <f t="shared" si="37"/>
        <v>46319</v>
      </c>
      <c r="C913" s="26">
        <f>I913+J913+K913+L913+M913+N913+O913+IF(P913="",0,P913*サマリー!$B$9)+IF(Q913="",0,IF(Q913=200,サマリー!$B$10,IF(Q913=100,サマリー!$B$11,0)))+IF(R913="",0,R913*サマリー!$B$12)</f>
        <v>0</v>
      </c>
      <c r="D913" s="26">
        <f>S913+T913+U913+V913+W913+IF(X913="",0,X913*サマリー!$B$9)+IF(Y913="",0,IF(Y913=200,サマリー!$B$10,IF(Y913=100,サマリー!$B$11,0)))+IF(Z913="",0,Z913*サマリー!$B$12)</f>
        <v>0</v>
      </c>
      <c r="E913" s="26">
        <f t="shared" si="36"/>
        <v>0</v>
      </c>
      <c r="I913" s="29"/>
      <c r="J913" s="29"/>
      <c r="K913" s="29"/>
      <c r="L913" s="29"/>
      <c r="M913" s="29"/>
      <c r="N913" s="29"/>
      <c r="O913" s="29"/>
      <c r="P913" s="30"/>
      <c r="Q913" s="30"/>
      <c r="R913" s="30"/>
      <c r="S913" s="31"/>
      <c r="T913" s="31"/>
      <c r="U913" s="31"/>
      <c r="V913" s="31"/>
      <c r="W913" s="31"/>
      <c r="X913" s="32"/>
      <c r="Y913" s="32"/>
      <c r="Z913" s="32"/>
    </row>
    <row r="914" spans="1:26">
      <c r="A914" s="28"/>
      <c r="B914" s="17">
        <f t="shared" si="37"/>
        <v>46319</v>
      </c>
      <c r="C914" s="26">
        <f>I914+J914+K914+L914+M914+N914+O914+IF(P914="",0,P914*サマリー!$B$9)+IF(Q914="",0,IF(Q914=200,サマリー!$B$10,IF(Q914=100,サマリー!$B$11,0)))+IF(R914="",0,R914*サマリー!$B$12)</f>
        <v>0</v>
      </c>
      <c r="D914" s="26">
        <f>S914+T914+U914+V914+W914+IF(X914="",0,X914*サマリー!$B$9)+IF(Y914="",0,IF(Y914=200,サマリー!$B$10,IF(Y914=100,サマリー!$B$11,0)))+IF(Z914="",0,Z914*サマリー!$B$12)</f>
        <v>0</v>
      </c>
      <c r="E914" s="26">
        <f t="shared" si="36"/>
        <v>0</v>
      </c>
      <c r="I914" s="29"/>
      <c r="J914" s="29"/>
      <c r="K914" s="29"/>
      <c r="L914" s="29"/>
      <c r="M914" s="29"/>
      <c r="N914" s="29"/>
      <c r="O914" s="29"/>
      <c r="P914" s="30"/>
      <c r="Q914" s="30"/>
      <c r="R914" s="30"/>
      <c r="S914" s="31"/>
      <c r="T914" s="31"/>
      <c r="U914" s="31"/>
      <c r="V914" s="31"/>
      <c r="W914" s="31"/>
      <c r="X914" s="32"/>
      <c r="Y914" s="32"/>
      <c r="Z914" s="32"/>
    </row>
    <row r="915" spans="1:26">
      <c r="A915" s="28"/>
      <c r="B915" s="17">
        <f t="shared" si="37"/>
        <v>46319</v>
      </c>
      <c r="C915" s="26">
        <f>I915+J915+K915+L915+M915+N915+O915+IF(P915="",0,P915*サマリー!$B$9)+IF(Q915="",0,IF(Q915=200,サマリー!$B$10,IF(Q915=100,サマリー!$B$11,0)))+IF(R915="",0,R915*サマリー!$B$12)</f>
        <v>0</v>
      </c>
      <c r="D915" s="26">
        <f>S915+T915+U915+V915+W915+IF(X915="",0,X915*サマリー!$B$9)+IF(Y915="",0,IF(Y915=200,サマリー!$B$10,IF(Y915=100,サマリー!$B$11,0)))+IF(Z915="",0,Z915*サマリー!$B$12)</f>
        <v>0</v>
      </c>
      <c r="E915" s="26">
        <f t="shared" si="36"/>
        <v>0</v>
      </c>
      <c r="I915" s="29"/>
      <c r="J915" s="29"/>
      <c r="K915" s="29"/>
      <c r="L915" s="29"/>
      <c r="M915" s="29"/>
      <c r="N915" s="29"/>
      <c r="O915" s="29"/>
      <c r="P915" s="30"/>
      <c r="Q915" s="30"/>
      <c r="R915" s="30"/>
      <c r="S915" s="31"/>
      <c r="T915" s="31"/>
      <c r="U915" s="31"/>
      <c r="V915" s="31"/>
      <c r="W915" s="31"/>
      <c r="X915" s="32"/>
      <c r="Y915" s="32"/>
      <c r="Z915" s="32"/>
    </row>
    <row r="916" spans="1:26">
      <c r="A916" s="28"/>
      <c r="B916" s="17">
        <f t="shared" si="37"/>
        <v>46319</v>
      </c>
      <c r="C916" s="26">
        <f>I916+J916+K916+L916+M916+N916+O916+IF(P916="",0,P916*サマリー!$B$9)+IF(Q916="",0,IF(Q916=200,サマリー!$B$10,IF(Q916=100,サマリー!$B$11,0)))+IF(R916="",0,R916*サマリー!$B$12)</f>
        <v>0</v>
      </c>
      <c r="D916" s="26">
        <f>S916+T916+U916+V916+W916+IF(X916="",0,X916*サマリー!$B$9)+IF(Y916="",0,IF(Y916=200,サマリー!$B$10,IF(Y916=100,サマリー!$B$11,0)))+IF(Z916="",0,Z916*サマリー!$B$12)</f>
        <v>0</v>
      </c>
      <c r="E916" s="26">
        <f t="shared" si="36"/>
        <v>0</v>
      </c>
      <c r="I916" s="29"/>
      <c r="J916" s="29"/>
      <c r="K916" s="29"/>
      <c r="L916" s="29"/>
      <c r="M916" s="29"/>
      <c r="N916" s="29"/>
      <c r="O916" s="29"/>
      <c r="P916" s="30"/>
      <c r="Q916" s="30"/>
      <c r="R916" s="30"/>
      <c r="S916" s="31"/>
      <c r="T916" s="31"/>
      <c r="U916" s="31"/>
      <c r="V916" s="31"/>
      <c r="W916" s="31"/>
      <c r="X916" s="32"/>
      <c r="Y916" s="32"/>
      <c r="Z916" s="32"/>
    </row>
    <row r="917" spans="1:26">
      <c r="A917" s="28"/>
      <c r="B917" s="17">
        <f t="shared" si="37"/>
        <v>46319</v>
      </c>
      <c r="C917" s="26">
        <f>I917+J917+K917+L917+M917+N917+O917+IF(P917="",0,P917*サマリー!$B$9)+IF(Q917="",0,IF(Q917=200,サマリー!$B$10,IF(Q917=100,サマリー!$B$11,0)))+IF(R917="",0,R917*サマリー!$B$12)</f>
        <v>0</v>
      </c>
      <c r="D917" s="26">
        <f>S917+T917+U917+V917+W917+IF(X917="",0,X917*サマリー!$B$9)+IF(Y917="",0,IF(Y917=200,サマリー!$B$10,IF(Y917=100,サマリー!$B$11,0)))+IF(Z917="",0,Z917*サマリー!$B$12)</f>
        <v>0</v>
      </c>
      <c r="E917" s="26">
        <f t="shared" si="36"/>
        <v>0</v>
      </c>
      <c r="I917" s="29"/>
      <c r="J917" s="29"/>
      <c r="K917" s="29"/>
      <c r="L917" s="29"/>
      <c r="M917" s="29"/>
      <c r="N917" s="29"/>
      <c r="O917" s="29"/>
      <c r="P917" s="30"/>
      <c r="Q917" s="30"/>
      <c r="R917" s="30"/>
      <c r="S917" s="31"/>
      <c r="T917" s="31"/>
      <c r="U917" s="31"/>
      <c r="V917" s="31"/>
      <c r="W917" s="31"/>
      <c r="X917" s="32"/>
      <c r="Y917" s="32"/>
      <c r="Z917" s="32"/>
    </row>
    <row r="918" spans="1:26">
      <c r="A918" s="28"/>
      <c r="B918" s="17">
        <f t="shared" si="37"/>
        <v>46319</v>
      </c>
      <c r="C918" s="26">
        <f>I918+J918+K918+L918+M918+N918+O918+IF(P918="",0,P918*サマリー!$B$9)+IF(Q918="",0,IF(Q918=200,サマリー!$B$10,IF(Q918=100,サマリー!$B$11,0)))+IF(R918="",0,R918*サマリー!$B$12)</f>
        <v>0</v>
      </c>
      <c r="D918" s="26">
        <f>S918+T918+U918+V918+W918+IF(X918="",0,X918*サマリー!$B$9)+IF(Y918="",0,IF(Y918=200,サマリー!$B$10,IF(Y918=100,サマリー!$B$11,0)))+IF(Z918="",0,Z918*サマリー!$B$12)</f>
        <v>0</v>
      </c>
      <c r="E918" s="26">
        <f t="shared" si="36"/>
        <v>0</v>
      </c>
      <c r="I918" s="29"/>
      <c r="J918" s="29"/>
      <c r="K918" s="29"/>
      <c r="L918" s="29"/>
      <c r="M918" s="29"/>
      <c r="N918" s="29"/>
      <c r="O918" s="29"/>
      <c r="P918" s="30"/>
      <c r="Q918" s="30"/>
      <c r="R918" s="30"/>
      <c r="S918" s="31"/>
      <c r="T918" s="31"/>
      <c r="U918" s="31"/>
      <c r="V918" s="31"/>
      <c r="W918" s="31"/>
      <c r="X918" s="32"/>
      <c r="Y918" s="32"/>
      <c r="Z918" s="32"/>
    </row>
    <row r="919" spans="1:26">
      <c r="A919" s="28"/>
      <c r="B919" s="17">
        <f t="shared" si="37"/>
        <v>46319</v>
      </c>
      <c r="C919" s="26">
        <f>I919+J919+K919+L919+M919+N919+O919+IF(P919="",0,P919*サマリー!$B$9)+IF(Q919="",0,IF(Q919=200,サマリー!$B$10,IF(Q919=100,サマリー!$B$11,0)))+IF(R919="",0,R919*サマリー!$B$12)</f>
        <v>0</v>
      </c>
      <c r="D919" s="26">
        <f>S919+T919+U919+V919+W919+IF(X919="",0,X919*サマリー!$B$9)+IF(Y919="",0,IF(Y919=200,サマリー!$B$10,IF(Y919=100,サマリー!$B$11,0)))+IF(Z919="",0,Z919*サマリー!$B$12)</f>
        <v>0</v>
      </c>
      <c r="E919" s="26">
        <f t="shared" si="36"/>
        <v>0</v>
      </c>
      <c r="I919" s="29"/>
      <c r="J919" s="29"/>
      <c r="K919" s="29"/>
      <c r="L919" s="29"/>
      <c r="M919" s="29"/>
      <c r="N919" s="29"/>
      <c r="O919" s="29"/>
      <c r="P919" s="30"/>
      <c r="Q919" s="30"/>
      <c r="R919" s="30"/>
      <c r="S919" s="31"/>
      <c r="T919" s="31"/>
      <c r="U919" s="31"/>
      <c r="V919" s="31"/>
      <c r="W919" s="31"/>
      <c r="X919" s="32"/>
      <c r="Y919" s="32"/>
      <c r="Z919" s="32"/>
    </row>
    <row r="920" spans="1:26">
      <c r="A920" s="28"/>
      <c r="B920" s="17">
        <f t="shared" si="37"/>
        <v>46319</v>
      </c>
      <c r="C920" s="26">
        <f>I920+J920+K920+L920+M920+N920+O920+IF(P920="",0,P920*サマリー!$B$9)+IF(Q920="",0,IF(Q920=200,サマリー!$B$10,IF(Q920=100,サマリー!$B$11,0)))+IF(R920="",0,R920*サマリー!$B$12)</f>
        <v>0</v>
      </c>
      <c r="D920" s="26">
        <f>S920+T920+U920+V920+W920+IF(X920="",0,X920*サマリー!$B$9)+IF(Y920="",0,IF(Y920=200,サマリー!$B$10,IF(Y920=100,サマリー!$B$11,0)))+IF(Z920="",0,Z920*サマリー!$B$12)</f>
        <v>0</v>
      </c>
      <c r="E920" s="26">
        <f t="shared" si="36"/>
        <v>0</v>
      </c>
      <c r="I920" s="29"/>
      <c r="J920" s="29"/>
      <c r="K920" s="29"/>
      <c r="L920" s="29"/>
      <c r="M920" s="29"/>
      <c r="N920" s="29"/>
      <c r="O920" s="29"/>
      <c r="P920" s="30"/>
      <c r="Q920" s="30"/>
      <c r="R920" s="30"/>
      <c r="S920" s="31"/>
      <c r="T920" s="31"/>
      <c r="U920" s="31"/>
      <c r="V920" s="31"/>
      <c r="W920" s="31"/>
      <c r="X920" s="32"/>
      <c r="Y920" s="32"/>
      <c r="Z920" s="32"/>
    </row>
    <row r="921" spans="1:26">
      <c r="A921" s="28"/>
      <c r="B921" s="17">
        <f t="shared" si="37"/>
        <v>46319</v>
      </c>
      <c r="C921" s="26">
        <f>I921+J921+K921+L921+M921+N921+O921+IF(P921="",0,P921*サマリー!$B$9)+IF(Q921="",0,IF(Q921=200,サマリー!$B$10,IF(Q921=100,サマリー!$B$11,0)))+IF(R921="",0,R921*サマリー!$B$12)</f>
        <v>0</v>
      </c>
      <c r="D921" s="26">
        <f>S921+T921+U921+V921+W921+IF(X921="",0,X921*サマリー!$B$9)+IF(Y921="",0,IF(Y921=200,サマリー!$B$10,IF(Y921=100,サマリー!$B$11,0)))+IF(Z921="",0,Z921*サマリー!$B$12)</f>
        <v>0</v>
      </c>
      <c r="E921" s="26">
        <f t="shared" si="36"/>
        <v>0</v>
      </c>
      <c r="I921" s="29"/>
      <c r="J921" s="29"/>
      <c r="K921" s="29"/>
      <c r="L921" s="29"/>
      <c r="M921" s="29"/>
      <c r="N921" s="29"/>
      <c r="O921" s="29"/>
      <c r="P921" s="30"/>
      <c r="Q921" s="30"/>
      <c r="R921" s="30"/>
      <c r="S921" s="31"/>
      <c r="T921" s="31"/>
      <c r="U921" s="31"/>
      <c r="V921" s="31"/>
      <c r="W921" s="31"/>
      <c r="X921" s="32"/>
      <c r="Y921" s="32"/>
      <c r="Z921" s="32"/>
    </row>
    <row r="922" spans="1:26">
      <c r="A922" s="28"/>
      <c r="B922" s="17">
        <f t="shared" si="37"/>
        <v>46319</v>
      </c>
      <c r="C922" s="26">
        <f>I922+J922+K922+L922+M922+N922+O922+IF(P922="",0,P922*サマリー!$B$9)+IF(Q922="",0,IF(Q922=200,サマリー!$B$10,IF(Q922=100,サマリー!$B$11,0)))+IF(R922="",0,R922*サマリー!$B$12)</f>
        <v>0</v>
      </c>
      <c r="D922" s="26">
        <f>S922+T922+U922+V922+W922+IF(X922="",0,X922*サマリー!$B$9)+IF(Y922="",0,IF(Y922=200,サマリー!$B$10,IF(Y922=100,サマリー!$B$11,0)))+IF(Z922="",0,Z922*サマリー!$B$12)</f>
        <v>0</v>
      </c>
      <c r="E922" s="26">
        <f t="shared" si="36"/>
        <v>0</v>
      </c>
      <c r="I922" s="29"/>
      <c r="J922" s="29"/>
      <c r="K922" s="29"/>
      <c r="L922" s="29"/>
      <c r="M922" s="29"/>
      <c r="N922" s="29"/>
      <c r="O922" s="29"/>
      <c r="P922" s="30"/>
      <c r="Q922" s="30"/>
      <c r="R922" s="30"/>
      <c r="S922" s="31"/>
      <c r="T922" s="31"/>
      <c r="U922" s="31"/>
      <c r="V922" s="31"/>
      <c r="W922" s="31"/>
      <c r="X922" s="32"/>
      <c r="Y922" s="32"/>
      <c r="Z922" s="32"/>
    </row>
    <row r="923" spans="1:26">
      <c r="A923" s="28"/>
      <c r="B923" s="17">
        <f t="shared" si="37"/>
        <v>46319</v>
      </c>
      <c r="C923" s="26">
        <f>I923+J923+K923+L923+M923+N923+O923+IF(P923="",0,P923*サマリー!$B$9)+IF(Q923="",0,IF(Q923=200,サマリー!$B$10,IF(Q923=100,サマリー!$B$11,0)))+IF(R923="",0,R923*サマリー!$B$12)</f>
        <v>0</v>
      </c>
      <c r="D923" s="26">
        <f>S923+T923+U923+V923+W923+IF(X923="",0,X923*サマリー!$B$9)+IF(Y923="",0,IF(Y923=200,サマリー!$B$10,IF(Y923=100,サマリー!$B$11,0)))+IF(Z923="",0,Z923*サマリー!$B$12)</f>
        <v>0</v>
      </c>
      <c r="E923" s="26">
        <f t="shared" si="36"/>
        <v>0</v>
      </c>
      <c r="I923" s="29"/>
      <c r="J923" s="29"/>
      <c r="K923" s="29"/>
      <c r="L923" s="29"/>
      <c r="M923" s="29"/>
      <c r="N923" s="29"/>
      <c r="O923" s="29"/>
      <c r="P923" s="30"/>
      <c r="Q923" s="30"/>
      <c r="R923" s="30"/>
      <c r="S923" s="31"/>
      <c r="T923" s="31"/>
      <c r="U923" s="31"/>
      <c r="V923" s="31"/>
      <c r="W923" s="31"/>
      <c r="X923" s="32"/>
      <c r="Y923" s="32"/>
      <c r="Z923" s="32"/>
    </row>
    <row r="924" spans="1:26">
      <c r="A924" s="28"/>
      <c r="B924" s="17">
        <f t="shared" si="37"/>
        <v>46319</v>
      </c>
      <c r="C924" s="26">
        <f>I924+J924+K924+L924+M924+N924+O924+IF(P924="",0,P924*サマリー!$B$9)+IF(Q924="",0,IF(Q924=200,サマリー!$B$10,IF(Q924=100,サマリー!$B$11,0)))+IF(R924="",0,R924*サマリー!$B$12)</f>
        <v>0</v>
      </c>
      <c r="D924" s="26">
        <f>S924+T924+U924+V924+W924+IF(X924="",0,X924*サマリー!$B$9)+IF(Y924="",0,IF(Y924=200,サマリー!$B$10,IF(Y924=100,サマリー!$B$11,0)))+IF(Z924="",0,Z924*サマリー!$B$12)</f>
        <v>0</v>
      </c>
      <c r="E924" s="26">
        <f t="shared" si="36"/>
        <v>0</v>
      </c>
      <c r="I924" s="29"/>
      <c r="J924" s="29"/>
      <c r="K924" s="29"/>
      <c r="L924" s="29"/>
      <c r="M924" s="29"/>
      <c r="N924" s="29"/>
      <c r="O924" s="29"/>
      <c r="P924" s="30"/>
      <c r="Q924" s="30"/>
      <c r="R924" s="30"/>
      <c r="S924" s="31"/>
      <c r="T924" s="31"/>
      <c r="U924" s="31"/>
      <c r="V924" s="31"/>
      <c r="W924" s="31"/>
      <c r="X924" s="32"/>
      <c r="Y924" s="32"/>
      <c r="Z924" s="32"/>
    </row>
    <row r="925" spans="1:26">
      <c r="A925" s="28"/>
      <c r="B925" s="17">
        <f t="shared" si="37"/>
        <v>46319</v>
      </c>
      <c r="C925" s="26">
        <f>I925+J925+K925+L925+M925+N925+O925+IF(P925="",0,P925*サマリー!$B$9)+IF(Q925="",0,IF(Q925=200,サマリー!$B$10,IF(Q925=100,サマリー!$B$11,0)))+IF(R925="",0,R925*サマリー!$B$12)</f>
        <v>0</v>
      </c>
      <c r="D925" s="26">
        <f>S925+T925+U925+V925+W925+IF(X925="",0,X925*サマリー!$B$9)+IF(Y925="",0,IF(Y925=200,サマリー!$B$10,IF(Y925=100,サマリー!$B$11,0)))+IF(Z925="",0,Z925*サマリー!$B$12)</f>
        <v>0</v>
      </c>
      <c r="E925" s="26">
        <f t="shared" si="36"/>
        <v>0</v>
      </c>
      <c r="I925" s="29"/>
      <c r="J925" s="29"/>
      <c r="K925" s="29"/>
      <c r="L925" s="29"/>
      <c r="M925" s="29"/>
      <c r="N925" s="29"/>
      <c r="O925" s="29"/>
      <c r="P925" s="30"/>
      <c r="Q925" s="30"/>
      <c r="R925" s="30"/>
      <c r="S925" s="31"/>
      <c r="T925" s="31"/>
      <c r="U925" s="31"/>
      <c r="V925" s="31"/>
      <c r="W925" s="31"/>
      <c r="X925" s="32"/>
      <c r="Y925" s="32"/>
      <c r="Z925" s="32"/>
    </row>
    <row r="926" spans="1:26">
      <c r="A926" s="28"/>
      <c r="B926" s="17">
        <f t="shared" si="37"/>
        <v>46319</v>
      </c>
      <c r="C926" s="26">
        <f>I926+J926+K926+L926+M926+N926+O926+IF(P926="",0,P926*サマリー!$B$9)+IF(Q926="",0,IF(Q926=200,サマリー!$B$10,IF(Q926=100,サマリー!$B$11,0)))+IF(R926="",0,R926*サマリー!$B$12)</f>
        <v>0</v>
      </c>
      <c r="D926" s="26">
        <f>S926+T926+U926+V926+W926+IF(X926="",0,X926*サマリー!$B$9)+IF(Y926="",0,IF(Y926=200,サマリー!$B$10,IF(Y926=100,サマリー!$B$11,0)))+IF(Z926="",0,Z926*サマリー!$B$12)</f>
        <v>0</v>
      </c>
      <c r="E926" s="26">
        <f t="shared" si="36"/>
        <v>0</v>
      </c>
      <c r="I926" s="29"/>
      <c r="J926" s="29"/>
      <c r="K926" s="29"/>
      <c r="L926" s="29"/>
      <c r="M926" s="29"/>
      <c r="N926" s="29"/>
      <c r="O926" s="29"/>
      <c r="P926" s="30"/>
      <c r="Q926" s="30"/>
      <c r="R926" s="30"/>
      <c r="S926" s="31"/>
      <c r="T926" s="31"/>
      <c r="U926" s="31"/>
      <c r="V926" s="31"/>
      <c r="W926" s="31"/>
      <c r="X926" s="32"/>
      <c r="Y926" s="32"/>
      <c r="Z926" s="32"/>
    </row>
    <row r="927" spans="1:26">
      <c r="A927" s="28"/>
      <c r="B927" s="17">
        <f t="shared" si="37"/>
        <v>46319</v>
      </c>
      <c r="C927" s="26">
        <f>I927+J927+K927+L927+M927+N927+O927+IF(P927="",0,P927*サマリー!$B$9)+IF(Q927="",0,IF(Q927=200,サマリー!$B$10,IF(Q927=100,サマリー!$B$11,0)))+IF(R927="",0,R927*サマリー!$B$12)</f>
        <v>0</v>
      </c>
      <c r="D927" s="26">
        <f>S927+T927+U927+V927+W927+IF(X927="",0,X927*サマリー!$B$9)+IF(Y927="",0,IF(Y927=200,サマリー!$B$10,IF(Y927=100,サマリー!$B$11,0)))+IF(Z927="",0,Z927*サマリー!$B$12)</f>
        <v>0</v>
      </c>
      <c r="E927" s="26">
        <f t="shared" si="36"/>
        <v>0</v>
      </c>
      <c r="I927" s="29"/>
      <c r="J927" s="29"/>
      <c r="K927" s="29"/>
      <c r="L927" s="29"/>
      <c r="M927" s="29"/>
      <c r="N927" s="29"/>
      <c r="O927" s="29"/>
      <c r="P927" s="30"/>
      <c r="Q927" s="30"/>
      <c r="R927" s="30"/>
      <c r="S927" s="31"/>
      <c r="T927" s="31"/>
      <c r="U927" s="31"/>
      <c r="V927" s="31"/>
      <c r="W927" s="31"/>
      <c r="X927" s="32"/>
      <c r="Y927" s="32"/>
      <c r="Z927" s="32"/>
    </row>
    <row r="928" spans="1:26">
      <c r="A928" s="28"/>
      <c r="B928" s="17">
        <f t="shared" si="37"/>
        <v>46319</v>
      </c>
      <c r="C928" s="26">
        <f>I928+J928+K928+L928+M928+N928+O928+IF(P928="",0,P928*サマリー!$B$9)+IF(Q928="",0,IF(Q928=200,サマリー!$B$10,IF(Q928=100,サマリー!$B$11,0)))+IF(R928="",0,R928*サマリー!$B$12)</f>
        <v>0</v>
      </c>
      <c r="D928" s="26">
        <f>S928+T928+U928+V928+W928+IF(X928="",0,X928*サマリー!$B$9)+IF(Y928="",0,IF(Y928=200,サマリー!$B$10,IF(Y928=100,サマリー!$B$11,0)))+IF(Z928="",0,Z928*サマリー!$B$12)</f>
        <v>0</v>
      </c>
      <c r="E928" s="26">
        <f t="shared" si="36"/>
        <v>0</v>
      </c>
      <c r="I928" s="29"/>
      <c r="J928" s="29"/>
      <c r="K928" s="29"/>
      <c r="L928" s="29"/>
      <c r="M928" s="29"/>
      <c r="N928" s="29"/>
      <c r="O928" s="29"/>
      <c r="P928" s="30"/>
      <c r="Q928" s="30"/>
      <c r="R928" s="30"/>
      <c r="S928" s="31"/>
      <c r="T928" s="31"/>
      <c r="U928" s="31"/>
      <c r="V928" s="31"/>
      <c r="W928" s="31"/>
      <c r="X928" s="32"/>
      <c r="Y928" s="32"/>
      <c r="Z928" s="32"/>
    </row>
    <row r="929" spans="1:26">
      <c r="A929" s="28"/>
      <c r="B929" s="17">
        <f t="shared" si="37"/>
        <v>46319</v>
      </c>
      <c r="C929" s="26">
        <f>I929+J929+K929+L929+M929+N929+O929+IF(P929="",0,P929*サマリー!$B$9)+IF(Q929="",0,IF(Q929=200,サマリー!$B$10,IF(Q929=100,サマリー!$B$11,0)))+IF(R929="",0,R929*サマリー!$B$12)</f>
        <v>0</v>
      </c>
      <c r="D929" s="26">
        <f>S929+T929+U929+V929+W929+IF(X929="",0,X929*サマリー!$B$9)+IF(Y929="",0,IF(Y929=200,サマリー!$B$10,IF(Y929=100,サマリー!$B$11,0)))+IF(Z929="",0,Z929*サマリー!$B$12)</f>
        <v>0</v>
      </c>
      <c r="E929" s="26">
        <f t="shared" si="36"/>
        <v>0</v>
      </c>
      <c r="I929" s="29"/>
      <c r="J929" s="29"/>
      <c r="K929" s="29"/>
      <c r="L929" s="29"/>
      <c r="M929" s="29"/>
      <c r="N929" s="29"/>
      <c r="O929" s="29"/>
      <c r="P929" s="30"/>
      <c r="Q929" s="30"/>
      <c r="R929" s="30"/>
      <c r="S929" s="31"/>
      <c r="T929" s="31"/>
      <c r="U929" s="31"/>
      <c r="V929" s="31"/>
      <c r="W929" s="31"/>
      <c r="X929" s="32"/>
      <c r="Y929" s="32"/>
      <c r="Z929" s="32"/>
    </row>
    <row r="930" spans="1:26">
      <c r="A930" s="28"/>
      <c r="B930" s="17">
        <f t="shared" si="37"/>
        <v>46319</v>
      </c>
      <c r="C930" s="26">
        <f>I930+J930+K930+L930+M930+N930+O930+IF(P930="",0,P930*サマリー!$B$9)+IF(Q930="",0,IF(Q930=200,サマリー!$B$10,IF(Q930=100,サマリー!$B$11,0)))+IF(R930="",0,R930*サマリー!$B$12)</f>
        <v>0</v>
      </c>
      <c r="D930" s="26">
        <f>S930+T930+U930+V930+W930+IF(X930="",0,X930*サマリー!$B$9)+IF(Y930="",0,IF(Y930=200,サマリー!$B$10,IF(Y930=100,サマリー!$B$11,0)))+IF(Z930="",0,Z930*サマリー!$B$12)</f>
        <v>0</v>
      </c>
      <c r="E930" s="26">
        <f t="shared" si="36"/>
        <v>0</v>
      </c>
      <c r="I930" s="29"/>
      <c r="J930" s="29"/>
      <c r="K930" s="29"/>
      <c r="L930" s="29"/>
      <c r="M930" s="29"/>
      <c r="N930" s="29"/>
      <c r="O930" s="29"/>
      <c r="P930" s="30"/>
      <c r="Q930" s="30"/>
      <c r="R930" s="30"/>
      <c r="S930" s="31"/>
      <c r="T930" s="31"/>
      <c r="U930" s="31"/>
      <c r="V930" s="31"/>
      <c r="W930" s="31"/>
      <c r="X930" s="32"/>
      <c r="Y930" s="32"/>
      <c r="Z930" s="32"/>
    </row>
    <row r="931" spans="1:26">
      <c r="A931" s="28"/>
      <c r="B931" s="17">
        <f t="shared" si="37"/>
        <v>46319</v>
      </c>
      <c r="C931" s="26">
        <f>I931+J931+K931+L931+M931+N931+O931+IF(P931="",0,P931*サマリー!$B$9)+IF(Q931="",0,IF(Q931=200,サマリー!$B$10,IF(Q931=100,サマリー!$B$11,0)))+IF(R931="",0,R931*サマリー!$B$12)</f>
        <v>0</v>
      </c>
      <c r="D931" s="26">
        <f>S931+T931+U931+V931+W931+IF(X931="",0,X931*サマリー!$B$9)+IF(Y931="",0,IF(Y931=200,サマリー!$B$10,IF(Y931=100,サマリー!$B$11,0)))+IF(Z931="",0,Z931*サマリー!$B$12)</f>
        <v>0</v>
      </c>
      <c r="E931" s="26">
        <f t="shared" ref="E931:E994" si="38">C931+D931</f>
        <v>0</v>
      </c>
      <c r="I931" s="29"/>
      <c r="J931" s="29"/>
      <c r="K931" s="29"/>
      <c r="L931" s="29"/>
      <c r="M931" s="29"/>
      <c r="N931" s="29"/>
      <c r="O931" s="29"/>
      <c r="P931" s="30"/>
      <c r="Q931" s="30"/>
      <c r="R931" s="30"/>
      <c r="S931" s="31"/>
      <c r="T931" s="31"/>
      <c r="U931" s="31"/>
      <c r="V931" s="31"/>
      <c r="W931" s="31"/>
      <c r="X931" s="32"/>
      <c r="Y931" s="32"/>
      <c r="Z931" s="32"/>
    </row>
    <row r="932" spans="1:26">
      <c r="A932" s="28"/>
      <c r="B932" s="17">
        <f t="shared" si="37"/>
        <v>46319</v>
      </c>
      <c r="C932" s="26">
        <f>I932+J932+K932+L932+M932+N932+O932+IF(P932="",0,P932*サマリー!$B$9)+IF(Q932="",0,IF(Q932=200,サマリー!$B$10,IF(Q932=100,サマリー!$B$11,0)))+IF(R932="",0,R932*サマリー!$B$12)</f>
        <v>0</v>
      </c>
      <c r="D932" s="26">
        <f>S932+T932+U932+V932+W932+IF(X932="",0,X932*サマリー!$B$9)+IF(Y932="",0,IF(Y932=200,サマリー!$B$10,IF(Y932=100,サマリー!$B$11,0)))+IF(Z932="",0,Z932*サマリー!$B$12)</f>
        <v>0</v>
      </c>
      <c r="E932" s="26">
        <f t="shared" si="38"/>
        <v>0</v>
      </c>
      <c r="I932" s="29"/>
      <c r="J932" s="29"/>
      <c r="K932" s="29"/>
      <c r="L932" s="29"/>
      <c r="M932" s="29"/>
      <c r="N932" s="29"/>
      <c r="O932" s="29"/>
      <c r="P932" s="30"/>
      <c r="Q932" s="30"/>
      <c r="R932" s="30"/>
      <c r="S932" s="31"/>
      <c r="T932" s="31"/>
      <c r="U932" s="31"/>
      <c r="V932" s="31"/>
      <c r="W932" s="31"/>
      <c r="X932" s="32"/>
      <c r="Y932" s="32"/>
      <c r="Z932" s="32"/>
    </row>
    <row r="933" spans="1:26">
      <c r="A933" s="28"/>
      <c r="B933" s="17">
        <f t="shared" si="37"/>
        <v>46319</v>
      </c>
      <c r="C933" s="26">
        <f>I933+J933+K933+L933+M933+N933+O933+IF(P933="",0,P933*サマリー!$B$9)+IF(Q933="",0,IF(Q933=200,サマリー!$B$10,IF(Q933=100,サマリー!$B$11,0)))+IF(R933="",0,R933*サマリー!$B$12)</f>
        <v>0</v>
      </c>
      <c r="D933" s="26">
        <f>S933+T933+U933+V933+W933+IF(X933="",0,X933*サマリー!$B$9)+IF(Y933="",0,IF(Y933=200,サマリー!$B$10,IF(Y933=100,サマリー!$B$11,0)))+IF(Z933="",0,Z933*サマリー!$B$12)</f>
        <v>0</v>
      </c>
      <c r="E933" s="26">
        <f t="shared" si="38"/>
        <v>0</v>
      </c>
      <c r="I933" s="29"/>
      <c r="J933" s="29"/>
      <c r="K933" s="29"/>
      <c r="L933" s="29"/>
      <c r="M933" s="29"/>
      <c r="N933" s="29"/>
      <c r="O933" s="29"/>
      <c r="P933" s="30"/>
      <c r="Q933" s="30"/>
      <c r="R933" s="30"/>
      <c r="S933" s="31"/>
      <c r="T933" s="31"/>
      <c r="U933" s="31"/>
      <c r="V933" s="31"/>
      <c r="W933" s="31"/>
      <c r="X933" s="32"/>
      <c r="Y933" s="32"/>
      <c r="Z933" s="32"/>
    </row>
    <row r="934" spans="1:26">
      <c r="A934" s="28"/>
      <c r="B934" s="17">
        <f t="shared" si="37"/>
        <v>46319</v>
      </c>
      <c r="C934" s="26">
        <f>I934+J934+K934+L934+M934+N934+O934+IF(P934="",0,P934*サマリー!$B$9)+IF(Q934="",0,IF(Q934=200,サマリー!$B$10,IF(Q934=100,サマリー!$B$11,0)))+IF(R934="",0,R934*サマリー!$B$12)</f>
        <v>0</v>
      </c>
      <c r="D934" s="26">
        <f>S934+T934+U934+V934+W934+IF(X934="",0,X934*サマリー!$B$9)+IF(Y934="",0,IF(Y934=200,サマリー!$B$10,IF(Y934=100,サマリー!$B$11,0)))+IF(Z934="",0,Z934*サマリー!$B$12)</f>
        <v>0</v>
      </c>
      <c r="E934" s="26">
        <f t="shared" si="38"/>
        <v>0</v>
      </c>
      <c r="I934" s="29"/>
      <c r="J934" s="29"/>
      <c r="K934" s="29"/>
      <c r="L934" s="29"/>
      <c r="M934" s="29"/>
      <c r="N934" s="29"/>
      <c r="O934" s="29"/>
      <c r="P934" s="30"/>
      <c r="Q934" s="30"/>
      <c r="R934" s="30"/>
      <c r="S934" s="31"/>
      <c r="T934" s="31"/>
      <c r="U934" s="31"/>
      <c r="V934" s="31"/>
      <c r="W934" s="31"/>
      <c r="X934" s="32"/>
      <c r="Y934" s="32"/>
      <c r="Z934" s="32"/>
    </row>
    <row r="935" spans="1:26">
      <c r="A935" s="28"/>
      <c r="B935" s="17">
        <f t="shared" si="37"/>
        <v>46319</v>
      </c>
      <c r="C935" s="26">
        <f>I935+J935+K935+L935+M935+N935+O935+IF(P935="",0,P935*サマリー!$B$9)+IF(Q935="",0,IF(Q935=200,サマリー!$B$10,IF(Q935=100,サマリー!$B$11,0)))+IF(R935="",0,R935*サマリー!$B$12)</f>
        <v>0</v>
      </c>
      <c r="D935" s="26">
        <f>S935+T935+U935+V935+W935+IF(X935="",0,X935*サマリー!$B$9)+IF(Y935="",0,IF(Y935=200,サマリー!$B$10,IF(Y935=100,サマリー!$B$11,0)))+IF(Z935="",0,Z935*サマリー!$B$12)</f>
        <v>0</v>
      </c>
      <c r="E935" s="26">
        <f t="shared" si="38"/>
        <v>0</v>
      </c>
      <c r="I935" s="29"/>
      <c r="J935" s="29"/>
      <c r="K935" s="29"/>
      <c r="L935" s="29"/>
      <c r="M935" s="29"/>
      <c r="N935" s="29"/>
      <c r="O935" s="29"/>
      <c r="P935" s="30"/>
      <c r="Q935" s="30"/>
      <c r="R935" s="30"/>
      <c r="S935" s="31"/>
      <c r="T935" s="31"/>
      <c r="U935" s="31"/>
      <c r="V935" s="31"/>
      <c r="W935" s="31"/>
      <c r="X935" s="32"/>
      <c r="Y935" s="32"/>
      <c r="Z935" s="32"/>
    </row>
    <row r="936" spans="1:26">
      <c r="A936" s="28"/>
      <c r="B936" s="17">
        <f t="shared" si="37"/>
        <v>46319</v>
      </c>
      <c r="C936" s="26">
        <f>I936+J936+K936+L936+M936+N936+O936+IF(P936="",0,P936*サマリー!$B$9)+IF(Q936="",0,IF(Q936=200,サマリー!$B$10,IF(Q936=100,サマリー!$B$11,0)))+IF(R936="",0,R936*サマリー!$B$12)</f>
        <v>0</v>
      </c>
      <c r="D936" s="26">
        <f>S936+T936+U936+V936+W936+IF(X936="",0,X936*サマリー!$B$9)+IF(Y936="",0,IF(Y936=200,サマリー!$B$10,IF(Y936=100,サマリー!$B$11,0)))+IF(Z936="",0,Z936*サマリー!$B$12)</f>
        <v>0</v>
      </c>
      <c r="E936" s="26">
        <f t="shared" si="38"/>
        <v>0</v>
      </c>
      <c r="I936" s="29"/>
      <c r="J936" s="29"/>
      <c r="K936" s="29"/>
      <c r="L936" s="29"/>
      <c r="M936" s="29"/>
      <c r="N936" s="29"/>
      <c r="O936" s="29"/>
      <c r="P936" s="30"/>
      <c r="Q936" s="30"/>
      <c r="R936" s="30"/>
      <c r="S936" s="31"/>
      <c r="T936" s="31"/>
      <c r="U936" s="31"/>
      <c r="V936" s="31"/>
      <c r="W936" s="31"/>
      <c r="X936" s="32"/>
      <c r="Y936" s="32"/>
      <c r="Z936" s="32"/>
    </row>
    <row r="937" spans="1:26">
      <c r="A937" s="28"/>
      <c r="B937" s="17">
        <f t="shared" si="37"/>
        <v>46319</v>
      </c>
      <c r="C937" s="26">
        <f>I937+J937+K937+L937+M937+N937+O937+IF(P937="",0,P937*サマリー!$B$9)+IF(Q937="",0,IF(Q937=200,サマリー!$B$10,IF(Q937=100,サマリー!$B$11,0)))+IF(R937="",0,R937*サマリー!$B$12)</f>
        <v>0</v>
      </c>
      <c r="D937" s="26">
        <f>S937+T937+U937+V937+W937+IF(X937="",0,X937*サマリー!$B$9)+IF(Y937="",0,IF(Y937=200,サマリー!$B$10,IF(Y937=100,サマリー!$B$11,0)))+IF(Z937="",0,Z937*サマリー!$B$12)</f>
        <v>0</v>
      </c>
      <c r="E937" s="26">
        <f t="shared" si="38"/>
        <v>0</v>
      </c>
      <c r="I937" s="29"/>
      <c r="J937" s="29"/>
      <c r="K937" s="29"/>
      <c r="L937" s="29"/>
      <c r="M937" s="29"/>
      <c r="N937" s="29"/>
      <c r="O937" s="29"/>
      <c r="P937" s="30"/>
      <c r="Q937" s="30"/>
      <c r="R937" s="30"/>
      <c r="S937" s="31"/>
      <c r="T937" s="31"/>
      <c r="U937" s="31"/>
      <c r="V937" s="31"/>
      <c r="W937" s="31"/>
      <c r="X937" s="32"/>
      <c r="Y937" s="32"/>
      <c r="Z937" s="32"/>
    </row>
    <row r="938" spans="1:26">
      <c r="A938" s="28"/>
      <c r="B938" s="17">
        <f t="shared" si="37"/>
        <v>46319</v>
      </c>
      <c r="C938" s="26">
        <f>I938+J938+K938+L938+M938+N938+O938+IF(P938="",0,P938*サマリー!$B$9)+IF(Q938="",0,IF(Q938=200,サマリー!$B$10,IF(Q938=100,サマリー!$B$11,0)))+IF(R938="",0,R938*サマリー!$B$12)</f>
        <v>0</v>
      </c>
      <c r="D938" s="26">
        <f>S938+T938+U938+V938+W938+IF(X938="",0,X938*サマリー!$B$9)+IF(Y938="",0,IF(Y938=200,サマリー!$B$10,IF(Y938=100,サマリー!$B$11,0)))+IF(Z938="",0,Z938*サマリー!$B$12)</f>
        <v>0</v>
      </c>
      <c r="E938" s="26">
        <f t="shared" si="38"/>
        <v>0</v>
      </c>
      <c r="I938" s="29"/>
      <c r="J938" s="29"/>
      <c r="K938" s="29"/>
      <c r="L938" s="29"/>
      <c r="M938" s="29"/>
      <c r="N938" s="29"/>
      <c r="O938" s="29"/>
      <c r="P938" s="30"/>
      <c r="Q938" s="30"/>
      <c r="R938" s="30"/>
      <c r="S938" s="31"/>
      <c r="T938" s="31"/>
      <c r="U938" s="31"/>
      <c r="V938" s="31"/>
      <c r="W938" s="31"/>
      <c r="X938" s="32"/>
      <c r="Y938" s="32"/>
      <c r="Z938" s="32"/>
    </row>
    <row r="939" spans="1:26">
      <c r="A939" s="28"/>
      <c r="B939" s="17">
        <f t="shared" si="37"/>
        <v>46319</v>
      </c>
      <c r="C939" s="26">
        <f>I939+J939+K939+L939+M939+N939+O939+IF(P939="",0,P939*サマリー!$B$9)+IF(Q939="",0,IF(Q939=200,サマリー!$B$10,IF(Q939=100,サマリー!$B$11,0)))+IF(R939="",0,R939*サマリー!$B$12)</f>
        <v>0</v>
      </c>
      <c r="D939" s="26">
        <f>S939+T939+U939+V939+W939+IF(X939="",0,X939*サマリー!$B$9)+IF(Y939="",0,IF(Y939=200,サマリー!$B$10,IF(Y939=100,サマリー!$B$11,0)))+IF(Z939="",0,Z939*サマリー!$B$12)</f>
        <v>0</v>
      </c>
      <c r="E939" s="26">
        <f t="shared" si="38"/>
        <v>0</v>
      </c>
      <c r="I939" s="29"/>
      <c r="J939" s="29"/>
      <c r="K939" s="29"/>
      <c r="L939" s="29"/>
      <c r="M939" s="29"/>
      <c r="N939" s="29"/>
      <c r="O939" s="29"/>
      <c r="P939" s="30"/>
      <c r="Q939" s="30"/>
      <c r="R939" s="30"/>
      <c r="S939" s="31"/>
      <c r="T939" s="31"/>
      <c r="U939" s="31"/>
      <c r="V939" s="31"/>
      <c r="W939" s="31"/>
      <c r="X939" s="32"/>
      <c r="Y939" s="32"/>
      <c r="Z939" s="32"/>
    </row>
    <row r="940" spans="1:26">
      <c r="A940" s="28"/>
      <c r="B940" s="17">
        <f t="shared" si="37"/>
        <v>46319</v>
      </c>
      <c r="C940" s="26">
        <f>I940+J940+K940+L940+M940+N940+O940+IF(P940="",0,P940*サマリー!$B$9)+IF(Q940="",0,IF(Q940=200,サマリー!$B$10,IF(Q940=100,サマリー!$B$11,0)))+IF(R940="",0,R940*サマリー!$B$12)</f>
        <v>0</v>
      </c>
      <c r="D940" s="26">
        <f>S940+T940+U940+V940+W940+IF(X940="",0,X940*サマリー!$B$9)+IF(Y940="",0,IF(Y940=200,サマリー!$B$10,IF(Y940=100,サマリー!$B$11,0)))+IF(Z940="",0,Z940*サマリー!$B$12)</f>
        <v>0</v>
      </c>
      <c r="E940" s="26">
        <f t="shared" si="38"/>
        <v>0</v>
      </c>
      <c r="I940" s="29"/>
      <c r="J940" s="29"/>
      <c r="K940" s="29"/>
      <c r="L940" s="29"/>
      <c r="M940" s="29"/>
      <c r="N940" s="29"/>
      <c r="O940" s="29"/>
      <c r="P940" s="30"/>
      <c r="Q940" s="30"/>
      <c r="R940" s="30"/>
      <c r="S940" s="31"/>
      <c r="T940" s="31"/>
      <c r="U940" s="31"/>
      <c r="V940" s="31"/>
      <c r="W940" s="31"/>
      <c r="X940" s="32"/>
      <c r="Y940" s="32"/>
      <c r="Z940" s="32"/>
    </row>
    <row r="941" spans="1:26">
      <c r="A941" s="28"/>
      <c r="B941" s="17">
        <f t="shared" si="37"/>
        <v>46319</v>
      </c>
      <c r="C941" s="26">
        <f>I941+J941+K941+L941+M941+N941+O941+IF(P941="",0,P941*サマリー!$B$9)+IF(Q941="",0,IF(Q941=200,サマリー!$B$10,IF(Q941=100,サマリー!$B$11,0)))+IF(R941="",0,R941*サマリー!$B$12)</f>
        <v>0</v>
      </c>
      <c r="D941" s="26">
        <f>S941+T941+U941+V941+W941+IF(X941="",0,X941*サマリー!$B$9)+IF(Y941="",0,IF(Y941=200,サマリー!$B$10,IF(Y941=100,サマリー!$B$11,0)))+IF(Z941="",0,Z941*サマリー!$B$12)</f>
        <v>0</v>
      </c>
      <c r="E941" s="26">
        <f t="shared" si="38"/>
        <v>0</v>
      </c>
      <c r="I941" s="29"/>
      <c r="J941" s="29"/>
      <c r="K941" s="29"/>
      <c r="L941" s="29"/>
      <c r="M941" s="29"/>
      <c r="N941" s="29"/>
      <c r="O941" s="29"/>
      <c r="P941" s="30"/>
      <c r="Q941" s="30"/>
      <c r="R941" s="30"/>
      <c r="S941" s="31"/>
      <c r="T941" s="31"/>
      <c r="U941" s="31"/>
      <c r="V941" s="31"/>
      <c r="W941" s="31"/>
      <c r="X941" s="32"/>
      <c r="Y941" s="32"/>
      <c r="Z941" s="32"/>
    </row>
    <row r="942" spans="1:26">
      <c r="A942" s="28"/>
      <c r="B942" s="17">
        <f t="shared" si="37"/>
        <v>46319</v>
      </c>
      <c r="C942" s="26">
        <f>I942+J942+K942+L942+M942+N942+O942+IF(P942="",0,P942*サマリー!$B$9)+IF(Q942="",0,IF(Q942=200,サマリー!$B$10,IF(Q942=100,サマリー!$B$11,0)))+IF(R942="",0,R942*サマリー!$B$12)</f>
        <v>0</v>
      </c>
      <c r="D942" s="26">
        <f>S942+T942+U942+V942+W942+IF(X942="",0,X942*サマリー!$B$9)+IF(Y942="",0,IF(Y942=200,サマリー!$B$10,IF(Y942=100,サマリー!$B$11,0)))+IF(Z942="",0,Z942*サマリー!$B$12)</f>
        <v>0</v>
      </c>
      <c r="E942" s="26">
        <f t="shared" si="38"/>
        <v>0</v>
      </c>
      <c r="I942" s="29"/>
      <c r="J942" s="29"/>
      <c r="K942" s="29"/>
      <c r="L942" s="29"/>
      <c r="M942" s="29"/>
      <c r="N942" s="29"/>
      <c r="O942" s="29"/>
      <c r="P942" s="30"/>
      <c r="Q942" s="30"/>
      <c r="R942" s="30"/>
      <c r="S942" s="31"/>
      <c r="T942" s="31"/>
      <c r="U942" s="31"/>
      <c r="V942" s="31"/>
      <c r="W942" s="31"/>
      <c r="X942" s="32"/>
      <c r="Y942" s="32"/>
      <c r="Z942" s="32"/>
    </row>
    <row r="943" spans="1:26">
      <c r="A943" s="28"/>
      <c r="B943" s="17">
        <f t="shared" si="37"/>
        <v>46319</v>
      </c>
      <c r="C943" s="26">
        <f>I943+J943+K943+L943+M943+N943+O943+IF(P943="",0,P943*サマリー!$B$9)+IF(Q943="",0,IF(Q943=200,サマリー!$B$10,IF(Q943=100,サマリー!$B$11,0)))+IF(R943="",0,R943*サマリー!$B$12)</f>
        <v>0</v>
      </c>
      <c r="D943" s="26">
        <f>S943+T943+U943+V943+W943+IF(X943="",0,X943*サマリー!$B$9)+IF(Y943="",0,IF(Y943=200,サマリー!$B$10,IF(Y943=100,サマリー!$B$11,0)))+IF(Z943="",0,Z943*サマリー!$B$12)</f>
        <v>0</v>
      </c>
      <c r="E943" s="26">
        <f t="shared" si="38"/>
        <v>0</v>
      </c>
      <c r="I943" s="29"/>
      <c r="J943" s="29"/>
      <c r="K943" s="29"/>
      <c r="L943" s="29"/>
      <c r="M943" s="29"/>
      <c r="N943" s="29"/>
      <c r="O943" s="29"/>
      <c r="P943" s="30"/>
      <c r="Q943" s="30"/>
      <c r="R943" s="30"/>
      <c r="S943" s="31"/>
      <c r="T943" s="31"/>
      <c r="U943" s="31"/>
      <c r="V943" s="31"/>
      <c r="W943" s="31"/>
      <c r="X943" s="32"/>
      <c r="Y943" s="32"/>
      <c r="Z943" s="32"/>
    </row>
    <row r="944" spans="1:26">
      <c r="A944" s="28"/>
      <c r="B944" s="17">
        <f t="shared" si="37"/>
        <v>46319</v>
      </c>
      <c r="C944" s="26">
        <f>I944+J944+K944+L944+M944+N944+O944+IF(P944="",0,P944*サマリー!$B$9)+IF(Q944="",0,IF(Q944=200,サマリー!$B$10,IF(Q944=100,サマリー!$B$11,0)))+IF(R944="",0,R944*サマリー!$B$12)</f>
        <v>0</v>
      </c>
      <c r="D944" s="26">
        <f>S944+T944+U944+V944+W944+IF(X944="",0,X944*サマリー!$B$9)+IF(Y944="",0,IF(Y944=200,サマリー!$B$10,IF(Y944=100,サマリー!$B$11,0)))+IF(Z944="",0,Z944*サマリー!$B$12)</f>
        <v>0</v>
      </c>
      <c r="E944" s="26">
        <f t="shared" si="38"/>
        <v>0</v>
      </c>
      <c r="I944" s="29"/>
      <c r="J944" s="29"/>
      <c r="K944" s="29"/>
      <c r="L944" s="29"/>
      <c r="M944" s="29"/>
      <c r="N944" s="29"/>
      <c r="O944" s="29"/>
      <c r="P944" s="30"/>
      <c r="Q944" s="30"/>
      <c r="R944" s="30"/>
      <c r="S944" s="31"/>
      <c r="T944" s="31"/>
      <c r="U944" s="31"/>
      <c r="V944" s="31"/>
      <c r="W944" s="31"/>
      <c r="X944" s="32"/>
      <c r="Y944" s="32"/>
      <c r="Z944" s="32"/>
    </row>
    <row r="945" spans="1:26">
      <c r="A945" s="28"/>
      <c r="B945" s="17">
        <f t="shared" si="37"/>
        <v>46319</v>
      </c>
      <c r="C945" s="26">
        <f>I945+J945+K945+L945+M945+N945+O945+IF(P945="",0,P945*サマリー!$B$9)+IF(Q945="",0,IF(Q945=200,サマリー!$B$10,IF(Q945=100,サマリー!$B$11,0)))+IF(R945="",0,R945*サマリー!$B$12)</f>
        <v>0</v>
      </c>
      <c r="D945" s="26">
        <f>S945+T945+U945+V945+W945+IF(X945="",0,X945*サマリー!$B$9)+IF(Y945="",0,IF(Y945=200,サマリー!$B$10,IF(Y945=100,サマリー!$B$11,0)))+IF(Z945="",0,Z945*サマリー!$B$12)</f>
        <v>0</v>
      </c>
      <c r="E945" s="26">
        <f t="shared" si="38"/>
        <v>0</v>
      </c>
      <c r="I945" s="29"/>
      <c r="J945" s="29"/>
      <c r="K945" s="29"/>
      <c r="L945" s="29"/>
      <c r="M945" s="29"/>
      <c r="N945" s="29"/>
      <c r="O945" s="29"/>
      <c r="P945" s="30"/>
      <c r="Q945" s="30"/>
      <c r="R945" s="30"/>
      <c r="S945" s="31"/>
      <c r="T945" s="31"/>
      <c r="U945" s="31"/>
      <c r="V945" s="31"/>
      <c r="W945" s="31"/>
      <c r="X945" s="32"/>
      <c r="Y945" s="32"/>
      <c r="Z945" s="32"/>
    </row>
    <row r="946" spans="1:26">
      <c r="A946" s="28"/>
      <c r="B946" s="17">
        <f t="shared" si="37"/>
        <v>46319</v>
      </c>
      <c r="C946" s="26">
        <f>I946+J946+K946+L946+M946+N946+O946+IF(P946="",0,P946*サマリー!$B$9)+IF(Q946="",0,IF(Q946=200,サマリー!$B$10,IF(Q946=100,サマリー!$B$11,0)))+IF(R946="",0,R946*サマリー!$B$12)</f>
        <v>0</v>
      </c>
      <c r="D946" s="26">
        <f>S946+T946+U946+V946+W946+IF(X946="",0,X946*サマリー!$B$9)+IF(Y946="",0,IF(Y946=200,サマリー!$B$10,IF(Y946=100,サマリー!$B$11,0)))+IF(Z946="",0,Z946*サマリー!$B$12)</f>
        <v>0</v>
      </c>
      <c r="E946" s="26">
        <f t="shared" si="38"/>
        <v>0</v>
      </c>
      <c r="I946" s="29"/>
      <c r="J946" s="29"/>
      <c r="K946" s="29"/>
      <c r="L946" s="29"/>
      <c r="M946" s="29"/>
      <c r="N946" s="29"/>
      <c r="O946" s="29"/>
      <c r="P946" s="30"/>
      <c r="Q946" s="30"/>
      <c r="R946" s="30"/>
      <c r="S946" s="31"/>
      <c r="T946" s="31"/>
      <c r="U946" s="31"/>
      <c r="V946" s="31"/>
      <c r="W946" s="31"/>
      <c r="X946" s="32"/>
      <c r="Y946" s="32"/>
      <c r="Z946" s="32"/>
    </row>
    <row r="947" spans="1:26">
      <c r="A947" s="28"/>
      <c r="B947" s="17">
        <f t="shared" si="37"/>
        <v>46319</v>
      </c>
      <c r="C947" s="26">
        <f>I947+J947+K947+L947+M947+N947+O947+IF(P947="",0,P947*サマリー!$B$9)+IF(Q947="",0,IF(Q947=200,サマリー!$B$10,IF(Q947=100,サマリー!$B$11,0)))+IF(R947="",0,R947*サマリー!$B$12)</f>
        <v>0</v>
      </c>
      <c r="D947" s="26">
        <f>S947+T947+U947+V947+W947+IF(X947="",0,X947*サマリー!$B$9)+IF(Y947="",0,IF(Y947=200,サマリー!$B$10,IF(Y947=100,サマリー!$B$11,0)))+IF(Z947="",0,Z947*サマリー!$B$12)</f>
        <v>0</v>
      </c>
      <c r="E947" s="26">
        <f t="shared" si="38"/>
        <v>0</v>
      </c>
      <c r="I947" s="29"/>
      <c r="J947" s="29"/>
      <c r="K947" s="29"/>
      <c r="L947" s="29"/>
      <c r="M947" s="29"/>
      <c r="N947" s="29"/>
      <c r="O947" s="29"/>
      <c r="P947" s="30"/>
      <c r="Q947" s="30"/>
      <c r="R947" s="30"/>
      <c r="S947" s="31"/>
      <c r="T947" s="31"/>
      <c r="U947" s="31"/>
      <c r="V947" s="31"/>
      <c r="W947" s="31"/>
      <c r="X947" s="32"/>
      <c r="Y947" s="32"/>
      <c r="Z947" s="32"/>
    </row>
    <row r="948" spans="1:26">
      <c r="A948" s="28"/>
      <c r="B948" s="17">
        <f t="shared" si="37"/>
        <v>46319</v>
      </c>
      <c r="C948" s="26">
        <f>I948+J948+K948+L948+M948+N948+O948+IF(P948="",0,P948*サマリー!$B$9)+IF(Q948="",0,IF(Q948=200,サマリー!$B$10,IF(Q948=100,サマリー!$B$11,0)))+IF(R948="",0,R948*サマリー!$B$12)</f>
        <v>0</v>
      </c>
      <c r="D948" s="26">
        <f>S948+T948+U948+V948+W948+IF(X948="",0,X948*サマリー!$B$9)+IF(Y948="",0,IF(Y948=200,サマリー!$B$10,IF(Y948=100,サマリー!$B$11,0)))+IF(Z948="",0,Z948*サマリー!$B$12)</f>
        <v>0</v>
      </c>
      <c r="E948" s="26">
        <f t="shared" si="38"/>
        <v>0</v>
      </c>
      <c r="I948" s="29"/>
      <c r="J948" s="29"/>
      <c r="K948" s="29"/>
      <c r="L948" s="29"/>
      <c r="M948" s="29"/>
      <c r="N948" s="29"/>
      <c r="O948" s="29"/>
      <c r="P948" s="30"/>
      <c r="Q948" s="30"/>
      <c r="R948" s="30"/>
      <c r="S948" s="31"/>
      <c r="T948" s="31"/>
      <c r="U948" s="31"/>
      <c r="V948" s="31"/>
      <c r="W948" s="31"/>
      <c r="X948" s="32"/>
      <c r="Y948" s="32"/>
      <c r="Z948" s="32"/>
    </row>
    <row r="949" spans="1:26">
      <c r="A949" s="28"/>
      <c r="B949" s="17">
        <f t="shared" si="37"/>
        <v>46319</v>
      </c>
      <c r="C949" s="26">
        <f>I949+J949+K949+L949+M949+N949+O949+IF(P949="",0,P949*サマリー!$B$9)+IF(Q949="",0,IF(Q949=200,サマリー!$B$10,IF(Q949=100,サマリー!$B$11,0)))+IF(R949="",0,R949*サマリー!$B$12)</f>
        <v>0</v>
      </c>
      <c r="D949" s="26">
        <f>S949+T949+U949+V949+W949+IF(X949="",0,X949*サマリー!$B$9)+IF(Y949="",0,IF(Y949=200,サマリー!$B$10,IF(Y949=100,サマリー!$B$11,0)))+IF(Z949="",0,Z949*サマリー!$B$12)</f>
        <v>0</v>
      </c>
      <c r="E949" s="26">
        <f t="shared" si="38"/>
        <v>0</v>
      </c>
      <c r="I949" s="29"/>
      <c r="J949" s="29"/>
      <c r="K949" s="29"/>
      <c r="L949" s="29"/>
      <c r="M949" s="29"/>
      <c r="N949" s="29"/>
      <c r="O949" s="29"/>
      <c r="P949" s="30"/>
      <c r="Q949" s="30"/>
      <c r="R949" s="30"/>
      <c r="S949" s="31"/>
      <c r="T949" s="31"/>
      <c r="U949" s="31"/>
      <c r="V949" s="31"/>
      <c r="W949" s="31"/>
      <c r="X949" s="32"/>
      <c r="Y949" s="32"/>
      <c r="Z949" s="32"/>
    </row>
    <row r="950" spans="1:26">
      <c r="A950" s="28"/>
      <c r="B950" s="17">
        <f t="shared" si="37"/>
        <v>46319</v>
      </c>
      <c r="C950" s="26">
        <f>I950+J950+K950+L950+M950+N950+O950+IF(P950="",0,P950*サマリー!$B$9)+IF(Q950="",0,IF(Q950=200,サマリー!$B$10,IF(Q950=100,サマリー!$B$11,0)))+IF(R950="",0,R950*サマリー!$B$12)</f>
        <v>0</v>
      </c>
      <c r="D950" s="26">
        <f>S950+T950+U950+V950+W950+IF(X950="",0,X950*サマリー!$B$9)+IF(Y950="",0,IF(Y950=200,サマリー!$B$10,IF(Y950=100,サマリー!$B$11,0)))+IF(Z950="",0,Z950*サマリー!$B$12)</f>
        <v>0</v>
      </c>
      <c r="E950" s="26">
        <f t="shared" si="38"/>
        <v>0</v>
      </c>
      <c r="I950" s="29"/>
      <c r="J950" s="29"/>
      <c r="K950" s="29"/>
      <c r="L950" s="29"/>
      <c r="M950" s="29"/>
      <c r="N950" s="29"/>
      <c r="O950" s="29"/>
      <c r="P950" s="30"/>
      <c r="Q950" s="30"/>
      <c r="R950" s="30"/>
      <c r="S950" s="31"/>
      <c r="T950" s="31"/>
      <c r="U950" s="31"/>
      <c r="V950" s="31"/>
      <c r="W950" s="31"/>
      <c r="X950" s="32"/>
      <c r="Y950" s="32"/>
      <c r="Z950" s="32"/>
    </row>
    <row r="951" spans="1:26">
      <c r="A951" s="28"/>
      <c r="B951" s="17">
        <f t="shared" si="37"/>
        <v>46319</v>
      </c>
      <c r="C951" s="26">
        <f>I951+J951+K951+L951+M951+N951+O951+IF(P951="",0,P951*サマリー!$B$9)+IF(Q951="",0,IF(Q951=200,サマリー!$B$10,IF(Q951=100,サマリー!$B$11,0)))+IF(R951="",0,R951*サマリー!$B$12)</f>
        <v>0</v>
      </c>
      <c r="D951" s="26">
        <f>S951+T951+U951+V951+W951+IF(X951="",0,X951*サマリー!$B$9)+IF(Y951="",0,IF(Y951=200,サマリー!$B$10,IF(Y951=100,サマリー!$B$11,0)))+IF(Z951="",0,Z951*サマリー!$B$12)</f>
        <v>0</v>
      </c>
      <c r="E951" s="26">
        <f t="shared" si="38"/>
        <v>0</v>
      </c>
      <c r="I951" s="29"/>
      <c r="J951" s="29"/>
      <c r="K951" s="29"/>
      <c r="L951" s="29"/>
      <c r="M951" s="29"/>
      <c r="N951" s="29"/>
      <c r="O951" s="29"/>
      <c r="P951" s="30"/>
      <c r="Q951" s="30"/>
      <c r="R951" s="30"/>
      <c r="S951" s="31"/>
      <c r="T951" s="31"/>
      <c r="U951" s="31"/>
      <c r="V951" s="31"/>
      <c r="W951" s="31"/>
      <c r="X951" s="32"/>
      <c r="Y951" s="32"/>
      <c r="Z951" s="32"/>
    </row>
    <row r="952" spans="1:26">
      <c r="A952" s="28"/>
      <c r="B952" s="17">
        <f t="shared" si="37"/>
        <v>46319</v>
      </c>
      <c r="C952" s="26">
        <f>I952+J952+K952+L952+M952+N952+O952+IF(P952="",0,P952*サマリー!$B$9)+IF(Q952="",0,IF(Q952=200,サマリー!$B$10,IF(Q952=100,サマリー!$B$11,0)))+IF(R952="",0,R952*サマリー!$B$12)</f>
        <v>0</v>
      </c>
      <c r="D952" s="26">
        <f>S952+T952+U952+V952+W952+IF(X952="",0,X952*サマリー!$B$9)+IF(Y952="",0,IF(Y952=200,サマリー!$B$10,IF(Y952=100,サマリー!$B$11,0)))+IF(Z952="",0,Z952*サマリー!$B$12)</f>
        <v>0</v>
      </c>
      <c r="E952" s="26">
        <f t="shared" si="38"/>
        <v>0</v>
      </c>
      <c r="I952" s="29"/>
      <c r="J952" s="29"/>
      <c r="K952" s="29"/>
      <c r="L952" s="29"/>
      <c r="M952" s="29"/>
      <c r="N952" s="29"/>
      <c r="O952" s="29"/>
      <c r="P952" s="30"/>
      <c r="Q952" s="30"/>
      <c r="R952" s="30"/>
      <c r="S952" s="31"/>
      <c r="T952" s="31"/>
      <c r="U952" s="31"/>
      <c r="V952" s="31"/>
      <c r="W952" s="31"/>
      <c r="X952" s="32"/>
      <c r="Y952" s="32"/>
      <c r="Z952" s="32"/>
    </row>
    <row r="953" spans="1:26">
      <c r="A953" s="28"/>
      <c r="B953" s="17">
        <f t="shared" si="37"/>
        <v>46319</v>
      </c>
      <c r="C953" s="26">
        <f>I953+J953+K953+L953+M953+N953+O953+IF(P953="",0,P953*サマリー!$B$9)+IF(Q953="",0,IF(Q953=200,サマリー!$B$10,IF(Q953=100,サマリー!$B$11,0)))+IF(R953="",0,R953*サマリー!$B$12)</f>
        <v>0</v>
      </c>
      <c r="D953" s="26">
        <f>S953+T953+U953+V953+W953+IF(X953="",0,X953*サマリー!$B$9)+IF(Y953="",0,IF(Y953=200,サマリー!$B$10,IF(Y953=100,サマリー!$B$11,0)))+IF(Z953="",0,Z953*サマリー!$B$12)</f>
        <v>0</v>
      </c>
      <c r="E953" s="26">
        <f t="shared" si="38"/>
        <v>0</v>
      </c>
      <c r="I953" s="29"/>
      <c r="J953" s="29"/>
      <c r="K953" s="29"/>
      <c r="L953" s="29"/>
      <c r="M953" s="29"/>
      <c r="N953" s="29"/>
      <c r="O953" s="29"/>
      <c r="P953" s="30"/>
      <c r="Q953" s="30"/>
      <c r="R953" s="30"/>
      <c r="S953" s="31"/>
      <c r="T953" s="31"/>
      <c r="U953" s="31"/>
      <c r="V953" s="31"/>
      <c r="W953" s="31"/>
      <c r="X953" s="32"/>
      <c r="Y953" s="32"/>
      <c r="Z953" s="32"/>
    </row>
    <row r="954" spans="1:26">
      <c r="A954" s="28"/>
      <c r="B954" s="17">
        <f t="shared" si="37"/>
        <v>46319</v>
      </c>
      <c r="C954" s="26">
        <f>I954+J954+K954+L954+M954+N954+O954+IF(P954="",0,P954*サマリー!$B$9)+IF(Q954="",0,IF(Q954=200,サマリー!$B$10,IF(Q954=100,サマリー!$B$11,0)))+IF(R954="",0,R954*サマリー!$B$12)</f>
        <v>0</v>
      </c>
      <c r="D954" s="26">
        <f>S954+T954+U954+V954+W954+IF(X954="",0,X954*サマリー!$B$9)+IF(Y954="",0,IF(Y954=200,サマリー!$B$10,IF(Y954=100,サマリー!$B$11,0)))+IF(Z954="",0,Z954*サマリー!$B$12)</f>
        <v>0</v>
      </c>
      <c r="E954" s="26">
        <f t="shared" si="38"/>
        <v>0</v>
      </c>
      <c r="I954" s="29"/>
      <c r="J954" s="29"/>
      <c r="K954" s="29"/>
      <c r="L954" s="29"/>
      <c r="M954" s="29"/>
      <c r="N954" s="29"/>
      <c r="O954" s="29"/>
      <c r="P954" s="30"/>
      <c r="Q954" s="30"/>
      <c r="R954" s="30"/>
      <c r="S954" s="31"/>
      <c r="T954" s="31"/>
      <c r="U954" s="31"/>
      <c r="V954" s="31"/>
      <c r="W954" s="31"/>
      <c r="X954" s="32"/>
      <c r="Y954" s="32"/>
      <c r="Z954" s="32"/>
    </row>
    <row r="955" spans="1:26">
      <c r="A955" s="28"/>
      <c r="B955" s="17">
        <f t="shared" si="37"/>
        <v>46319</v>
      </c>
      <c r="C955" s="26">
        <f>I955+J955+K955+L955+M955+N955+O955+IF(P955="",0,P955*サマリー!$B$9)+IF(Q955="",0,IF(Q955=200,サマリー!$B$10,IF(Q955=100,サマリー!$B$11,0)))+IF(R955="",0,R955*サマリー!$B$12)</f>
        <v>0</v>
      </c>
      <c r="D955" s="26">
        <f>S955+T955+U955+V955+W955+IF(X955="",0,X955*サマリー!$B$9)+IF(Y955="",0,IF(Y955=200,サマリー!$B$10,IF(Y955=100,サマリー!$B$11,0)))+IF(Z955="",0,Z955*サマリー!$B$12)</f>
        <v>0</v>
      </c>
      <c r="E955" s="26">
        <f t="shared" si="38"/>
        <v>0</v>
      </c>
      <c r="I955" s="29"/>
      <c r="J955" s="29"/>
      <c r="K955" s="29"/>
      <c r="L955" s="29"/>
      <c r="M955" s="29"/>
      <c r="N955" s="29"/>
      <c r="O955" s="29"/>
      <c r="P955" s="30"/>
      <c r="Q955" s="30"/>
      <c r="R955" s="30"/>
      <c r="S955" s="31"/>
      <c r="T955" s="31"/>
      <c r="U955" s="31"/>
      <c r="V955" s="31"/>
      <c r="W955" s="31"/>
      <c r="X955" s="32"/>
      <c r="Y955" s="32"/>
      <c r="Z955" s="32"/>
    </row>
    <row r="956" spans="1:26">
      <c r="A956" s="28"/>
      <c r="B956" s="17">
        <f t="shared" si="37"/>
        <v>46319</v>
      </c>
      <c r="C956" s="26">
        <f>I956+J956+K956+L956+M956+N956+O956+IF(P956="",0,P956*サマリー!$B$9)+IF(Q956="",0,IF(Q956=200,サマリー!$B$10,IF(Q956=100,サマリー!$B$11,0)))+IF(R956="",0,R956*サマリー!$B$12)</f>
        <v>0</v>
      </c>
      <c r="D956" s="26">
        <f>S956+T956+U956+V956+W956+IF(X956="",0,X956*サマリー!$B$9)+IF(Y956="",0,IF(Y956=200,サマリー!$B$10,IF(Y956=100,サマリー!$B$11,0)))+IF(Z956="",0,Z956*サマリー!$B$12)</f>
        <v>0</v>
      </c>
      <c r="E956" s="26">
        <f t="shared" si="38"/>
        <v>0</v>
      </c>
      <c r="I956" s="29"/>
      <c r="J956" s="29"/>
      <c r="K956" s="29"/>
      <c r="L956" s="29"/>
      <c r="M956" s="29"/>
      <c r="N956" s="29"/>
      <c r="O956" s="29"/>
      <c r="P956" s="30"/>
      <c r="Q956" s="30"/>
      <c r="R956" s="30"/>
      <c r="S956" s="31"/>
      <c r="T956" s="31"/>
      <c r="U956" s="31"/>
      <c r="V956" s="31"/>
      <c r="W956" s="31"/>
      <c r="X956" s="32"/>
      <c r="Y956" s="32"/>
      <c r="Z956" s="32"/>
    </row>
    <row r="957" spans="1:26">
      <c r="A957" s="28"/>
      <c r="B957" s="17">
        <f t="shared" si="37"/>
        <v>46319</v>
      </c>
      <c r="C957" s="26">
        <f>I957+J957+K957+L957+M957+N957+O957+IF(P957="",0,P957*サマリー!$B$9)+IF(Q957="",0,IF(Q957=200,サマリー!$B$10,IF(Q957=100,サマリー!$B$11,0)))+IF(R957="",0,R957*サマリー!$B$12)</f>
        <v>0</v>
      </c>
      <c r="D957" s="26">
        <f>S957+T957+U957+V957+W957+IF(X957="",0,X957*サマリー!$B$9)+IF(Y957="",0,IF(Y957=200,サマリー!$B$10,IF(Y957=100,サマリー!$B$11,0)))+IF(Z957="",0,Z957*サマリー!$B$12)</f>
        <v>0</v>
      </c>
      <c r="E957" s="26">
        <f t="shared" si="38"/>
        <v>0</v>
      </c>
      <c r="I957" s="29"/>
      <c r="J957" s="29"/>
      <c r="K957" s="29"/>
      <c r="L957" s="29"/>
      <c r="M957" s="29"/>
      <c r="N957" s="29"/>
      <c r="O957" s="29"/>
      <c r="P957" s="30"/>
      <c r="Q957" s="30"/>
      <c r="R957" s="30"/>
      <c r="S957" s="31"/>
      <c r="T957" s="31"/>
      <c r="U957" s="31"/>
      <c r="V957" s="31"/>
      <c r="W957" s="31"/>
      <c r="X957" s="32"/>
      <c r="Y957" s="32"/>
      <c r="Z957" s="32"/>
    </row>
    <row r="958" spans="1:26">
      <c r="A958" s="28"/>
      <c r="B958" s="17">
        <f t="shared" si="37"/>
        <v>46319</v>
      </c>
      <c r="C958" s="26">
        <f>I958+J958+K958+L958+M958+N958+O958+IF(P958="",0,P958*サマリー!$B$9)+IF(Q958="",0,IF(Q958=200,サマリー!$B$10,IF(Q958=100,サマリー!$B$11,0)))+IF(R958="",0,R958*サマリー!$B$12)</f>
        <v>0</v>
      </c>
      <c r="D958" s="26">
        <f>S958+T958+U958+V958+W958+IF(X958="",0,X958*サマリー!$B$9)+IF(Y958="",0,IF(Y958=200,サマリー!$B$10,IF(Y958=100,サマリー!$B$11,0)))+IF(Z958="",0,Z958*サマリー!$B$12)</f>
        <v>0</v>
      </c>
      <c r="E958" s="26">
        <f t="shared" si="38"/>
        <v>0</v>
      </c>
      <c r="I958" s="29"/>
      <c r="J958" s="29"/>
      <c r="K958" s="29"/>
      <c r="L958" s="29"/>
      <c r="M958" s="29"/>
      <c r="N958" s="29"/>
      <c r="O958" s="29"/>
      <c r="P958" s="30"/>
      <c r="Q958" s="30"/>
      <c r="R958" s="30"/>
      <c r="S958" s="31"/>
      <c r="T958" s="31"/>
      <c r="U958" s="31"/>
      <c r="V958" s="31"/>
      <c r="W958" s="31"/>
      <c r="X958" s="32"/>
      <c r="Y958" s="32"/>
      <c r="Z958" s="32"/>
    </row>
    <row r="959" spans="1:26">
      <c r="A959" s="28"/>
      <c r="B959" s="17">
        <f t="shared" si="37"/>
        <v>46319</v>
      </c>
      <c r="C959" s="26">
        <f>I959+J959+K959+L959+M959+N959+O959+IF(P959="",0,P959*サマリー!$B$9)+IF(Q959="",0,IF(Q959=200,サマリー!$B$10,IF(Q959=100,サマリー!$B$11,0)))+IF(R959="",0,R959*サマリー!$B$12)</f>
        <v>0</v>
      </c>
      <c r="D959" s="26">
        <f>S959+T959+U959+V959+W959+IF(X959="",0,X959*サマリー!$B$9)+IF(Y959="",0,IF(Y959=200,サマリー!$B$10,IF(Y959=100,サマリー!$B$11,0)))+IF(Z959="",0,Z959*サマリー!$B$12)</f>
        <v>0</v>
      </c>
      <c r="E959" s="26">
        <f t="shared" si="38"/>
        <v>0</v>
      </c>
      <c r="I959" s="29"/>
      <c r="J959" s="29"/>
      <c r="K959" s="29"/>
      <c r="L959" s="29"/>
      <c r="M959" s="29"/>
      <c r="N959" s="29"/>
      <c r="O959" s="29"/>
      <c r="P959" s="30"/>
      <c r="Q959" s="30"/>
      <c r="R959" s="30"/>
      <c r="S959" s="31"/>
      <c r="T959" s="31"/>
      <c r="U959" s="31"/>
      <c r="V959" s="31"/>
      <c r="W959" s="31"/>
      <c r="X959" s="32"/>
      <c r="Y959" s="32"/>
      <c r="Z959" s="32"/>
    </row>
    <row r="960" spans="1:26">
      <c r="A960" s="28"/>
      <c r="B960" s="17">
        <f t="shared" si="37"/>
        <v>46319</v>
      </c>
      <c r="C960" s="26">
        <f>I960+J960+K960+L960+M960+N960+O960+IF(P960="",0,P960*サマリー!$B$9)+IF(Q960="",0,IF(Q960=200,サマリー!$B$10,IF(Q960=100,サマリー!$B$11,0)))+IF(R960="",0,R960*サマリー!$B$12)</f>
        <v>0</v>
      </c>
      <c r="D960" s="26">
        <f>S960+T960+U960+V960+W960+IF(X960="",0,X960*サマリー!$B$9)+IF(Y960="",0,IF(Y960=200,サマリー!$B$10,IF(Y960=100,サマリー!$B$11,0)))+IF(Z960="",0,Z960*サマリー!$B$12)</f>
        <v>0</v>
      </c>
      <c r="E960" s="26">
        <f t="shared" si="38"/>
        <v>0</v>
      </c>
      <c r="I960" s="29"/>
      <c r="J960" s="29"/>
      <c r="K960" s="29"/>
      <c r="L960" s="29"/>
      <c r="M960" s="29"/>
      <c r="N960" s="29"/>
      <c r="O960" s="29"/>
      <c r="P960" s="30"/>
      <c r="Q960" s="30"/>
      <c r="R960" s="30"/>
      <c r="S960" s="31"/>
      <c r="T960" s="31"/>
      <c r="U960" s="31"/>
      <c r="V960" s="31"/>
      <c r="W960" s="31"/>
      <c r="X960" s="32"/>
      <c r="Y960" s="32"/>
      <c r="Z960" s="32"/>
    </row>
    <row r="961" spans="1:26">
      <c r="A961" s="28"/>
      <c r="B961" s="17">
        <f t="shared" ref="B961:B1024" si="39">IF(A961="",B960,IF(A961&lt;DAY(B960),DATE(YEAR(B960),MONTH(B960)+1,A961),DATE(YEAR(B960),MONTH(B960),A961)))</f>
        <v>46319</v>
      </c>
      <c r="C961" s="26">
        <f>I961+J961+K961+L961+M961+N961+O961+IF(P961="",0,P961*サマリー!$B$9)+IF(Q961="",0,IF(Q961=200,サマリー!$B$10,IF(Q961=100,サマリー!$B$11,0)))+IF(R961="",0,R961*サマリー!$B$12)</f>
        <v>0</v>
      </c>
      <c r="D961" s="26">
        <f>S961+T961+U961+V961+W961+IF(X961="",0,X961*サマリー!$B$9)+IF(Y961="",0,IF(Y961=200,サマリー!$B$10,IF(Y961=100,サマリー!$B$11,0)))+IF(Z961="",0,Z961*サマリー!$B$12)</f>
        <v>0</v>
      </c>
      <c r="E961" s="26">
        <f t="shared" si="38"/>
        <v>0</v>
      </c>
      <c r="I961" s="29"/>
      <c r="J961" s="29"/>
      <c r="K961" s="29"/>
      <c r="L961" s="29"/>
      <c r="M961" s="29"/>
      <c r="N961" s="29"/>
      <c r="O961" s="29"/>
      <c r="P961" s="30"/>
      <c r="Q961" s="30"/>
      <c r="R961" s="30"/>
      <c r="S961" s="31"/>
      <c r="T961" s="31"/>
      <c r="U961" s="31"/>
      <c r="V961" s="31"/>
      <c r="W961" s="31"/>
      <c r="X961" s="32"/>
      <c r="Y961" s="32"/>
      <c r="Z961" s="32"/>
    </row>
    <row r="962" spans="1:26">
      <c r="A962" s="28"/>
      <c r="B962" s="17">
        <f t="shared" si="39"/>
        <v>46319</v>
      </c>
      <c r="C962" s="26">
        <f>I962+J962+K962+L962+M962+N962+O962+IF(P962="",0,P962*サマリー!$B$9)+IF(Q962="",0,IF(Q962=200,サマリー!$B$10,IF(Q962=100,サマリー!$B$11,0)))+IF(R962="",0,R962*サマリー!$B$12)</f>
        <v>0</v>
      </c>
      <c r="D962" s="26">
        <f>S962+T962+U962+V962+W962+IF(X962="",0,X962*サマリー!$B$9)+IF(Y962="",0,IF(Y962=200,サマリー!$B$10,IF(Y962=100,サマリー!$B$11,0)))+IF(Z962="",0,Z962*サマリー!$B$12)</f>
        <v>0</v>
      </c>
      <c r="E962" s="26">
        <f t="shared" si="38"/>
        <v>0</v>
      </c>
      <c r="I962" s="29"/>
      <c r="J962" s="29"/>
      <c r="K962" s="29"/>
      <c r="L962" s="29"/>
      <c r="M962" s="29"/>
      <c r="N962" s="29"/>
      <c r="O962" s="29"/>
      <c r="P962" s="30"/>
      <c r="Q962" s="30"/>
      <c r="R962" s="30"/>
      <c r="S962" s="31"/>
      <c r="T962" s="31"/>
      <c r="U962" s="31"/>
      <c r="V962" s="31"/>
      <c r="W962" s="31"/>
      <c r="X962" s="32"/>
      <c r="Y962" s="32"/>
      <c r="Z962" s="32"/>
    </row>
    <row r="963" spans="1:26">
      <c r="A963" s="28"/>
      <c r="B963" s="17">
        <f t="shared" si="39"/>
        <v>46319</v>
      </c>
      <c r="C963" s="26">
        <f>I963+J963+K963+L963+M963+N963+O963+IF(P963="",0,P963*サマリー!$B$9)+IF(Q963="",0,IF(Q963=200,サマリー!$B$10,IF(Q963=100,サマリー!$B$11,0)))+IF(R963="",0,R963*サマリー!$B$12)</f>
        <v>0</v>
      </c>
      <c r="D963" s="26">
        <f>S963+T963+U963+V963+W963+IF(X963="",0,X963*サマリー!$B$9)+IF(Y963="",0,IF(Y963=200,サマリー!$B$10,IF(Y963=100,サマリー!$B$11,0)))+IF(Z963="",0,Z963*サマリー!$B$12)</f>
        <v>0</v>
      </c>
      <c r="E963" s="26">
        <f t="shared" si="38"/>
        <v>0</v>
      </c>
      <c r="I963" s="29"/>
      <c r="J963" s="29"/>
      <c r="K963" s="29"/>
      <c r="L963" s="29"/>
      <c r="M963" s="29"/>
      <c r="N963" s="29"/>
      <c r="O963" s="29"/>
      <c r="P963" s="30"/>
      <c r="Q963" s="30"/>
      <c r="R963" s="30"/>
      <c r="S963" s="31"/>
      <c r="T963" s="31"/>
      <c r="U963" s="31"/>
      <c r="V963" s="31"/>
      <c r="W963" s="31"/>
      <c r="X963" s="32"/>
      <c r="Y963" s="32"/>
      <c r="Z963" s="32"/>
    </row>
    <row r="964" spans="1:26">
      <c r="A964" s="28"/>
      <c r="B964" s="17">
        <f t="shared" si="39"/>
        <v>46319</v>
      </c>
      <c r="C964" s="26">
        <f>I964+J964+K964+L964+M964+N964+O964+IF(P964="",0,P964*サマリー!$B$9)+IF(Q964="",0,IF(Q964=200,サマリー!$B$10,IF(Q964=100,サマリー!$B$11,0)))+IF(R964="",0,R964*サマリー!$B$12)</f>
        <v>0</v>
      </c>
      <c r="D964" s="26">
        <f>S964+T964+U964+V964+W964+IF(X964="",0,X964*サマリー!$B$9)+IF(Y964="",0,IF(Y964=200,サマリー!$B$10,IF(Y964=100,サマリー!$B$11,0)))+IF(Z964="",0,Z964*サマリー!$B$12)</f>
        <v>0</v>
      </c>
      <c r="E964" s="26">
        <f t="shared" si="38"/>
        <v>0</v>
      </c>
      <c r="I964" s="29"/>
      <c r="J964" s="29"/>
      <c r="K964" s="29"/>
      <c r="L964" s="29"/>
      <c r="M964" s="29"/>
      <c r="N964" s="29"/>
      <c r="O964" s="29"/>
      <c r="P964" s="30"/>
      <c r="Q964" s="30"/>
      <c r="R964" s="30"/>
      <c r="S964" s="31"/>
      <c r="T964" s="31"/>
      <c r="U964" s="31"/>
      <c r="V964" s="31"/>
      <c r="W964" s="31"/>
      <c r="X964" s="32"/>
      <c r="Y964" s="32"/>
      <c r="Z964" s="32"/>
    </row>
    <row r="965" spans="1:26">
      <c r="A965" s="28"/>
      <c r="B965" s="17">
        <f t="shared" si="39"/>
        <v>46319</v>
      </c>
      <c r="C965" s="26">
        <f>I965+J965+K965+L965+M965+N965+O965+IF(P965="",0,P965*サマリー!$B$9)+IF(Q965="",0,IF(Q965=200,サマリー!$B$10,IF(Q965=100,サマリー!$B$11,0)))+IF(R965="",0,R965*サマリー!$B$12)</f>
        <v>0</v>
      </c>
      <c r="D965" s="26">
        <f>S965+T965+U965+V965+W965+IF(X965="",0,X965*サマリー!$B$9)+IF(Y965="",0,IF(Y965=200,サマリー!$B$10,IF(Y965=100,サマリー!$B$11,0)))+IF(Z965="",0,Z965*サマリー!$B$12)</f>
        <v>0</v>
      </c>
      <c r="E965" s="26">
        <f t="shared" si="38"/>
        <v>0</v>
      </c>
      <c r="I965" s="29"/>
      <c r="J965" s="29"/>
      <c r="K965" s="29"/>
      <c r="L965" s="29"/>
      <c r="M965" s="29"/>
      <c r="N965" s="29"/>
      <c r="O965" s="29"/>
      <c r="P965" s="30"/>
      <c r="Q965" s="30"/>
      <c r="R965" s="30"/>
      <c r="S965" s="31"/>
      <c r="T965" s="31"/>
      <c r="U965" s="31"/>
      <c r="V965" s="31"/>
      <c r="W965" s="31"/>
      <c r="X965" s="32"/>
      <c r="Y965" s="32"/>
      <c r="Z965" s="32"/>
    </row>
    <row r="966" spans="1:26">
      <c r="A966" s="28"/>
      <c r="B966" s="17">
        <f t="shared" si="39"/>
        <v>46319</v>
      </c>
      <c r="C966" s="26">
        <f>I966+J966+K966+L966+M966+N966+O966+IF(P966="",0,P966*サマリー!$B$9)+IF(Q966="",0,IF(Q966=200,サマリー!$B$10,IF(Q966=100,サマリー!$B$11,0)))+IF(R966="",0,R966*サマリー!$B$12)</f>
        <v>0</v>
      </c>
      <c r="D966" s="26">
        <f>S966+T966+U966+V966+W966+IF(X966="",0,X966*サマリー!$B$9)+IF(Y966="",0,IF(Y966=200,サマリー!$B$10,IF(Y966=100,サマリー!$B$11,0)))+IF(Z966="",0,Z966*サマリー!$B$12)</f>
        <v>0</v>
      </c>
      <c r="E966" s="26">
        <f t="shared" si="38"/>
        <v>0</v>
      </c>
      <c r="I966" s="29"/>
      <c r="J966" s="29"/>
      <c r="K966" s="29"/>
      <c r="L966" s="29"/>
      <c r="M966" s="29"/>
      <c r="N966" s="29"/>
      <c r="O966" s="29"/>
      <c r="P966" s="30"/>
      <c r="Q966" s="30"/>
      <c r="R966" s="30"/>
      <c r="S966" s="31"/>
      <c r="T966" s="31"/>
      <c r="U966" s="31"/>
      <c r="V966" s="31"/>
      <c r="W966" s="31"/>
      <c r="X966" s="32"/>
      <c r="Y966" s="32"/>
      <c r="Z966" s="32"/>
    </row>
    <row r="967" spans="1:26">
      <c r="A967" s="28"/>
      <c r="B967" s="17">
        <f t="shared" si="39"/>
        <v>46319</v>
      </c>
      <c r="C967" s="26">
        <f>I967+J967+K967+L967+M967+N967+O967+IF(P967="",0,P967*サマリー!$B$9)+IF(Q967="",0,IF(Q967=200,サマリー!$B$10,IF(Q967=100,サマリー!$B$11,0)))+IF(R967="",0,R967*サマリー!$B$12)</f>
        <v>0</v>
      </c>
      <c r="D967" s="26">
        <f>S967+T967+U967+V967+W967+IF(X967="",0,X967*サマリー!$B$9)+IF(Y967="",0,IF(Y967=200,サマリー!$B$10,IF(Y967=100,サマリー!$B$11,0)))+IF(Z967="",0,Z967*サマリー!$B$12)</f>
        <v>0</v>
      </c>
      <c r="E967" s="26">
        <f t="shared" si="38"/>
        <v>0</v>
      </c>
      <c r="I967" s="29"/>
      <c r="J967" s="29"/>
      <c r="K967" s="29"/>
      <c r="L967" s="29"/>
      <c r="M967" s="29"/>
      <c r="N967" s="29"/>
      <c r="O967" s="29"/>
      <c r="P967" s="30"/>
      <c r="Q967" s="30"/>
      <c r="R967" s="30"/>
      <c r="S967" s="31"/>
      <c r="T967" s="31"/>
      <c r="U967" s="31"/>
      <c r="V967" s="31"/>
      <c r="W967" s="31"/>
      <c r="X967" s="32"/>
      <c r="Y967" s="32"/>
      <c r="Z967" s="32"/>
    </row>
    <row r="968" spans="1:26">
      <c r="A968" s="28"/>
      <c r="B968" s="17">
        <f t="shared" si="39"/>
        <v>46319</v>
      </c>
      <c r="C968" s="26">
        <f>I968+J968+K968+L968+M968+N968+O968+IF(P968="",0,P968*サマリー!$B$9)+IF(Q968="",0,IF(Q968=200,サマリー!$B$10,IF(Q968=100,サマリー!$B$11,0)))+IF(R968="",0,R968*サマリー!$B$12)</f>
        <v>0</v>
      </c>
      <c r="D968" s="26">
        <f>S968+T968+U968+V968+W968+IF(X968="",0,X968*サマリー!$B$9)+IF(Y968="",0,IF(Y968=200,サマリー!$B$10,IF(Y968=100,サマリー!$B$11,0)))+IF(Z968="",0,Z968*サマリー!$B$12)</f>
        <v>0</v>
      </c>
      <c r="E968" s="26">
        <f t="shared" si="38"/>
        <v>0</v>
      </c>
      <c r="I968" s="29"/>
      <c r="J968" s="29"/>
      <c r="K968" s="29"/>
      <c r="L968" s="29"/>
      <c r="M968" s="29"/>
      <c r="N968" s="29"/>
      <c r="O968" s="29"/>
      <c r="P968" s="30"/>
      <c r="Q968" s="30"/>
      <c r="R968" s="30"/>
      <c r="S968" s="31"/>
      <c r="T968" s="31"/>
      <c r="U968" s="31"/>
      <c r="V968" s="31"/>
      <c r="W968" s="31"/>
      <c r="X968" s="32"/>
      <c r="Y968" s="32"/>
      <c r="Z968" s="32"/>
    </row>
    <row r="969" spans="1:26">
      <c r="A969" s="28"/>
      <c r="B969" s="17">
        <f t="shared" si="39"/>
        <v>46319</v>
      </c>
      <c r="C969" s="26">
        <f>I969+J969+K969+L969+M969+N969+O969+IF(P969="",0,P969*サマリー!$B$9)+IF(Q969="",0,IF(Q969=200,サマリー!$B$10,IF(Q969=100,サマリー!$B$11,0)))+IF(R969="",0,R969*サマリー!$B$12)</f>
        <v>0</v>
      </c>
      <c r="D969" s="26">
        <f>S969+T969+U969+V969+W969+IF(X969="",0,X969*サマリー!$B$9)+IF(Y969="",0,IF(Y969=200,サマリー!$B$10,IF(Y969=100,サマリー!$B$11,0)))+IF(Z969="",0,Z969*サマリー!$B$12)</f>
        <v>0</v>
      </c>
      <c r="E969" s="26">
        <f t="shared" si="38"/>
        <v>0</v>
      </c>
      <c r="I969" s="29"/>
      <c r="J969" s="29"/>
      <c r="K969" s="29"/>
      <c r="L969" s="29"/>
      <c r="M969" s="29"/>
      <c r="N969" s="29"/>
      <c r="O969" s="29"/>
      <c r="P969" s="30"/>
      <c r="Q969" s="30"/>
      <c r="R969" s="30"/>
      <c r="S969" s="31"/>
      <c r="T969" s="31"/>
      <c r="U969" s="31"/>
      <c r="V969" s="31"/>
      <c r="W969" s="31"/>
      <c r="X969" s="32"/>
      <c r="Y969" s="32"/>
      <c r="Z969" s="32"/>
    </row>
    <row r="970" spans="1:26">
      <c r="A970" s="28"/>
      <c r="B970" s="17">
        <f t="shared" si="39"/>
        <v>46319</v>
      </c>
      <c r="C970" s="26">
        <f>I970+J970+K970+L970+M970+N970+O970+IF(P970="",0,P970*サマリー!$B$9)+IF(Q970="",0,IF(Q970=200,サマリー!$B$10,IF(Q970=100,サマリー!$B$11,0)))+IF(R970="",0,R970*サマリー!$B$12)</f>
        <v>0</v>
      </c>
      <c r="D970" s="26">
        <f>S970+T970+U970+V970+W970+IF(X970="",0,X970*サマリー!$B$9)+IF(Y970="",0,IF(Y970=200,サマリー!$B$10,IF(Y970=100,サマリー!$B$11,0)))+IF(Z970="",0,Z970*サマリー!$B$12)</f>
        <v>0</v>
      </c>
      <c r="E970" s="26">
        <f t="shared" si="38"/>
        <v>0</v>
      </c>
      <c r="I970" s="29"/>
      <c r="J970" s="29"/>
      <c r="K970" s="29"/>
      <c r="L970" s="29"/>
      <c r="M970" s="29"/>
      <c r="N970" s="29"/>
      <c r="O970" s="29"/>
      <c r="P970" s="30"/>
      <c r="Q970" s="30"/>
      <c r="R970" s="30"/>
      <c r="S970" s="31"/>
      <c r="T970" s="31"/>
      <c r="U970" s="31"/>
      <c r="V970" s="31"/>
      <c r="W970" s="31"/>
      <c r="X970" s="32"/>
      <c r="Y970" s="32"/>
      <c r="Z970" s="32"/>
    </row>
    <row r="971" spans="1:26">
      <c r="A971" s="28"/>
      <c r="B971" s="17">
        <f t="shared" si="39"/>
        <v>46319</v>
      </c>
      <c r="C971" s="26">
        <f>I971+J971+K971+L971+M971+N971+O971+IF(P971="",0,P971*サマリー!$B$9)+IF(Q971="",0,IF(Q971=200,サマリー!$B$10,IF(Q971=100,サマリー!$B$11,0)))+IF(R971="",0,R971*サマリー!$B$12)</f>
        <v>0</v>
      </c>
      <c r="D971" s="26">
        <f>S971+T971+U971+V971+W971+IF(X971="",0,X971*サマリー!$B$9)+IF(Y971="",0,IF(Y971=200,サマリー!$B$10,IF(Y971=100,サマリー!$B$11,0)))+IF(Z971="",0,Z971*サマリー!$B$12)</f>
        <v>0</v>
      </c>
      <c r="E971" s="26">
        <f t="shared" si="38"/>
        <v>0</v>
      </c>
      <c r="I971" s="29"/>
      <c r="J971" s="29"/>
      <c r="K971" s="29"/>
      <c r="L971" s="29"/>
      <c r="M971" s="29"/>
      <c r="N971" s="29"/>
      <c r="O971" s="29"/>
      <c r="P971" s="30"/>
      <c r="Q971" s="30"/>
      <c r="R971" s="30"/>
      <c r="S971" s="31"/>
      <c r="T971" s="31"/>
      <c r="U971" s="31"/>
      <c r="V971" s="31"/>
      <c r="W971" s="31"/>
      <c r="X971" s="32"/>
      <c r="Y971" s="32"/>
      <c r="Z971" s="32"/>
    </row>
    <row r="972" spans="1:26">
      <c r="A972" s="28"/>
      <c r="B972" s="17">
        <f t="shared" si="39"/>
        <v>46319</v>
      </c>
      <c r="C972" s="26">
        <f>I972+J972+K972+L972+M972+N972+O972+IF(P972="",0,P972*サマリー!$B$9)+IF(Q972="",0,IF(Q972=200,サマリー!$B$10,IF(Q972=100,サマリー!$B$11,0)))+IF(R972="",0,R972*サマリー!$B$12)</f>
        <v>0</v>
      </c>
      <c r="D972" s="26">
        <f>S972+T972+U972+V972+W972+IF(X972="",0,X972*サマリー!$B$9)+IF(Y972="",0,IF(Y972=200,サマリー!$B$10,IF(Y972=100,サマリー!$B$11,0)))+IF(Z972="",0,Z972*サマリー!$B$12)</f>
        <v>0</v>
      </c>
      <c r="E972" s="26">
        <f t="shared" si="38"/>
        <v>0</v>
      </c>
      <c r="I972" s="29"/>
      <c r="J972" s="29"/>
      <c r="K972" s="29"/>
      <c r="L972" s="29"/>
      <c r="M972" s="29"/>
      <c r="N972" s="29"/>
      <c r="O972" s="29"/>
      <c r="P972" s="30"/>
      <c r="Q972" s="30"/>
      <c r="R972" s="30"/>
      <c r="S972" s="31"/>
      <c r="T972" s="31"/>
      <c r="U972" s="31"/>
      <c r="V972" s="31"/>
      <c r="W972" s="31"/>
      <c r="X972" s="32"/>
      <c r="Y972" s="32"/>
      <c r="Z972" s="32"/>
    </row>
    <row r="973" spans="1:26">
      <c r="A973" s="28"/>
      <c r="B973" s="17">
        <f t="shared" si="39"/>
        <v>46319</v>
      </c>
      <c r="C973" s="26">
        <f>I973+J973+K973+L973+M973+N973+O973+IF(P973="",0,P973*サマリー!$B$9)+IF(Q973="",0,IF(Q973=200,サマリー!$B$10,IF(Q973=100,サマリー!$B$11,0)))+IF(R973="",0,R973*サマリー!$B$12)</f>
        <v>0</v>
      </c>
      <c r="D973" s="26">
        <f>S973+T973+U973+V973+W973+IF(X973="",0,X973*サマリー!$B$9)+IF(Y973="",0,IF(Y973=200,サマリー!$B$10,IF(Y973=100,サマリー!$B$11,0)))+IF(Z973="",0,Z973*サマリー!$B$12)</f>
        <v>0</v>
      </c>
      <c r="E973" s="26">
        <f t="shared" si="38"/>
        <v>0</v>
      </c>
      <c r="I973" s="29"/>
      <c r="J973" s="29"/>
      <c r="K973" s="29"/>
      <c r="L973" s="29"/>
      <c r="M973" s="29"/>
      <c r="N973" s="29"/>
      <c r="O973" s="29"/>
      <c r="P973" s="30"/>
      <c r="Q973" s="30"/>
      <c r="R973" s="30"/>
      <c r="S973" s="31"/>
      <c r="T973" s="31"/>
      <c r="U973" s="31"/>
      <c r="V973" s="31"/>
      <c r="W973" s="31"/>
      <c r="X973" s="32"/>
      <c r="Y973" s="32"/>
      <c r="Z973" s="32"/>
    </row>
    <row r="974" spans="1:26">
      <c r="A974" s="28"/>
      <c r="B974" s="17">
        <f t="shared" si="39"/>
        <v>46319</v>
      </c>
      <c r="C974" s="26">
        <f>I974+J974+K974+L974+M974+N974+O974+IF(P974="",0,P974*サマリー!$B$9)+IF(Q974="",0,IF(Q974=200,サマリー!$B$10,IF(Q974=100,サマリー!$B$11,0)))+IF(R974="",0,R974*サマリー!$B$12)</f>
        <v>0</v>
      </c>
      <c r="D974" s="26">
        <f>S974+T974+U974+V974+W974+IF(X974="",0,X974*サマリー!$B$9)+IF(Y974="",0,IF(Y974=200,サマリー!$B$10,IF(Y974=100,サマリー!$B$11,0)))+IF(Z974="",0,Z974*サマリー!$B$12)</f>
        <v>0</v>
      </c>
      <c r="E974" s="26">
        <f t="shared" si="38"/>
        <v>0</v>
      </c>
      <c r="I974" s="29"/>
      <c r="J974" s="29"/>
      <c r="K974" s="29"/>
      <c r="L974" s="29"/>
      <c r="M974" s="29"/>
      <c r="N974" s="29"/>
      <c r="O974" s="29"/>
      <c r="P974" s="30"/>
      <c r="Q974" s="30"/>
      <c r="R974" s="30"/>
      <c r="S974" s="31"/>
      <c r="T974" s="31"/>
      <c r="U974" s="31"/>
      <c r="V974" s="31"/>
      <c r="W974" s="31"/>
      <c r="X974" s="32"/>
      <c r="Y974" s="32"/>
      <c r="Z974" s="32"/>
    </row>
    <row r="975" spans="1:26">
      <c r="A975" s="28"/>
      <c r="B975" s="17">
        <f t="shared" si="39"/>
        <v>46319</v>
      </c>
      <c r="C975" s="26">
        <f>I975+J975+K975+L975+M975+N975+O975+IF(P975="",0,P975*サマリー!$B$9)+IF(Q975="",0,IF(Q975=200,サマリー!$B$10,IF(Q975=100,サマリー!$B$11,0)))+IF(R975="",0,R975*サマリー!$B$12)</f>
        <v>0</v>
      </c>
      <c r="D975" s="26">
        <f>S975+T975+U975+V975+W975+IF(X975="",0,X975*サマリー!$B$9)+IF(Y975="",0,IF(Y975=200,サマリー!$B$10,IF(Y975=100,サマリー!$B$11,0)))+IF(Z975="",0,Z975*サマリー!$B$12)</f>
        <v>0</v>
      </c>
      <c r="E975" s="26">
        <f t="shared" si="38"/>
        <v>0</v>
      </c>
      <c r="I975" s="29"/>
      <c r="J975" s="29"/>
      <c r="K975" s="29"/>
      <c r="L975" s="29"/>
      <c r="M975" s="29"/>
      <c r="N975" s="29"/>
      <c r="O975" s="29"/>
      <c r="P975" s="30"/>
      <c r="Q975" s="30"/>
      <c r="R975" s="30"/>
      <c r="S975" s="31"/>
      <c r="T975" s="31"/>
      <c r="U975" s="31"/>
      <c r="V975" s="31"/>
      <c r="W975" s="31"/>
      <c r="X975" s="32"/>
      <c r="Y975" s="32"/>
      <c r="Z975" s="32"/>
    </row>
    <row r="976" spans="1:26">
      <c r="A976" s="28"/>
      <c r="B976" s="17">
        <f t="shared" si="39"/>
        <v>46319</v>
      </c>
      <c r="C976" s="26">
        <f>I976+J976+K976+L976+M976+N976+O976+IF(P976="",0,P976*サマリー!$B$9)+IF(Q976="",0,IF(Q976=200,サマリー!$B$10,IF(Q976=100,サマリー!$B$11,0)))+IF(R976="",0,R976*サマリー!$B$12)</f>
        <v>0</v>
      </c>
      <c r="D976" s="26">
        <f>S976+T976+U976+V976+W976+IF(X976="",0,X976*サマリー!$B$9)+IF(Y976="",0,IF(Y976=200,サマリー!$B$10,IF(Y976=100,サマリー!$B$11,0)))+IF(Z976="",0,Z976*サマリー!$B$12)</f>
        <v>0</v>
      </c>
      <c r="E976" s="26">
        <f t="shared" si="38"/>
        <v>0</v>
      </c>
      <c r="I976" s="29"/>
      <c r="J976" s="29"/>
      <c r="K976" s="29"/>
      <c r="L976" s="29"/>
      <c r="M976" s="29"/>
      <c r="N976" s="29"/>
      <c r="O976" s="29"/>
      <c r="P976" s="30"/>
      <c r="Q976" s="30"/>
      <c r="R976" s="30"/>
      <c r="S976" s="31"/>
      <c r="T976" s="31"/>
      <c r="U976" s="31"/>
      <c r="V976" s="31"/>
      <c r="W976" s="31"/>
      <c r="X976" s="32"/>
      <c r="Y976" s="32"/>
      <c r="Z976" s="32"/>
    </row>
    <row r="977" spans="1:26">
      <c r="A977" s="28"/>
      <c r="B977" s="17">
        <f t="shared" si="39"/>
        <v>46319</v>
      </c>
      <c r="C977" s="26">
        <f>I977+J977+K977+L977+M977+N977+O977+IF(P977="",0,P977*サマリー!$B$9)+IF(Q977="",0,IF(Q977=200,サマリー!$B$10,IF(Q977=100,サマリー!$B$11,0)))+IF(R977="",0,R977*サマリー!$B$12)</f>
        <v>0</v>
      </c>
      <c r="D977" s="26">
        <f>S977+T977+U977+V977+W977+IF(X977="",0,X977*サマリー!$B$9)+IF(Y977="",0,IF(Y977=200,サマリー!$B$10,IF(Y977=100,サマリー!$B$11,0)))+IF(Z977="",0,Z977*サマリー!$B$12)</f>
        <v>0</v>
      </c>
      <c r="E977" s="26">
        <f t="shared" si="38"/>
        <v>0</v>
      </c>
      <c r="I977" s="29"/>
      <c r="J977" s="29"/>
      <c r="K977" s="29"/>
      <c r="L977" s="29"/>
      <c r="M977" s="29"/>
      <c r="N977" s="29"/>
      <c r="O977" s="29"/>
      <c r="P977" s="30"/>
      <c r="Q977" s="30"/>
      <c r="R977" s="30"/>
      <c r="S977" s="31"/>
      <c r="T977" s="31"/>
      <c r="U977" s="31"/>
      <c r="V977" s="31"/>
      <c r="W977" s="31"/>
      <c r="X977" s="32"/>
      <c r="Y977" s="32"/>
      <c r="Z977" s="32"/>
    </row>
    <row r="978" spans="1:26">
      <c r="A978" s="28"/>
      <c r="B978" s="17">
        <f t="shared" si="39"/>
        <v>46319</v>
      </c>
      <c r="C978" s="26">
        <f>I978+J978+K978+L978+M978+N978+O978+IF(P978="",0,P978*サマリー!$B$9)+IF(Q978="",0,IF(Q978=200,サマリー!$B$10,IF(Q978=100,サマリー!$B$11,0)))+IF(R978="",0,R978*サマリー!$B$12)</f>
        <v>0</v>
      </c>
      <c r="D978" s="26">
        <f>S978+T978+U978+V978+W978+IF(X978="",0,X978*サマリー!$B$9)+IF(Y978="",0,IF(Y978=200,サマリー!$B$10,IF(Y978=100,サマリー!$B$11,0)))+IF(Z978="",0,Z978*サマリー!$B$12)</f>
        <v>0</v>
      </c>
      <c r="E978" s="26">
        <f t="shared" si="38"/>
        <v>0</v>
      </c>
      <c r="I978" s="29"/>
      <c r="J978" s="29"/>
      <c r="K978" s="29"/>
      <c r="L978" s="29"/>
      <c r="M978" s="29"/>
      <c r="N978" s="29"/>
      <c r="O978" s="29"/>
      <c r="P978" s="30"/>
      <c r="Q978" s="30"/>
      <c r="R978" s="30"/>
      <c r="S978" s="31"/>
      <c r="T978" s="31"/>
      <c r="U978" s="31"/>
      <c r="V978" s="31"/>
      <c r="W978" s="31"/>
      <c r="X978" s="32"/>
      <c r="Y978" s="32"/>
      <c r="Z978" s="32"/>
    </row>
    <row r="979" spans="1:26">
      <c r="A979" s="28"/>
      <c r="B979" s="17">
        <f t="shared" si="39"/>
        <v>46319</v>
      </c>
      <c r="C979" s="26">
        <f>I979+J979+K979+L979+M979+N979+O979+IF(P979="",0,P979*サマリー!$B$9)+IF(Q979="",0,IF(Q979=200,サマリー!$B$10,IF(Q979=100,サマリー!$B$11,0)))+IF(R979="",0,R979*サマリー!$B$12)</f>
        <v>0</v>
      </c>
      <c r="D979" s="26">
        <f>S979+T979+U979+V979+W979+IF(X979="",0,X979*サマリー!$B$9)+IF(Y979="",0,IF(Y979=200,サマリー!$B$10,IF(Y979=100,サマリー!$B$11,0)))+IF(Z979="",0,Z979*サマリー!$B$12)</f>
        <v>0</v>
      </c>
      <c r="E979" s="26">
        <f t="shared" si="38"/>
        <v>0</v>
      </c>
      <c r="I979" s="29"/>
      <c r="J979" s="29"/>
      <c r="K979" s="29"/>
      <c r="L979" s="29"/>
      <c r="M979" s="29"/>
      <c r="N979" s="29"/>
      <c r="O979" s="29"/>
      <c r="P979" s="30"/>
      <c r="Q979" s="30"/>
      <c r="R979" s="30"/>
      <c r="S979" s="31"/>
      <c r="T979" s="31"/>
      <c r="U979" s="31"/>
      <c r="V979" s="31"/>
      <c r="W979" s="31"/>
      <c r="X979" s="32"/>
      <c r="Y979" s="32"/>
      <c r="Z979" s="32"/>
    </row>
    <row r="980" spans="1:26">
      <c r="A980" s="28"/>
      <c r="B980" s="17">
        <f t="shared" si="39"/>
        <v>46319</v>
      </c>
      <c r="C980" s="26">
        <f>I980+J980+K980+L980+M980+N980+O980+IF(P980="",0,P980*サマリー!$B$9)+IF(Q980="",0,IF(Q980=200,サマリー!$B$10,IF(Q980=100,サマリー!$B$11,0)))+IF(R980="",0,R980*サマリー!$B$12)</f>
        <v>0</v>
      </c>
      <c r="D980" s="26">
        <f>S980+T980+U980+V980+W980+IF(X980="",0,X980*サマリー!$B$9)+IF(Y980="",0,IF(Y980=200,サマリー!$B$10,IF(Y980=100,サマリー!$B$11,0)))+IF(Z980="",0,Z980*サマリー!$B$12)</f>
        <v>0</v>
      </c>
      <c r="E980" s="26">
        <f t="shared" si="38"/>
        <v>0</v>
      </c>
      <c r="I980" s="29"/>
      <c r="J980" s="29"/>
      <c r="K980" s="29"/>
      <c r="L980" s="29"/>
      <c r="M980" s="29"/>
      <c r="N980" s="29"/>
      <c r="O980" s="29"/>
      <c r="P980" s="30"/>
      <c r="Q980" s="30"/>
      <c r="R980" s="30"/>
      <c r="S980" s="31"/>
      <c r="T980" s="31"/>
      <c r="U980" s="31"/>
      <c r="V980" s="31"/>
      <c r="W980" s="31"/>
      <c r="X980" s="32"/>
      <c r="Y980" s="32"/>
      <c r="Z980" s="32"/>
    </row>
    <row r="981" spans="1:26">
      <c r="A981" s="28"/>
      <c r="B981" s="17">
        <f t="shared" si="39"/>
        <v>46319</v>
      </c>
      <c r="C981" s="26">
        <f>I981+J981+K981+L981+M981+N981+O981+IF(P981="",0,P981*サマリー!$B$9)+IF(Q981="",0,IF(Q981=200,サマリー!$B$10,IF(Q981=100,サマリー!$B$11,0)))+IF(R981="",0,R981*サマリー!$B$12)</f>
        <v>0</v>
      </c>
      <c r="D981" s="26">
        <f>S981+T981+U981+V981+W981+IF(X981="",0,X981*サマリー!$B$9)+IF(Y981="",0,IF(Y981=200,サマリー!$B$10,IF(Y981=100,サマリー!$B$11,0)))+IF(Z981="",0,Z981*サマリー!$B$12)</f>
        <v>0</v>
      </c>
      <c r="E981" s="26">
        <f t="shared" si="38"/>
        <v>0</v>
      </c>
      <c r="I981" s="29"/>
      <c r="J981" s="29"/>
      <c r="K981" s="29"/>
      <c r="L981" s="29"/>
      <c r="M981" s="29"/>
      <c r="N981" s="29"/>
      <c r="O981" s="29"/>
      <c r="P981" s="30"/>
      <c r="Q981" s="30"/>
      <c r="R981" s="30"/>
      <c r="S981" s="31"/>
      <c r="T981" s="31"/>
      <c r="U981" s="31"/>
      <c r="V981" s="31"/>
      <c r="W981" s="31"/>
      <c r="X981" s="32"/>
      <c r="Y981" s="32"/>
      <c r="Z981" s="32"/>
    </row>
    <row r="982" spans="1:26">
      <c r="A982" s="28"/>
      <c r="B982" s="17">
        <f t="shared" si="39"/>
        <v>46319</v>
      </c>
      <c r="C982" s="26">
        <f>I982+J982+K982+L982+M982+N982+O982+IF(P982="",0,P982*サマリー!$B$9)+IF(Q982="",0,IF(Q982=200,サマリー!$B$10,IF(Q982=100,サマリー!$B$11,0)))+IF(R982="",0,R982*サマリー!$B$12)</f>
        <v>0</v>
      </c>
      <c r="D982" s="26">
        <f>S982+T982+U982+V982+W982+IF(X982="",0,X982*サマリー!$B$9)+IF(Y982="",0,IF(Y982=200,サマリー!$B$10,IF(Y982=100,サマリー!$B$11,0)))+IF(Z982="",0,Z982*サマリー!$B$12)</f>
        <v>0</v>
      </c>
      <c r="E982" s="26">
        <f t="shared" si="38"/>
        <v>0</v>
      </c>
      <c r="I982" s="29"/>
      <c r="J982" s="29"/>
      <c r="K982" s="29"/>
      <c r="L982" s="29"/>
      <c r="M982" s="29"/>
      <c r="N982" s="29"/>
      <c r="O982" s="29"/>
      <c r="P982" s="30"/>
      <c r="Q982" s="30"/>
      <c r="R982" s="30"/>
      <c r="S982" s="31"/>
      <c r="T982" s="31"/>
      <c r="U982" s="31"/>
      <c r="V982" s="31"/>
      <c r="W982" s="31"/>
      <c r="X982" s="32"/>
      <c r="Y982" s="32"/>
      <c r="Z982" s="32"/>
    </row>
    <row r="983" spans="1:26">
      <c r="A983" s="28"/>
      <c r="B983" s="17">
        <f t="shared" si="39"/>
        <v>46319</v>
      </c>
      <c r="C983" s="26">
        <f>I983+J983+K983+L983+M983+N983+O983+IF(P983="",0,P983*サマリー!$B$9)+IF(Q983="",0,IF(Q983=200,サマリー!$B$10,IF(Q983=100,サマリー!$B$11,0)))+IF(R983="",0,R983*サマリー!$B$12)</f>
        <v>0</v>
      </c>
      <c r="D983" s="26">
        <f>S983+T983+U983+V983+W983+IF(X983="",0,X983*サマリー!$B$9)+IF(Y983="",0,IF(Y983=200,サマリー!$B$10,IF(Y983=100,サマリー!$B$11,0)))+IF(Z983="",0,Z983*サマリー!$B$12)</f>
        <v>0</v>
      </c>
      <c r="E983" s="26">
        <f t="shared" si="38"/>
        <v>0</v>
      </c>
      <c r="I983" s="29"/>
      <c r="J983" s="29"/>
      <c r="K983" s="29"/>
      <c r="L983" s="29"/>
      <c r="M983" s="29"/>
      <c r="N983" s="29"/>
      <c r="O983" s="29"/>
      <c r="P983" s="30"/>
      <c r="Q983" s="30"/>
      <c r="R983" s="30"/>
      <c r="S983" s="31"/>
      <c r="T983" s="31"/>
      <c r="U983" s="31"/>
      <c r="V983" s="31"/>
      <c r="W983" s="31"/>
      <c r="X983" s="32"/>
      <c r="Y983" s="32"/>
      <c r="Z983" s="32"/>
    </row>
    <row r="984" spans="1:26">
      <c r="A984" s="28"/>
      <c r="B984" s="17">
        <f t="shared" si="39"/>
        <v>46319</v>
      </c>
      <c r="C984" s="26">
        <f>I984+J984+K984+L984+M984+N984+O984+IF(P984="",0,P984*サマリー!$B$9)+IF(Q984="",0,IF(Q984=200,サマリー!$B$10,IF(Q984=100,サマリー!$B$11,0)))+IF(R984="",0,R984*サマリー!$B$12)</f>
        <v>0</v>
      </c>
      <c r="D984" s="26">
        <f>S984+T984+U984+V984+W984+IF(X984="",0,X984*サマリー!$B$9)+IF(Y984="",0,IF(Y984=200,サマリー!$B$10,IF(Y984=100,サマリー!$B$11,0)))+IF(Z984="",0,Z984*サマリー!$B$12)</f>
        <v>0</v>
      </c>
      <c r="E984" s="26">
        <f t="shared" si="38"/>
        <v>0</v>
      </c>
      <c r="I984" s="29"/>
      <c r="J984" s="29"/>
      <c r="K984" s="29"/>
      <c r="L984" s="29"/>
      <c r="M984" s="29"/>
      <c r="N984" s="29"/>
      <c r="O984" s="29"/>
      <c r="P984" s="30"/>
      <c r="Q984" s="30"/>
      <c r="R984" s="30"/>
      <c r="S984" s="31"/>
      <c r="T984" s="31"/>
      <c r="U984" s="31"/>
      <c r="V984" s="31"/>
      <c r="W984" s="31"/>
      <c r="X984" s="32"/>
      <c r="Y984" s="32"/>
      <c r="Z984" s="32"/>
    </row>
    <row r="985" spans="1:26">
      <c r="A985" s="28"/>
      <c r="B985" s="17">
        <f t="shared" si="39"/>
        <v>46319</v>
      </c>
      <c r="C985" s="26">
        <f>I985+J985+K985+L985+M985+N985+O985+IF(P985="",0,P985*サマリー!$B$9)+IF(Q985="",0,IF(Q985=200,サマリー!$B$10,IF(Q985=100,サマリー!$B$11,0)))+IF(R985="",0,R985*サマリー!$B$12)</f>
        <v>0</v>
      </c>
      <c r="D985" s="26">
        <f>S985+T985+U985+V985+W985+IF(X985="",0,X985*サマリー!$B$9)+IF(Y985="",0,IF(Y985=200,サマリー!$B$10,IF(Y985=100,サマリー!$B$11,0)))+IF(Z985="",0,Z985*サマリー!$B$12)</f>
        <v>0</v>
      </c>
      <c r="E985" s="26">
        <f t="shared" si="38"/>
        <v>0</v>
      </c>
      <c r="I985" s="29"/>
      <c r="J985" s="29"/>
      <c r="K985" s="29"/>
      <c r="L985" s="29"/>
      <c r="M985" s="29"/>
      <c r="N985" s="29"/>
      <c r="O985" s="29"/>
      <c r="P985" s="30"/>
      <c r="Q985" s="30"/>
      <c r="R985" s="30"/>
      <c r="S985" s="31"/>
      <c r="T985" s="31"/>
      <c r="U985" s="31"/>
      <c r="V985" s="31"/>
      <c r="W985" s="31"/>
      <c r="X985" s="32"/>
      <c r="Y985" s="32"/>
      <c r="Z985" s="32"/>
    </row>
    <row r="986" spans="1:26">
      <c r="A986" s="28"/>
      <c r="B986" s="17">
        <f t="shared" si="39"/>
        <v>46319</v>
      </c>
      <c r="C986" s="26">
        <f>I986+J986+K986+L986+M986+N986+O986+IF(P986="",0,P986*サマリー!$B$9)+IF(Q986="",0,IF(Q986=200,サマリー!$B$10,IF(Q986=100,サマリー!$B$11,0)))+IF(R986="",0,R986*サマリー!$B$12)</f>
        <v>0</v>
      </c>
      <c r="D986" s="26">
        <f>S986+T986+U986+V986+W986+IF(X986="",0,X986*サマリー!$B$9)+IF(Y986="",0,IF(Y986=200,サマリー!$B$10,IF(Y986=100,サマリー!$B$11,0)))+IF(Z986="",0,Z986*サマリー!$B$12)</f>
        <v>0</v>
      </c>
      <c r="E986" s="26">
        <f t="shared" si="38"/>
        <v>0</v>
      </c>
      <c r="I986" s="29"/>
      <c r="J986" s="29"/>
      <c r="K986" s="29"/>
      <c r="L986" s="29"/>
      <c r="M986" s="29"/>
      <c r="N986" s="29"/>
      <c r="O986" s="29"/>
      <c r="P986" s="30"/>
      <c r="Q986" s="30"/>
      <c r="R986" s="30"/>
      <c r="S986" s="31"/>
      <c r="T986" s="31"/>
      <c r="U986" s="31"/>
      <c r="V986" s="31"/>
      <c r="W986" s="31"/>
      <c r="X986" s="32"/>
      <c r="Y986" s="32"/>
      <c r="Z986" s="32"/>
    </row>
    <row r="987" spans="1:26">
      <c r="A987" s="28"/>
      <c r="B987" s="17">
        <f t="shared" si="39"/>
        <v>46319</v>
      </c>
      <c r="C987" s="26">
        <f>I987+J987+K987+L987+M987+N987+O987+IF(P987="",0,P987*サマリー!$B$9)+IF(Q987="",0,IF(Q987=200,サマリー!$B$10,IF(Q987=100,サマリー!$B$11,0)))+IF(R987="",0,R987*サマリー!$B$12)</f>
        <v>0</v>
      </c>
      <c r="D987" s="26">
        <f>S987+T987+U987+V987+W987+IF(X987="",0,X987*サマリー!$B$9)+IF(Y987="",0,IF(Y987=200,サマリー!$B$10,IF(Y987=100,サマリー!$B$11,0)))+IF(Z987="",0,Z987*サマリー!$B$12)</f>
        <v>0</v>
      </c>
      <c r="E987" s="26">
        <f t="shared" si="38"/>
        <v>0</v>
      </c>
      <c r="I987" s="29"/>
      <c r="J987" s="29"/>
      <c r="K987" s="29"/>
      <c r="L987" s="29"/>
      <c r="M987" s="29"/>
      <c r="N987" s="29"/>
      <c r="O987" s="29"/>
      <c r="P987" s="30"/>
      <c r="Q987" s="30"/>
      <c r="R987" s="30"/>
      <c r="S987" s="31"/>
      <c r="T987" s="31"/>
      <c r="U987" s="31"/>
      <c r="V987" s="31"/>
      <c r="W987" s="31"/>
      <c r="X987" s="32"/>
      <c r="Y987" s="32"/>
      <c r="Z987" s="32"/>
    </row>
    <row r="988" spans="1:26">
      <c r="A988" s="28"/>
      <c r="B988" s="17">
        <f t="shared" si="39"/>
        <v>46319</v>
      </c>
      <c r="C988" s="26">
        <f>I988+J988+K988+L988+M988+N988+O988+IF(P988="",0,P988*サマリー!$B$9)+IF(Q988="",0,IF(Q988=200,サマリー!$B$10,IF(Q988=100,サマリー!$B$11,0)))+IF(R988="",0,R988*サマリー!$B$12)</f>
        <v>0</v>
      </c>
      <c r="D988" s="26">
        <f>S988+T988+U988+V988+W988+IF(X988="",0,X988*サマリー!$B$9)+IF(Y988="",0,IF(Y988=200,サマリー!$B$10,IF(Y988=100,サマリー!$B$11,0)))+IF(Z988="",0,Z988*サマリー!$B$12)</f>
        <v>0</v>
      </c>
      <c r="E988" s="26">
        <f t="shared" si="38"/>
        <v>0</v>
      </c>
      <c r="I988" s="29"/>
      <c r="J988" s="29"/>
      <c r="K988" s="29"/>
      <c r="L988" s="29"/>
      <c r="M988" s="29"/>
      <c r="N988" s="29"/>
      <c r="O988" s="29"/>
      <c r="P988" s="30"/>
      <c r="Q988" s="30"/>
      <c r="R988" s="30"/>
      <c r="S988" s="31"/>
      <c r="T988" s="31"/>
      <c r="U988" s="31"/>
      <c r="V988" s="31"/>
      <c r="W988" s="31"/>
      <c r="X988" s="32"/>
      <c r="Y988" s="32"/>
      <c r="Z988" s="32"/>
    </row>
    <row r="989" spans="1:26">
      <c r="A989" s="28"/>
      <c r="B989" s="17">
        <f t="shared" si="39"/>
        <v>46319</v>
      </c>
      <c r="C989" s="26">
        <f>I989+J989+K989+L989+M989+N989+O989+IF(P989="",0,P989*サマリー!$B$9)+IF(Q989="",0,IF(Q989=200,サマリー!$B$10,IF(Q989=100,サマリー!$B$11,0)))+IF(R989="",0,R989*サマリー!$B$12)</f>
        <v>0</v>
      </c>
      <c r="D989" s="26">
        <f>S989+T989+U989+V989+W989+IF(X989="",0,X989*サマリー!$B$9)+IF(Y989="",0,IF(Y989=200,サマリー!$B$10,IF(Y989=100,サマリー!$B$11,0)))+IF(Z989="",0,Z989*サマリー!$B$12)</f>
        <v>0</v>
      </c>
      <c r="E989" s="26">
        <f t="shared" si="38"/>
        <v>0</v>
      </c>
      <c r="I989" s="29"/>
      <c r="J989" s="29"/>
      <c r="K989" s="29"/>
      <c r="L989" s="29"/>
      <c r="M989" s="29"/>
      <c r="N989" s="29"/>
      <c r="O989" s="29"/>
      <c r="P989" s="30"/>
      <c r="Q989" s="30"/>
      <c r="R989" s="30"/>
      <c r="S989" s="31"/>
      <c r="T989" s="31"/>
      <c r="U989" s="31"/>
      <c r="V989" s="31"/>
      <c r="W989" s="31"/>
      <c r="X989" s="32"/>
      <c r="Y989" s="32"/>
      <c r="Z989" s="32"/>
    </row>
    <row r="990" spans="1:26">
      <c r="A990" s="28"/>
      <c r="B990" s="17">
        <f t="shared" si="39"/>
        <v>46319</v>
      </c>
      <c r="C990" s="26">
        <f>I990+J990+K990+L990+M990+N990+O990+IF(P990="",0,P990*サマリー!$B$9)+IF(Q990="",0,IF(Q990=200,サマリー!$B$10,IF(Q990=100,サマリー!$B$11,0)))+IF(R990="",0,R990*サマリー!$B$12)</f>
        <v>0</v>
      </c>
      <c r="D990" s="26">
        <f>S990+T990+U990+V990+W990+IF(X990="",0,X990*サマリー!$B$9)+IF(Y990="",0,IF(Y990=200,サマリー!$B$10,IF(Y990=100,サマリー!$B$11,0)))+IF(Z990="",0,Z990*サマリー!$B$12)</f>
        <v>0</v>
      </c>
      <c r="E990" s="26">
        <f t="shared" si="38"/>
        <v>0</v>
      </c>
      <c r="I990" s="29"/>
      <c r="J990" s="29"/>
      <c r="K990" s="29"/>
      <c r="L990" s="29"/>
      <c r="M990" s="29"/>
      <c r="N990" s="29"/>
      <c r="O990" s="29"/>
      <c r="P990" s="30"/>
      <c r="Q990" s="30"/>
      <c r="R990" s="30"/>
      <c r="S990" s="31"/>
      <c r="T990" s="31"/>
      <c r="U990" s="31"/>
      <c r="V990" s="31"/>
      <c r="W990" s="31"/>
      <c r="X990" s="32"/>
      <c r="Y990" s="32"/>
      <c r="Z990" s="32"/>
    </row>
    <row r="991" spans="1:26">
      <c r="A991" s="28"/>
      <c r="B991" s="17">
        <f t="shared" si="39"/>
        <v>46319</v>
      </c>
      <c r="C991" s="26">
        <f>I991+J991+K991+L991+M991+N991+O991+IF(P991="",0,P991*サマリー!$B$9)+IF(Q991="",0,IF(Q991=200,サマリー!$B$10,IF(Q991=100,サマリー!$B$11,0)))+IF(R991="",0,R991*サマリー!$B$12)</f>
        <v>0</v>
      </c>
      <c r="D991" s="26">
        <f>S991+T991+U991+V991+W991+IF(X991="",0,X991*サマリー!$B$9)+IF(Y991="",0,IF(Y991=200,サマリー!$B$10,IF(Y991=100,サマリー!$B$11,0)))+IF(Z991="",0,Z991*サマリー!$B$12)</f>
        <v>0</v>
      </c>
      <c r="E991" s="26">
        <f t="shared" si="38"/>
        <v>0</v>
      </c>
      <c r="I991" s="29"/>
      <c r="J991" s="29"/>
      <c r="K991" s="29"/>
      <c r="L991" s="29"/>
      <c r="M991" s="29"/>
      <c r="N991" s="29"/>
      <c r="O991" s="29"/>
      <c r="P991" s="30"/>
      <c r="Q991" s="30"/>
      <c r="R991" s="30"/>
      <c r="S991" s="31"/>
      <c r="T991" s="31"/>
      <c r="U991" s="31"/>
      <c r="V991" s="31"/>
      <c r="W991" s="31"/>
      <c r="X991" s="32"/>
      <c r="Y991" s="32"/>
      <c r="Z991" s="32"/>
    </row>
    <row r="992" spans="1:26">
      <c r="A992" s="28"/>
      <c r="B992" s="17">
        <f t="shared" si="39"/>
        <v>46319</v>
      </c>
      <c r="C992" s="26">
        <f>I992+J992+K992+L992+M992+N992+O992+IF(P992="",0,P992*サマリー!$B$9)+IF(Q992="",0,IF(Q992=200,サマリー!$B$10,IF(Q992=100,サマリー!$B$11,0)))+IF(R992="",0,R992*サマリー!$B$12)</f>
        <v>0</v>
      </c>
      <c r="D992" s="26">
        <f>S992+T992+U992+V992+W992+IF(X992="",0,X992*サマリー!$B$9)+IF(Y992="",0,IF(Y992=200,サマリー!$B$10,IF(Y992=100,サマリー!$B$11,0)))+IF(Z992="",0,Z992*サマリー!$B$12)</f>
        <v>0</v>
      </c>
      <c r="E992" s="26">
        <f t="shared" si="38"/>
        <v>0</v>
      </c>
      <c r="I992" s="29"/>
      <c r="J992" s="29"/>
      <c r="K992" s="29"/>
      <c r="L992" s="29"/>
      <c r="M992" s="29"/>
      <c r="N992" s="29"/>
      <c r="O992" s="29"/>
      <c r="P992" s="30"/>
      <c r="Q992" s="30"/>
      <c r="R992" s="30"/>
      <c r="S992" s="31"/>
      <c r="T992" s="31"/>
      <c r="U992" s="31"/>
      <c r="V992" s="31"/>
      <c r="W992" s="31"/>
      <c r="X992" s="32"/>
      <c r="Y992" s="32"/>
      <c r="Z992" s="32"/>
    </row>
    <row r="993" spans="1:26">
      <c r="A993" s="28"/>
      <c r="B993" s="17">
        <f t="shared" si="39"/>
        <v>46319</v>
      </c>
      <c r="C993" s="26">
        <f>I993+J993+K993+L993+M993+N993+O993+IF(P993="",0,P993*サマリー!$B$9)+IF(Q993="",0,IF(Q993=200,サマリー!$B$10,IF(Q993=100,サマリー!$B$11,0)))+IF(R993="",0,R993*サマリー!$B$12)</f>
        <v>0</v>
      </c>
      <c r="D993" s="26">
        <f>S993+T993+U993+V993+W993+IF(X993="",0,X993*サマリー!$B$9)+IF(Y993="",0,IF(Y993=200,サマリー!$B$10,IF(Y993=100,サマリー!$B$11,0)))+IF(Z993="",0,Z993*サマリー!$B$12)</f>
        <v>0</v>
      </c>
      <c r="E993" s="26">
        <f t="shared" si="38"/>
        <v>0</v>
      </c>
      <c r="I993" s="29"/>
      <c r="J993" s="29"/>
      <c r="K993" s="29"/>
      <c r="L993" s="29"/>
      <c r="M993" s="29"/>
      <c r="N993" s="29"/>
      <c r="O993" s="29"/>
      <c r="P993" s="30"/>
      <c r="Q993" s="30"/>
      <c r="R993" s="30"/>
      <c r="S993" s="31"/>
      <c r="T993" s="31"/>
      <c r="U993" s="31"/>
      <c r="V993" s="31"/>
      <c r="W993" s="31"/>
      <c r="X993" s="32"/>
      <c r="Y993" s="32"/>
      <c r="Z993" s="32"/>
    </row>
    <row r="994" spans="1:26">
      <c r="A994" s="28"/>
      <c r="B994" s="17">
        <f t="shared" si="39"/>
        <v>46319</v>
      </c>
      <c r="C994" s="26">
        <f>I994+J994+K994+L994+M994+N994+O994+IF(P994="",0,P994*サマリー!$B$9)+IF(Q994="",0,IF(Q994=200,サマリー!$B$10,IF(Q994=100,サマリー!$B$11,0)))+IF(R994="",0,R994*サマリー!$B$12)</f>
        <v>0</v>
      </c>
      <c r="D994" s="26">
        <f>S994+T994+U994+V994+W994+IF(X994="",0,X994*サマリー!$B$9)+IF(Y994="",0,IF(Y994=200,サマリー!$B$10,IF(Y994=100,サマリー!$B$11,0)))+IF(Z994="",0,Z994*サマリー!$B$12)</f>
        <v>0</v>
      </c>
      <c r="E994" s="26">
        <f t="shared" si="38"/>
        <v>0</v>
      </c>
      <c r="I994" s="29"/>
      <c r="J994" s="29"/>
      <c r="K994" s="29"/>
      <c r="L994" s="29"/>
      <c r="M994" s="29"/>
      <c r="N994" s="29"/>
      <c r="O994" s="29"/>
      <c r="P994" s="30"/>
      <c r="Q994" s="30"/>
      <c r="R994" s="30"/>
      <c r="S994" s="31"/>
      <c r="T994" s="31"/>
      <c r="U994" s="31"/>
      <c r="V994" s="31"/>
      <c r="W994" s="31"/>
      <c r="X994" s="32"/>
      <c r="Y994" s="32"/>
      <c r="Z994" s="32"/>
    </row>
    <row r="995" spans="1:26">
      <c r="A995" s="28"/>
      <c r="B995" s="17">
        <f t="shared" si="39"/>
        <v>46319</v>
      </c>
      <c r="C995" s="26">
        <f>I995+J995+K995+L995+M995+N995+O995+IF(P995="",0,P995*サマリー!$B$9)+IF(Q995="",0,IF(Q995=200,サマリー!$B$10,IF(Q995=100,サマリー!$B$11,0)))+IF(R995="",0,R995*サマリー!$B$12)</f>
        <v>0</v>
      </c>
      <c r="D995" s="26">
        <f>S995+T995+U995+V995+W995+IF(X995="",0,X995*サマリー!$B$9)+IF(Y995="",0,IF(Y995=200,サマリー!$B$10,IF(Y995=100,サマリー!$B$11,0)))+IF(Z995="",0,Z995*サマリー!$B$12)</f>
        <v>0</v>
      </c>
      <c r="E995" s="26">
        <f t="shared" ref="E995:E1058" si="40">C995+D995</f>
        <v>0</v>
      </c>
      <c r="I995" s="29"/>
      <c r="J995" s="29"/>
      <c r="K995" s="29"/>
      <c r="L995" s="29"/>
      <c r="M995" s="29"/>
      <c r="N995" s="29"/>
      <c r="O995" s="29"/>
      <c r="P995" s="30"/>
      <c r="Q995" s="30"/>
      <c r="R995" s="30"/>
      <c r="S995" s="31"/>
      <c r="T995" s="31"/>
      <c r="U995" s="31"/>
      <c r="V995" s="31"/>
      <c r="W995" s="31"/>
      <c r="X995" s="32"/>
      <c r="Y995" s="32"/>
      <c r="Z995" s="32"/>
    </row>
    <row r="996" spans="1:26">
      <c r="A996" s="28"/>
      <c r="B996" s="17">
        <f t="shared" si="39"/>
        <v>46319</v>
      </c>
      <c r="C996" s="26">
        <f>I996+J996+K996+L996+M996+N996+O996+IF(P996="",0,P996*サマリー!$B$9)+IF(Q996="",0,IF(Q996=200,サマリー!$B$10,IF(Q996=100,サマリー!$B$11,0)))+IF(R996="",0,R996*サマリー!$B$12)</f>
        <v>0</v>
      </c>
      <c r="D996" s="26">
        <f>S996+T996+U996+V996+W996+IF(X996="",0,X996*サマリー!$B$9)+IF(Y996="",0,IF(Y996=200,サマリー!$B$10,IF(Y996=100,サマリー!$B$11,0)))+IF(Z996="",0,Z996*サマリー!$B$12)</f>
        <v>0</v>
      </c>
      <c r="E996" s="26">
        <f t="shared" si="40"/>
        <v>0</v>
      </c>
      <c r="I996" s="29"/>
      <c r="J996" s="29"/>
      <c r="K996" s="29"/>
      <c r="L996" s="29"/>
      <c r="M996" s="29"/>
      <c r="N996" s="29"/>
      <c r="O996" s="29"/>
      <c r="P996" s="30"/>
      <c r="Q996" s="30"/>
      <c r="R996" s="30"/>
      <c r="S996" s="31"/>
      <c r="T996" s="31"/>
      <c r="U996" s="31"/>
      <c r="V996" s="31"/>
      <c r="W996" s="31"/>
      <c r="X996" s="32"/>
      <c r="Y996" s="32"/>
      <c r="Z996" s="32"/>
    </row>
    <row r="997" spans="1:26">
      <c r="A997" s="28"/>
      <c r="B997" s="17">
        <f t="shared" si="39"/>
        <v>46319</v>
      </c>
      <c r="C997" s="26">
        <f>I997+J997+K997+L997+M997+N997+O997+IF(P997="",0,P997*サマリー!$B$9)+IF(Q997="",0,IF(Q997=200,サマリー!$B$10,IF(Q997=100,サマリー!$B$11,0)))+IF(R997="",0,R997*サマリー!$B$12)</f>
        <v>0</v>
      </c>
      <c r="D997" s="26">
        <f>S997+T997+U997+V997+W997+IF(X997="",0,X997*サマリー!$B$9)+IF(Y997="",0,IF(Y997=200,サマリー!$B$10,IF(Y997=100,サマリー!$B$11,0)))+IF(Z997="",0,Z997*サマリー!$B$12)</f>
        <v>0</v>
      </c>
      <c r="E997" s="26">
        <f t="shared" si="40"/>
        <v>0</v>
      </c>
      <c r="I997" s="29"/>
      <c r="J997" s="29"/>
      <c r="K997" s="29"/>
      <c r="L997" s="29"/>
      <c r="M997" s="29"/>
      <c r="N997" s="29"/>
      <c r="O997" s="29"/>
      <c r="P997" s="30"/>
      <c r="Q997" s="30"/>
      <c r="R997" s="30"/>
      <c r="S997" s="31"/>
      <c r="T997" s="31"/>
      <c r="U997" s="31"/>
      <c r="V997" s="31"/>
      <c r="W997" s="31"/>
      <c r="X997" s="32"/>
      <c r="Y997" s="32"/>
      <c r="Z997" s="32"/>
    </row>
    <row r="998" spans="1:26">
      <c r="A998" s="28"/>
      <c r="B998" s="17">
        <f t="shared" si="39"/>
        <v>46319</v>
      </c>
      <c r="C998" s="26">
        <f>I998+J998+K998+L998+M998+N998+O998+IF(P998="",0,P998*サマリー!$B$9)+IF(Q998="",0,IF(Q998=200,サマリー!$B$10,IF(Q998=100,サマリー!$B$11,0)))+IF(R998="",0,R998*サマリー!$B$12)</f>
        <v>0</v>
      </c>
      <c r="D998" s="26">
        <f>S998+T998+U998+V998+W998+IF(X998="",0,X998*サマリー!$B$9)+IF(Y998="",0,IF(Y998=200,サマリー!$B$10,IF(Y998=100,サマリー!$B$11,0)))+IF(Z998="",0,Z998*サマリー!$B$12)</f>
        <v>0</v>
      </c>
      <c r="E998" s="26">
        <f t="shared" si="40"/>
        <v>0</v>
      </c>
      <c r="I998" s="29"/>
      <c r="J998" s="29"/>
      <c r="K998" s="29"/>
      <c r="L998" s="29"/>
      <c r="M998" s="29"/>
      <c r="N998" s="29"/>
      <c r="O998" s="29"/>
      <c r="P998" s="30"/>
      <c r="Q998" s="30"/>
      <c r="R998" s="30"/>
      <c r="S998" s="31"/>
      <c r="T998" s="31"/>
      <c r="U998" s="31"/>
      <c r="V998" s="31"/>
      <c r="W998" s="31"/>
      <c r="X998" s="32"/>
      <c r="Y998" s="32"/>
      <c r="Z998" s="32"/>
    </row>
    <row r="999" spans="1:26">
      <c r="A999" s="28"/>
      <c r="B999" s="17">
        <f t="shared" si="39"/>
        <v>46319</v>
      </c>
      <c r="C999" s="26">
        <f>I999+J999+K999+L999+M999+N999+O999+IF(P999="",0,P999*サマリー!$B$9)+IF(Q999="",0,IF(Q999=200,サマリー!$B$10,IF(Q999=100,サマリー!$B$11,0)))+IF(R999="",0,R999*サマリー!$B$12)</f>
        <v>0</v>
      </c>
      <c r="D999" s="26">
        <f>S999+T999+U999+V999+W999+IF(X999="",0,X999*サマリー!$B$9)+IF(Y999="",0,IF(Y999=200,サマリー!$B$10,IF(Y999=100,サマリー!$B$11,0)))+IF(Z999="",0,Z999*サマリー!$B$12)</f>
        <v>0</v>
      </c>
      <c r="E999" s="26">
        <f t="shared" si="40"/>
        <v>0</v>
      </c>
      <c r="I999" s="29"/>
      <c r="J999" s="29"/>
      <c r="K999" s="29"/>
      <c r="L999" s="29"/>
      <c r="M999" s="29"/>
      <c r="N999" s="29"/>
      <c r="O999" s="29"/>
      <c r="P999" s="30"/>
      <c r="Q999" s="30"/>
      <c r="R999" s="30"/>
      <c r="S999" s="31"/>
      <c r="T999" s="31"/>
      <c r="U999" s="31"/>
      <c r="V999" s="31"/>
      <c r="W999" s="31"/>
      <c r="X999" s="32"/>
      <c r="Y999" s="32"/>
      <c r="Z999" s="32"/>
    </row>
    <row r="1000" spans="1:26">
      <c r="A1000" s="28"/>
      <c r="B1000" s="17">
        <f t="shared" si="39"/>
        <v>46319</v>
      </c>
      <c r="C1000" s="26">
        <f>I1000+J1000+K1000+L1000+M1000+N1000+O1000+IF(P1000="",0,P1000*サマリー!$B$9)+IF(Q1000="",0,IF(Q1000=200,サマリー!$B$10,IF(Q1000=100,サマリー!$B$11,0)))+IF(R1000="",0,R1000*サマリー!$B$12)</f>
        <v>0</v>
      </c>
      <c r="D1000" s="26">
        <f>S1000+T1000+U1000+V1000+W1000+IF(X1000="",0,X1000*サマリー!$B$9)+IF(Y1000="",0,IF(Y1000=200,サマリー!$B$10,IF(Y1000=100,サマリー!$B$11,0)))+IF(Z1000="",0,Z1000*サマリー!$B$12)</f>
        <v>0</v>
      </c>
      <c r="E1000" s="26">
        <f t="shared" si="40"/>
        <v>0</v>
      </c>
      <c r="I1000" s="29"/>
      <c r="J1000" s="29"/>
      <c r="K1000" s="29"/>
      <c r="L1000" s="29"/>
      <c r="M1000" s="29"/>
      <c r="N1000" s="29"/>
      <c r="O1000" s="29"/>
      <c r="P1000" s="30"/>
      <c r="Q1000" s="30"/>
      <c r="R1000" s="30"/>
      <c r="S1000" s="31"/>
      <c r="T1000" s="31"/>
      <c r="U1000" s="31"/>
      <c r="V1000" s="31"/>
      <c r="W1000" s="31"/>
      <c r="X1000" s="32"/>
      <c r="Y1000" s="32"/>
      <c r="Z1000" s="32"/>
    </row>
    <row r="1001" spans="1:26">
      <c r="A1001" s="28"/>
      <c r="B1001" s="17">
        <f t="shared" si="39"/>
        <v>46319</v>
      </c>
      <c r="C1001" s="26">
        <f>I1001+J1001+K1001+L1001+M1001+N1001+O1001+IF(P1001="",0,P1001*サマリー!$B$9)+IF(Q1001="",0,IF(Q1001=200,サマリー!$B$10,IF(Q1001=100,サマリー!$B$11,0)))+IF(R1001="",0,R1001*サマリー!$B$12)</f>
        <v>0</v>
      </c>
      <c r="D1001" s="26">
        <f>S1001+T1001+U1001+V1001+W1001+IF(X1001="",0,X1001*サマリー!$B$9)+IF(Y1001="",0,IF(Y1001=200,サマリー!$B$10,IF(Y1001=100,サマリー!$B$11,0)))+IF(Z1001="",0,Z1001*サマリー!$B$12)</f>
        <v>0</v>
      </c>
      <c r="E1001" s="26">
        <f t="shared" si="40"/>
        <v>0</v>
      </c>
      <c r="I1001" s="29"/>
      <c r="J1001" s="29"/>
      <c r="K1001" s="29"/>
      <c r="L1001" s="29"/>
      <c r="M1001" s="29"/>
      <c r="N1001" s="29"/>
      <c r="O1001" s="29"/>
      <c r="P1001" s="30"/>
      <c r="Q1001" s="30"/>
      <c r="R1001" s="30"/>
      <c r="S1001" s="31"/>
      <c r="T1001" s="31"/>
      <c r="U1001" s="31"/>
      <c r="V1001" s="31"/>
      <c r="W1001" s="31"/>
      <c r="X1001" s="32"/>
      <c r="Y1001" s="32"/>
      <c r="Z1001" s="32"/>
    </row>
    <row r="1002" spans="1:26">
      <c r="A1002" s="28"/>
      <c r="B1002" s="17">
        <f t="shared" si="39"/>
        <v>46319</v>
      </c>
      <c r="C1002" s="26">
        <f>I1002+J1002+K1002+L1002+M1002+N1002+O1002+IF(P1002="",0,P1002*サマリー!$B$9)+IF(Q1002="",0,IF(Q1002=200,サマリー!$B$10,IF(Q1002=100,サマリー!$B$11,0)))+IF(R1002="",0,R1002*サマリー!$B$12)</f>
        <v>0</v>
      </c>
      <c r="D1002" s="26">
        <f>S1002+T1002+U1002+V1002+W1002+IF(X1002="",0,X1002*サマリー!$B$9)+IF(Y1002="",0,IF(Y1002=200,サマリー!$B$10,IF(Y1002=100,サマリー!$B$11,0)))+IF(Z1002="",0,Z1002*サマリー!$B$12)</f>
        <v>0</v>
      </c>
      <c r="E1002" s="26">
        <f t="shared" si="40"/>
        <v>0</v>
      </c>
      <c r="I1002" s="29"/>
      <c r="J1002" s="29"/>
      <c r="K1002" s="29"/>
      <c r="L1002" s="29"/>
      <c r="M1002" s="29"/>
      <c r="N1002" s="29"/>
      <c r="O1002" s="29"/>
      <c r="P1002" s="30"/>
      <c r="Q1002" s="30"/>
      <c r="R1002" s="30"/>
      <c r="S1002" s="31"/>
      <c r="T1002" s="31"/>
      <c r="U1002" s="31"/>
      <c r="V1002" s="31"/>
      <c r="W1002" s="31"/>
      <c r="X1002" s="32"/>
      <c r="Y1002" s="32"/>
      <c r="Z1002" s="32"/>
    </row>
    <row r="1003" spans="1:26">
      <c r="A1003" s="28"/>
      <c r="B1003" s="17">
        <f t="shared" si="39"/>
        <v>46319</v>
      </c>
      <c r="C1003" s="26">
        <f>I1003+J1003+K1003+L1003+M1003+N1003+O1003+IF(P1003="",0,P1003*サマリー!$B$9)+IF(Q1003="",0,IF(Q1003=200,サマリー!$B$10,IF(Q1003=100,サマリー!$B$11,0)))+IF(R1003="",0,R1003*サマリー!$B$12)</f>
        <v>0</v>
      </c>
      <c r="D1003" s="26">
        <f>S1003+T1003+U1003+V1003+W1003+IF(X1003="",0,X1003*サマリー!$B$9)+IF(Y1003="",0,IF(Y1003=200,サマリー!$B$10,IF(Y1003=100,サマリー!$B$11,0)))+IF(Z1003="",0,Z1003*サマリー!$B$12)</f>
        <v>0</v>
      </c>
      <c r="E1003" s="26">
        <f t="shared" si="40"/>
        <v>0</v>
      </c>
      <c r="I1003" s="29"/>
      <c r="J1003" s="29"/>
      <c r="K1003" s="29"/>
      <c r="L1003" s="29"/>
      <c r="M1003" s="29"/>
      <c r="N1003" s="29"/>
      <c r="O1003" s="29"/>
      <c r="P1003" s="30"/>
      <c r="Q1003" s="30"/>
      <c r="R1003" s="30"/>
      <c r="S1003" s="31"/>
      <c r="T1003" s="31"/>
      <c r="U1003" s="31"/>
      <c r="V1003" s="31"/>
      <c r="W1003" s="31"/>
      <c r="X1003" s="32"/>
      <c r="Y1003" s="32"/>
      <c r="Z1003" s="32"/>
    </row>
    <row r="1004" spans="1:26">
      <c r="A1004" s="28"/>
      <c r="B1004" s="17">
        <f t="shared" si="39"/>
        <v>46319</v>
      </c>
      <c r="C1004" s="26">
        <f>I1004+J1004+K1004+L1004+M1004+N1004+O1004+IF(P1004="",0,P1004*サマリー!$B$9)+IF(Q1004="",0,IF(Q1004=200,サマリー!$B$10,IF(Q1004=100,サマリー!$B$11,0)))+IF(R1004="",0,R1004*サマリー!$B$12)</f>
        <v>0</v>
      </c>
      <c r="D1004" s="26">
        <f>S1004+T1004+U1004+V1004+W1004+IF(X1004="",0,X1004*サマリー!$B$9)+IF(Y1004="",0,IF(Y1004=200,サマリー!$B$10,IF(Y1004=100,サマリー!$B$11,0)))+IF(Z1004="",0,Z1004*サマリー!$B$12)</f>
        <v>0</v>
      </c>
      <c r="E1004" s="26">
        <f t="shared" si="40"/>
        <v>0</v>
      </c>
      <c r="I1004" s="29"/>
      <c r="J1004" s="29"/>
      <c r="K1004" s="29"/>
      <c r="L1004" s="29"/>
      <c r="M1004" s="29"/>
      <c r="N1004" s="29"/>
      <c r="O1004" s="29"/>
      <c r="P1004" s="30"/>
      <c r="Q1004" s="30"/>
      <c r="R1004" s="30"/>
      <c r="S1004" s="31"/>
      <c r="T1004" s="31"/>
      <c r="U1004" s="31"/>
      <c r="V1004" s="31"/>
      <c r="W1004" s="31"/>
      <c r="X1004" s="32"/>
      <c r="Y1004" s="32"/>
      <c r="Z1004" s="32"/>
    </row>
    <row r="1005" spans="1:26">
      <c r="A1005" s="28"/>
      <c r="B1005" s="17">
        <f t="shared" si="39"/>
        <v>46319</v>
      </c>
      <c r="C1005" s="26">
        <f>I1005+J1005+K1005+L1005+M1005+N1005+O1005+IF(P1005="",0,P1005*サマリー!$B$9)+IF(Q1005="",0,IF(Q1005=200,サマリー!$B$10,IF(Q1005=100,サマリー!$B$11,0)))+IF(R1005="",0,R1005*サマリー!$B$12)</f>
        <v>0</v>
      </c>
      <c r="D1005" s="26">
        <f>S1005+T1005+U1005+V1005+W1005+IF(X1005="",0,X1005*サマリー!$B$9)+IF(Y1005="",0,IF(Y1005=200,サマリー!$B$10,IF(Y1005=100,サマリー!$B$11,0)))+IF(Z1005="",0,Z1005*サマリー!$B$12)</f>
        <v>0</v>
      </c>
      <c r="E1005" s="26">
        <f t="shared" si="40"/>
        <v>0</v>
      </c>
      <c r="I1005" s="29"/>
      <c r="J1005" s="29"/>
      <c r="K1005" s="29"/>
      <c r="L1005" s="29"/>
      <c r="M1005" s="29"/>
      <c r="N1005" s="29"/>
      <c r="O1005" s="29"/>
      <c r="P1005" s="30"/>
      <c r="Q1005" s="30"/>
      <c r="R1005" s="30"/>
      <c r="S1005" s="31"/>
      <c r="T1005" s="31"/>
      <c r="U1005" s="31"/>
      <c r="V1005" s="31"/>
      <c r="W1005" s="31"/>
      <c r="X1005" s="32"/>
      <c r="Y1005" s="32"/>
      <c r="Z1005" s="32"/>
    </row>
    <row r="1006" spans="1:26">
      <c r="A1006" s="28"/>
      <c r="B1006" s="17">
        <f t="shared" si="39"/>
        <v>46319</v>
      </c>
      <c r="C1006" s="26">
        <f>I1006+J1006+K1006+L1006+M1006+N1006+O1006+IF(P1006="",0,P1006*サマリー!$B$9)+IF(Q1006="",0,IF(Q1006=200,サマリー!$B$10,IF(Q1006=100,サマリー!$B$11,0)))+IF(R1006="",0,R1006*サマリー!$B$12)</f>
        <v>0</v>
      </c>
      <c r="D1006" s="26">
        <f>S1006+T1006+U1006+V1006+W1006+IF(X1006="",0,X1006*サマリー!$B$9)+IF(Y1006="",0,IF(Y1006=200,サマリー!$B$10,IF(Y1006=100,サマリー!$B$11,0)))+IF(Z1006="",0,Z1006*サマリー!$B$12)</f>
        <v>0</v>
      </c>
      <c r="E1006" s="26">
        <f t="shared" si="40"/>
        <v>0</v>
      </c>
      <c r="I1006" s="29"/>
      <c r="J1006" s="29"/>
      <c r="K1006" s="29"/>
      <c r="L1006" s="29"/>
      <c r="M1006" s="29"/>
      <c r="N1006" s="29"/>
      <c r="O1006" s="29"/>
      <c r="P1006" s="30"/>
      <c r="Q1006" s="30"/>
      <c r="R1006" s="30"/>
      <c r="S1006" s="31"/>
      <c r="T1006" s="31"/>
      <c r="U1006" s="31"/>
      <c r="V1006" s="31"/>
      <c r="W1006" s="31"/>
      <c r="X1006" s="32"/>
      <c r="Y1006" s="32"/>
      <c r="Z1006" s="32"/>
    </row>
    <row r="1007" spans="1:26">
      <c r="A1007" s="28"/>
      <c r="B1007" s="17">
        <f t="shared" si="39"/>
        <v>46319</v>
      </c>
      <c r="C1007" s="26">
        <f>I1007+J1007+K1007+L1007+M1007+N1007+O1007+IF(P1007="",0,P1007*サマリー!$B$9)+IF(Q1007="",0,IF(Q1007=200,サマリー!$B$10,IF(Q1007=100,サマリー!$B$11,0)))+IF(R1007="",0,R1007*サマリー!$B$12)</f>
        <v>0</v>
      </c>
      <c r="D1007" s="26">
        <f>S1007+T1007+U1007+V1007+W1007+IF(X1007="",0,X1007*サマリー!$B$9)+IF(Y1007="",0,IF(Y1007=200,サマリー!$B$10,IF(Y1007=100,サマリー!$B$11,0)))+IF(Z1007="",0,Z1007*サマリー!$B$12)</f>
        <v>0</v>
      </c>
      <c r="E1007" s="26">
        <f t="shared" si="40"/>
        <v>0</v>
      </c>
      <c r="I1007" s="29"/>
      <c r="J1007" s="29"/>
      <c r="K1007" s="29"/>
      <c r="L1007" s="29"/>
      <c r="M1007" s="29"/>
      <c r="N1007" s="29"/>
      <c r="O1007" s="29"/>
      <c r="P1007" s="30"/>
      <c r="Q1007" s="30"/>
      <c r="R1007" s="30"/>
      <c r="S1007" s="31"/>
      <c r="T1007" s="31"/>
      <c r="U1007" s="31"/>
      <c r="V1007" s="31"/>
      <c r="W1007" s="31"/>
      <c r="X1007" s="32"/>
      <c r="Y1007" s="32"/>
      <c r="Z1007" s="32"/>
    </row>
    <row r="1008" spans="1:26">
      <c r="A1008" s="28"/>
      <c r="B1008" s="17">
        <f t="shared" si="39"/>
        <v>46319</v>
      </c>
      <c r="C1008" s="26">
        <f>I1008+J1008+K1008+L1008+M1008+N1008+O1008+IF(P1008="",0,P1008*サマリー!$B$9)+IF(Q1008="",0,IF(Q1008=200,サマリー!$B$10,IF(Q1008=100,サマリー!$B$11,0)))+IF(R1008="",0,R1008*サマリー!$B$12)</f>
        <v>0</v>
      </c>
      <c r="D1008" s="26">
        <f>S1008+T1008+U1008+V1008+W1008+IF(X1008="",0,X1008*サマリー!$B$9)+IF(Y1008="",0,IF(Y1008=200,サマリー!$B$10,IF(Y1008=100,サマリー!$B$11,0)))+IF(Z1008="",0,Z1008*サマリー!$B$12)</f>
        <v>0</v>
      </c>
      <c r="E1008" s="26">
        <f t="shared" si="40"/>
        <v>0</v>
      </c>
      <c r="I1008" s="29"/>
      <c r="J1008" s="29"/>
      <c r="K1008" s="29"/>
      <c r="L1008" s="29"/>
      <c r="M1008" s="29"/>
      <c r="N1008" s="29"/>
      <c r="O1008" s="29"/>
      <c r="P1008" s="30"/>
      <c r="Q1008" s="30"/>
      <c r="R1008" s="30"/>
      <c r="S1008" s="31"/>
      <c r="T1008" s="31"/>
      <c r="U1008" s="31"/>
      <c r="V1008" s="31"/>
      <c r="W1008" s="31"/>
      <c r="X1008" s="32"/>
      <c r="Y1008" s="32"/>
      <c r="Z1008" s="32"/>
    </row>
    <row r="1009" spans="1:26">
      <c r="A1009" s="28"/>
      <c r="B1009" s="17">
        <f t="shared" si="39"/>
        <v>46319</v>
      </c>
      <c r="C1009" s="26">
        <f>I1009+J1009+K1009+L1009+M1009+N1009+O1009+IF(P1009="",0,P1009*サマリー!$B$9)+IF(Q1009="",0,IF(Q1009=200,サマリー!$B$10,IF(Q1009=100,サマリー!$B$11,0)))+IF(R1009="",0,R1009*サマリー!$B$12)</f>
        <v>0</v>
      </c>
      <c r="D1009" s="26">
        <f>S1009+T1009+U1009+V1009+W1009+IF(X1009="",0,X1009*サマリー!$B$9)+IF(Y1009="",0,IF(Y1009=200,サマリー!$B$10,IF(Y1009=100,サマリー!$B$11,0)))+IF(Z1009="",0,Z1009*サマリー!$B$12)</f>
        <v>0</v>
      </c>
      <c r="E1009" s="26">
        <f t="shared" si="40"/>
        <v>0</v>
      </c>
      <c r="I1009" s="29"/>
      <c r="J1009" s="29"/>
      <c r="K1009" s="29"/>
      <c r="L1009" s="29"/>
      <c r="M1009" s="29"/>
      <c r="N1009" s="29"/>
      <c r="O1009" s="29"/>
      <c r="P1009" s="30"/>
      <c r="Q1009" s="30"/>
      <c r="R1009" s="30"/>
      <c r="S1009" s="31"/>
      <c r="T1009" s="31"/>
      <c r="U1009" s="31"/>
      <c r="V1009" s="31"/>
      <c r="W1009" s="31"/>
      <c r="X1009" s="32"/>
      <c r="Y1009" s="32"/>
      <c r="Z1009" s="32"/>
    </row>
    <row r="1010" spans="1:26">
      <c r="A1010" s="28"/>
      <c r="B1010" s="17">
        <f t="shared" si="39"/>
        <v>46319</v>
      </c>
      <c r="C1010" s="26">
        <f>I1010+J1010+K1010+L1010+M1010+N1010+O1010+IF(P1010="",0,P1010*サマリー!$B$9)+IF(Q1010="",0,IF(Q1010=200,サマリー!$B$10,IF(Q1010=100,サマリー!$B$11,0)))+IF(R1010="",0,R1010*サマリー!$B$12)</f>
        <v>0</v>
      </c>
      <c r="D1010" s="26">
        <f>S1010+T1010+U1010+V1010+W1010+IF(X1010="",0,X1010*サマリー!$B$9)+IF(Y1010="",0,IF(Y1010=200,サマリー!$B$10,IF(Y1010=100,サマリー!$B$11,0)))+IF(Z1010="",0,Z1010*サマリー!$B$12)</f>
        <v>0</v>
      </c>
      <c r="E1010" s="26">
        <f t="shared" si="40"/>
        <v>0</v>
      </c>
      <c r="I1010" s="29"/>
      <c r="J1010" s="29"/>
      <c r="K1010" s="29"/>
      <c r="L1010" s="29"/>
      <c r="M1010" s="29"/>
      <c r="N1010" s="29"/>
      <c r="O1010" s="29"/>
      <c r="P1010" s="30"/>
      <c r="Q1010" s="30"/>
      <c r="R1010" s="30"/>
      <c r="S1010" s="31"/>
      <c r="T1010" s="31"/>
      <c r="U1010" s="31"/>
      <c r="V1010" s="31"/>
      <c r="W1010" s="31"/>
      <c r="X1010" s="32"/>
      <c r="Y1010" s="32"/>
      <c r="Z1010" s="32"/>
    </row>
    <row r="1011" spans="1:26">
      <c r="A1011" s="28"/>
      <c r="B1011" s="17">
        <f t="shared" si="39"/>
        <v>46319</v>
      </c>
      <c r="C1011" s="26">
        <f>I1011+J1011+K1011+L1011+M1011+N1011+O1011+IF(P1011="",0,P1011*サマリー!$B$9)+IF(Q1011="",0,IF(Q1011=200,サマリー!$B$10,IF(Q1011=100,サマリー!$B$11,0)))+IF(R1011="",0,R1011*サマリー!$B$12)</f>
        <v>0</v>
      </c>
      <c r="D1011" s="26">
        <f>S1011+T1011+U1011+V1011+W1011+IF(X1011="",0,X1011*サマリー!$B$9)+IF(Y1011="",0,IF(Y1011=200,サマリー!$B$10,IF(Y1011=100,サマリー!$B$11,0)))+IF(Z1011="",0,Z1011*サマリー!$B$12)</f>
        <v>0</v>
      </c>
      <c r="E1011" s="26">
        <f t="shared" si="40"/>
        <v>0</v>
      </c>
      <c r="I1011" s="29"/>
      <c r="J1011" s="29"/>
      <c r="K1011" s="29"/>
      <c r="L1011" s="29"/>
      <c r="M1011" s="29"/>
      <c r="N1011" s="29"/>
      <c r="O1011" s="29"/>
      <c r="P1011" s="30"/>
      <c r="Q1011" s="30"/>
      <c r="R1011" s="30"/>
      <c r="S1011" s="31"/>
      <c r="T1011" s="31"/>
      <c r="U1011" s="31"/>
      <c r="V1011" s="31"/>
      <c r="W1011" s="31"/>
      <c r="X1011" s="32"/>
      <c r="Y1011" s="32"/>
      <c r="Z1011" s="32"/>
    </row>
    <row r="1012" spans="1:26">
      <c r="A1012" s="28"/>
      <c r="B1012" s="17">
        <f t="shared" si="39"/>
        <v>46319</v>
      </c>
      <c r="C1012" s="26">
        <f>I1012+J1012+K1012+L1012+M1012+N1012+O1012+IF(P1012="",0,P1012*サマリー!$B$9)+IF(Q1012="",0,IF(Q1012=200,サマリー!$B$10,IF(Q1012=100,サマリー!$B$11,0)))+IF(R1012="",0,R1012*サマリー!$B$12)</f>
        <v>0</v>
      </c>
      <c r="D1012" s="26">
        <f>S1012+T1012+U1012+V1012+W1012+IF(X1012="",0,X1012*サマリー!$B$9)+IF(Y1012="",0,IF(Y1012=200,サマリー!$B$10,IF(Y1012=100,サマリー!$B$11,0)))+IF(Z1012="",0,Z1012*サマリー!$B$12)</f>
        <v>0</v>
      </c>
      <c r="E1012" s="26">
        <f t="shared" si="40"/>
        <v>0</v>
      </c>
      <c r="I1012" s="29"/>
      <c r="J1012" s="29"/>
      <c r="K1012" s="29"/>
      <c r="L1012" s="29"/>
      <c r="M1012" s="29"/>
      <c r="N1012" s="29"/>
      <c r="O1012" s="29"/>
      <c r="P1012" s="30"/>
      <c r="Q1012" s="30"/>
      <c r="R1012" s="30"/>
      <c r="S1012" s="31"/>
      <c r="T1012" s="31"/>
      <c r="U1012" s="31"/>
      <c r="V1012" s="31"/>
      <c r="W1012" s="31"/>
      <c r="X1012" s="32"/>
      <c r="Y1012" s="32"/>
      <c r="Z1012" s="32"/>
    </row>
    <row r="1013" spans="1:26">
      <c r="A1013" s="28"/>
      <c r="B1013" s="17">
        <f t="shared" si="39"/>
        <v>46319</v>
      </c>
      <c r="C1013" s="26">
        <f>I1013+J1013+K1013+L1013+M1013+N1013+O1013+IF(P1013="",0,P1013*サマリー!$B$9)+IF(Q1013="",0,IF(Q1013=200,サマリー!$B$10,IF(Q1013=100,サマリー!$B$11,0)))+IF(R1013="",0,R1013*サマリー!$B$12)</f>
        <v>0</v>
      </c>
      <c r="D1013" s="26">
        <f>S1013+T1013+U1013+V1013+W1013+IF(X1013="",0,X1013*サマリー!$B$9)+IF(Y1013="",0,IF(Y1013=200,サマリー!$B$10,IF(Y1013=100,サマリー!$B$11,0)))+IF(Z1013="",0,Z1013*サマリー!$B$12)</f>
        <v>0</v>
      </c>
      <c r="E1013" s="26">
        <f t="shared" si="40"/>
        <v>0</v>
      </c>
      <c r="I1013" s="29"/>
      <c r="J1013" s="29"/>
      <c r="K1013" s="29"/>
      <c r="L1013" s="29"/>
      <c r="M1013" s="29"/>
      <c r="N1013" s="29"/>
      <c r="O1013" s="29"/>
      <c r="P1013" s="30"/>
      <c r="Q1013" s="30"/>
      <c r="R1013" s="30"/>
      <c r="S1013" s="31"/>
      <c r="T1013" s="31"/>
      <c r="U1013" s="31"/>
      <c r="V1013" s="31"/>
      <c r="W1013" s="31"/>
      <c r="X1013" s="32"/>
      <c r="Y1013" s="32"/>
      <c r="Z1013" s="32"/>
    </row>
    <row r="1014" spans="1:26">
      <c r="A1014" s="28"/>
      <c r="B1014" s="17">
        <f t="shared" si="39"/>
        <v>46319</v>
      </c>
      <c r="C1014" s="26">
        <f>I1014+J1014+K1014+L1014+M1014+N1014+O1014+IF(P1014="",0,P1014*サマリー!$B$9)+IF(Q1014="",0,IF(Q1014=200,サマリー!$B$10,IF(Q1014=100,サマリー!$B$11,0)))+IF(R1014="",0,R1014*サマリー!$B$12)</f>
        <v>0</v>
      </c>
      <c r="D1014" s="26">
        <f>S1014+T1014+U1014+V1014+W1014+IF(X1014="",0,X1014*サマリー!$B$9)+IF(Y1014="",0,IF(Y1014=200,サマリー!$B$10,IF(Y1014=100,サマリー!$B$11,0)))+IF(Z1014="",0,Z1014*サマリー!$B$12)</f>
        <v>0</v>
      </c>
      <c r="E1014" s="26">
        <f t="shared" si="40"/>
        <v>0</v>
      </c>
      <c r="I1014" s="29"/>
      <c r="J1014" s="29"/>
      <c r="K1014" s="29"/>
      <c r="L1014" s="29"/>
      <c r="M1014" s="29"/>
      <c r="N1014" s="29"/>
      <c r="O1014" s="29"/>
      <c r="P1014" s="30"/>
      <c r="Q1014" s="30"/>
      <c r="R1014" s="30"/>
      <c r="S1014" s="31"/>
      <c r="T1014" s="31"/>
      <c r="U1014" s="31"/>
      <c r="V1014" s="31"/>
      <c r="W1014" s="31"/>
      <c r="X1014" s="32"/>
      <c r="Y1014" s="32"/>
      <c r="Z1014" s="32"/>
    </row>
    <row r="1015" spans="1:26">
      <c r="A1015" s="28"/>
      <c r="B1015" s="17">
        <f t="shared" si="39"/>
        <v>46319</v>
      </c>
      <c r="C1015" s="26">
        <f>I1015+J1015+K1015+L1015+M1015+N1015+O1015+IF(P1015="",0,P1015*サマリー!$B$9)+IF(Q1015="",0,IF(Q1015=200,サマリー!$B$10,IF(Q1015=100,サマリー!$B$11,0)))+IF(R1015="",0,R1015*サマリー!$B$12)</f>
        <v>0</v>
      </c>
      <c r="D1015" s="26">
        <f>S1015+T1015+U1015+V1015+W1015+IF(X1015="",0,X1015*サマリー!$B$9)+IF(Y1015="",0,IF(Y1015=200,サマリー!$B$10,IF(Y1015=100,サマリー!$B$11,0)))+IF(Z1015="",0,Z1015*サマリー!$B$12)</f>
        <v>0</v>
      </c>
      <c r="E1015" s="26">
        <f t="shared" si="40"/>
        <v>0</v>
      </c>
      <c r="I1015" s="29"/>
      <c r="J1015" s="29"/>
      <c r="K1015" s="29"/>
      <c r="L1015" s="29"/>
      <c r="M1015" s="29"/>
      <c r="N1015" s="29"/>
      <c r="O1015" s="29"/>
      <c r="P1015" s="30"/>
      <c r="Q1015" s="30"/>
      <c r="R1015" s="30"/>
      <c r="S1015" s="31"/>
      <c r="T1015" s="31"/>
      <c r="U1015" s="31"/>
      <c r="V1015" s="31"/>
      <c r="W1015" s="31"/>
      <c r="X1015" s="32"/>
      <c r="Y1015" s="32"/>
      <c r="Z1015" s="32"/>
    </row>
    <row r="1016" spans="1:26">
      <c r="A1016" s="28"/>
      <c r="B1016" s="17">
        <f t="shared" si="39"/>
        <v>46319</v>
      </c>
      <c r="C1016" s="26">
        <f>I1016+J1016+K1016+L1016+M1016+N1016+O1016+IF(P1016="",0,P1016*サマリー!$B$9)+IF(Q1016="",0,IF(Q1016=200,サマリー!$B$10,IF(Q1016=100,サマリー!$B$11,0)))+IF(R1016="",0,R1016*サマリー!$B$12)</f>
        <v>0</v>
      </c>
      <c r="D1016" s="26">
        <f>S1016+T1016+U1016+V1016+W1016+IF(X1016="",0,X1016*サマリー!$B$9)+IF(Y1016="",0,IF(Y1016=200,サマリー!$B$10,IF(Y1016=100,サマリー!$B$11,0)))+IF(Z1016="",0,Z1016*サマリー!$B$12)</f>
        <v>0</v>
      </c>
      <c r="E1016" s="26">
        <f t="shared" si="40"/>
        <v>0</v>
      </c>
      <c r="I1016" s="29"/>
      <c r="J1016" s="29"/>
      <c r="K1016" s="29"/>
      <c r="L1016" s="29"/>
      <c r="M1016" s="29"/>
      <c r="N1016" s="29"/>
      <c r="O1016" s="29"/>
      <c r="P1016" s="30"/>
      <c r="Q1016" s="30"/>
      <c r="R1016" s="30"/>
      <c r="S1016" s="31"/>
      <c r="T1016" s="31"/>
      <c r="U1016" s="31"/>
      <c r="V1016" s="31"/>
      <c r="W1016" s="31"/>
      <c r="X1016" s="32"/>
      <c r="Y1016" s="32"/>
      <c r="Z1016" s="32"/>
    </row>
    <row r="1017" spans="1:26">
      <c r="A1017" s="28"/>
      <c r="B1017" s="17">
        <f t="shared" si="39"/>
        <v>46319</v>
      </c>
      <c r="C1017" s="26">
        <f>I1017+J1017+K1017+L1017+M1017+N1017+O1017+IF(P1017="",0,P1017*サマリー!$B$9)+IF(Q1017="",0,IF(Q1017=200,サマリー!$B$10,IF(Q1017=100,サマリー!$B$11,0)))+IF(R1017="",0,R1017*サマリー!$B$12)</f>
        <v>0</v>
      </c>
      <c r="D1017" s="26">
        <f>S1017+T1017+U1017+V1017+W1017+IF(X1017="",0,X1017*サマリー!$B$9)+IF(Y1017="",0,IF(Y1017=200,サマリー!$B$10,IF(Y1017=100,サマリー!$B$11,0)))+IF(Z1017="",0,Z1017*サマリー!$B$12)</f>
        <v>0</v>
      </c>
      <c r="E1017" s="26">
        <f t="shared" si="40"/>
        <v>0</v>
      </c>
      <c r="I1017" s="29"/>
      <c r="J1017" s="29"/>
      <c r="K1017" s="29"/>
      <c r="L1017" s="29"/>
      <c r="M1017" s="29"/>
      <c r="N1017" s="29"/>
      <c r="O1017" s="29"/>
      <c r="P1017" s="30"/>
      <c r="Q1017" s="30"/>
      <c r="R1017" s="30"/>
      <c r="S1017" s="31"/>
      <c r="T1017" s="31"/>
      <c r="U1017" s="31"/>
      <c r="V1017" s="31"/>
      <c r="W1017" s="31"/>
      <c r="X1017" s="32"/>
      <c r="Y1017" s="32"/>
      <c r="Z1017" s="32"/>
    </row>
    <row r="1018" spans="1:26">
      <c r="A1018" s="28"/>
      <c r="B1018" s="17">
        <f t="shared" si="39"/>
        <v>46319</v>
      </c>
      <c r="C1018" s="26">
        <f>I1018+J1018+K1018+L1018+M1018+N1018+O1018+IF(P1018="",0,P1018*サマリー!$B$9)+IF(Q1018="",0,IF(Q1018=200,サマリー!$B$10,IF(Q1018=100,サマリー!$B$11,0)))+IF(R1018="",0,R1018*サマリー!$B$12)</f>
        <v>0</v>
      </c>
      <c r="D1018" s="26">
        <f>S1018+T1018+U1018+V1018+W1018+IF(X1018="",0,X1018*サマリー!$B$9)+IF(Y1018="",0,IF(Y1018=200,サマリー!$B$10,IF(Y1018=100,サマリー!$B$11,0)))+IF(Z1018="",0,Z1018*サマリー!$B$12)</f>
        <v>0</v>
      </c>
      <c r="E1018" s="26">
        <f t="shared" si="40"/>
        <v>0</v>
      </c>
      <c r="I1018" s="29"/>
      <c r="J1018" s="29"/>
      <c r="K1018" s="29"/>
      <c r="L1018" s="29"/>
      <c r="M1018" s="29"/>
      <c r="N1018" s="29"/>
      <c r="O1018" s="29"/>
      <c r="P1018" s="30"/>
      <c r="Q1018" s="30"/>
      <c r="R1018" s="30"/>
      <c r="S1018" s="31"/>
      <c r="T1018" s="31"/>
      <c r="U1018" s="31"/>
      <c r="V1018" s="31"/>
      <c r="W1018" s="31"/>
      <c r="X1018" s="32"/>
      <c r="Y1018" s="32"/>
      <c r="Z1018" s="32"/>
    </row>
    <row r="1019" spans="1:26">
      <c r="A1019" s="28"/>
      <c r="B1019" s="17">
        <f t="shared" si="39"/>
        <v>46319</v>
      </c>
      <c r="C1019" s="26">
        <f>I1019+J1019+K1019+L1019+M1019+N1019+O1019+IF(P1019="",0,P1019*サマリー!$B$9)+IF(Q1019="",0,IF(Q1019=200,サマリー!$B$10,IF(Q1019=100,サマリー!$B$11,0)))+IF(R1019="",0,R1019*サマリー!$B$12)</f>
        <v>0</v>
      </c>
      <c r="D1019" s="26">
        <f>S1019+T1019+U1019+V1019+W1019+IF(X1019="",0,X1019*サマリー!$B$9)+IF(Y1019="",0,IF(Y1019=200,サマリー!$B$10,IF(Y1019=100,サマリー!$B$11,0)))+IF(Z1019="",0,Z1019*サマリー!$B$12)</f>
        <v>0</v>
      </c>
      <c r="E1019" s="26">
        <f t="shared" si="40"/>
        <v>0</v>
      </c>
      <c r="I1019" s="29"/>
      <c r="J1019" s="29"/>
      <c r="K1019" s="29"/>
      <c r="L1019" s="29"/>
      <c r="M1019" s="29"/>
      <c r="N1019" s="29"/>
      <c r="O1019" s="29"/>
      <c r="P1019" s="30"/>
      <c r="Q1019" s="30"/>
      <c r="R1019" s="30"/>
      <c r="S1019" s="31"/>
      <c r="T1019" s="31"/>
      <c r="U1019" s="31"/>
      <c r="V1019" s="31"/>
      <c r="W1019" s="31"/>
      <c r="X1019" s="32"/>
      <c r="Y1019" s="32"/>
      <c r="Z1019" s="32"/>
    </row>
    <row r="1020" spans="1:26">
      <c r="A1020" s="28"/>
      <c r="B1020" s="17">
        <f t="shared" si="39"/>
        <v>46319</v>
      </c>
      <c r="C1020" s="26">
        <f>I1020+J1020+K1020+L1020+M1020+N1020+O1020+IF(P1020="",0,P1020*サマリー!$B$9)+IF(Q1020="",0,IF(Q1020=200,サマリー!$B$10,IF(Q1020=100,サマリー!$B$11,0)))+IF(R1020="",0,R1020*サマリー!$B$12)</f>
        <v>0</v>
      </c>
      <c r="D1020" s="26">
        <f>S1020+T1020+U1020+V1020+W1020+IF(X1020="",0,X1020*サマリー!$B$9)+IF(Y1020="",0,IF(Y1020=200,サマリー!$B$10,IF(Y1020=100,サマリー!$B$11,0)))+IF(Z1020="",0,Z1020*サマリー!$B$12)</f>
        <v>0</v>
      </c>
      <c r="E1020" s="26">
        <f t="shared" si="40"/>
        <v>0</v>
      </c>
      <c r="I1020" s="29"/>
      <c r="J1020" s="29"/>
      <c r="K1020" s="29"/>
      <c r="L1020" s="29"/>
      <c r="M1020" s="29"/>
      <c r="N1020" s="29"/>
      <c r="O1020" s="29"/>
      <c r="P1020" s="30"/>
      <c r="Q1020" s="30"/>
      <c r="R1020" s="30"/>
      <c r="S1020" s="31"/>
      <c r="T1020" s="31"/>
      <c r="U1020" s="31"/>
      <c r="V1020" s="31"/>
      <c r="W1020" s="31"/>
      <c r="X1020" s="32"/>
      <c r="Y1020" s="32"/>
      <c r="Z1020" s="32"/>
    </row>
    <row r="1021" spans="1:26">
      <c r="A1021" s="28"/>
      <c r="B1021" s="17">
        <f t="shared" si="39"/>
        <v>46319</v>
      </c>
      <c r="C1021" s="26">
        <f>I1021+J1021+K1021+L1021+M1021+N1021+O1021+IF(P1021="",0,P1021*サマリー!$B$9)+IF(Q1021="",0,IF(Q1021=200,サマリー!$B$10,IF(Q1021=100,サマリー!$B$11,0)))+IF(R1021="",0,R1021*サマリー!$B$12)</f>
        <v>0</v>
      </c>
      <c r="D1021" s="26">
        <f>S1021+T1021+U1021+V1021+W1021+IF(X1021="",0,X1021*サマリー!$B$9)+IF(Y1021="",0,IF(Y1021=200,サマリー!$B$10,IF(Y1021=100,サマリー!$B$11,0)))+IF(Z1021="",0,Z1021*サマリー!$B$12)</f>
        <v>0</v>
      </c>
      <c r="E1021" s="26">
        <f t="shared" si="40"/>
        <v>0</v>
      </c>
      <c r="I1021" s="29"/>
      <c r="J1021" s="29"/>
      <c r="K1021" s="29"/>
      <c r="L1021" s="29"/>
      <c r="M1021" s="29"/>
      <c r="N1021" s="29"/>
      <c r="O1021" s="29"/>
      <c r="P1021" s="30"/>
      <c r="Q1021" s="30"/>
      <c r="R1021" s="30"/>
      <c r="S1021" s="31"/>
      <c r="T1021" s="31"/>
      <c r="U1021" s="31"/>
      <c r="V1021" s="31"/>
      <c r="W1021" s="31"/>
      <c r="X1021" s="32"/>
      <c r="Y1021" s="32"/>
      <c r="Z1021" s="32"/>
    </row>
    <row r="1022" spans="1:26">
      <c r="A1022" s="28"/>
      <c r="B1022" s="17">
        <f t="shared" si="39"/>
        <v>46319</v>
      </c>
      <c r="C1022" s="26">
        <f>I1022+J1022+K1022+L1022+M1022+N1022+O1022+IF(P1022="",0,P1022*サマリー!$B$9)+IF(Q1022="",0,IF(Q1022=200,サマリー!$B$10,IF(Q1022=100,サマリー!$B$11,0)))+IF(R1022="",0,R1022*サマリー!$B$12)</f>
        <v>0</v>
      </c>
      <c r="D1022" s="26">
        <f>S1022+T1022+U1022+V1022+W1022+IF(X1022="",0,X1022*サマリー!$B$9)+IF(Y1022="",0,IF(Y1022=200,サマリー!$B$10,IF(Y1022=100,サマリー!$B$11,0)))+IF(Z1022="",0,Z1022*サマリー!$B$12)</f>
        <v>0</v>
      </c>
      <c r="E1022" s="26">
        <f t="shared" si="40"/>
        <v>0</v>
      </c>
      <c r="I1022" s="29"/>
      <c r="J1022" s="29"/>
      <c r="K1022" s="29"/>
      <c r="L1022" s="29"/>
      <c r="M1022" s="29"/>
      <c r="N1022" s="29"/>
      <c r="O1022" s="29"/>
      <c r="P1022" s="30"/>
      <c r="Q1022" s="30"/>
      <c r="R1022" s="30"/>
      <c r="S1022" s="31"/>
      <c r="T1022" s="31"/>
      <c r="U1022" s="31"/>
      <c r="V1022" s="31"/>
      <c r="W1022" s="31"/>
      <c r="X1022" s="32"/>
      <c r="Y1022" s="32"/>
      <c r="Z1022" s="32"/>
    </row>
    <row r="1023" spans="1:26">
      <c r="A1023" s="28"/>
      <c r="B1023" s="17">
        <f t="shared" si="39"/>
        <v>46319</v>
      </c>
      <c r="C1023" s="26">
        <f>I1023+J1023+K1023+L1023+M1023+N1023+O1023+IF(P1023="",0,P1023*サマリー!$B$9)+IF(Q1023="",0,IF(Q1023=200,サマリー!$B$10,IF(Q1023=100,サマリー!$B$11,0)))+IF(R1023="",0,R1023*サマリー!$B$12)</f>
        <v>0</v>
      </c>
      <c r="D1023" s="26">
        <f>S1023+T1023+U1023+V1023+W1023+IF(X1023="",0,X1023*サマリー!$B$9)+IF(Y1023="",0,IF(Y1023=200,サマリー!$B$10,IF(Y1023=100,サマリー!$B$11,0)))+IF(Z1023="",0,Z1023*サマリー!$B$12)</f>
        <v>0</v>
      </c>
      <c r="E1023" s="26">
        <f t="shared" si="40"/>
        <v>0</v>
      </c>
      <c r="I1023" s="29"/>
      <c r="J1023" s="29"/>
      <c r="K1023" s="29"/>
      <c r="L1023" s="29"/>
      <c r="M1023" s="29"/>
      <c r="N1023" s="29"/>
      <c r="O1023" s="29"/>
      <c r="P1023" s="30"/>
      <c r="Q1023" s="30"/>
      <c r="R1023" s="30"/>
      <c r="S1023" s="31"/>
      <c r="T1023" s="31"/>
      <c r="U1023" s="31"/>
      <c r="V1023" s="31"/>
      <c r="W1023" s="31"/>
      <c r="X1023" s="32"/>
      <c r="Y1023" s="32"/>
      <c r="Z1023" s="32"/>
    </row>
    <row r="1024" spans="1:26">
      <c r="A1024" s="28"/>
      <c r="B1024" s="17">
        <f t="shared" si="39"/>
        <v>46319</v>
      </c>
      <c r="C1024" s="26">
        <f>I1024+J1024+K1024+L1024+M1024+N1024+O1024+IF(P1024="",0,P1024*サマリー!$B$9)+IF(Q1024="",0,IF(Q1024=200,サマリー!$B$10,IF(Q1024=100,サマリー!$B$11,0)))+IF(R1024="",0,R1024*サマリー!$B$12)</f>
        <v>0</v>
      </c>
      <c r="D1024" s="26">
        <f>S1024+T1024+U1024+V1024+W1024+IF(X1024="",0,X1024*サマリー!$B$9)+IF(Y1024="",0,IF(Y1024=200,サマリー!$B$10,IF(Y1024=100,サマリー!$B$11,0)))+IF(Z1024="",0,Z1024*サマリー!$B$12)</f>
        <v>0</v>
      </c>
      <c r="E1024" s="26">
        <f t="shared" si="40"/>
        <v>0</v>
      </c>
      <c r="I1024" s="29"/>
      <c r="J1024" s="29"/>
      <c r="K1024" s="29"/>
      <c r="L1024" s="29"/>
      <c r="M1024" s="29"/>
      <c r="N1024" s="29"/>
      <c r="O1024" s="29"/>
      <c r="P1024" s="30"/>
      <c r="Q1024" s="30"/>
      <c r="R1024" s="30"/>
      <c r="S1024" s="31"/>
      <c r="T1024" s="31"/>
      <c r="U1024" s="31"/>
      <c r="V1024" s="31"/>
      <c r="W1024" s="31"/>
      <c r="X1024" s="32"/>
      <c r="Y1024" s="32"/>
      <c r="Z1024" s="32"/>
    </row>
    <row r="1025" spans="1:26">
      <c r="A1025" s="28"/>
      <c r="B1025" s="17">
        <f t="shared" ref="B1025:B1088" si="41">IF(A1025="",B1024,IF(A1025&lt;DAY(B1024),DATE(YEAR(B1024),MONTH(B1024)+1,A1025),DATE(YEAR(B1024),MONTH(B1024),A1025)))</f>
        <v>46319</v>
      </c>
      <c r="C1025" s="26">
        <f>I1025+J1025+K1025+L1025+M1025+N1025+O1025+IF(P1025="",0,P1025*サマリー!$B$9)+IF(Q1025="",0,IF(Q1025=200,サマリー!$B$10,IF(Q1025=100,サマリー!$B$11,0)))+IF(R1025="",0,R1025*サマリー!$B$12)</f>
        <v>0</v>
      </c>
      <c r="D1025" s="26">
        <f>S1025+T1025+U1025+V1025+W1025+IF(X1025="",0,X1025*サマリー!$B$9)+IF(Y1025="",0,IF(Y1025=200,サマリー!$B$10,IF(Y1025=100,サマリー!$B$11,0)))+IF(Z1025="",0,Z1025*サマリー!$B$12)</f>
        <v>0</v>
      </c>
      <c r="E1025" s="26">
        <f t="shared" si="40"/>
        <v>0</v>
      </c>
      <c r="I1025" s="29"/>
      <c r="J1025" s="29"/>
      <c r="K1025" s="29"/>
      <c r="L1025" s="29"/>
      <c r="M1025" s="29"/>
      <c r="N1025" s="29"/>
      <c r="O1025" s="29"/>
      <c r="P1025" s="30"/>
      <c r="Q1025" s="30"/>
      <c r="R1025" s="30"/>
      <c r="S1025" s="31"/>
      <c r="T1025" s="31"/>
      <c r="U1025" s="31"/>
      <c r="V1025" s="31"/>
      <c r="W1025" s="31"/>
      <c r="X1025" s="32"/>
      <c r="Y1025" s="32"/>
      <c r="Z1025" s="32"/>
    </row>
    <row r="1026" spans="1:26">
      <c r="A1026" s="28"/>
      <c r="B1026" s="17">
        <f t="shared" si="41"/>
        <v>46319</v>
      </c>
      <c r="C1026" s="26">
        <f>I1026+J1026+K1026+L1026+M1026+N1026+O1026+IF(P1026="",0,P1026*サマリー!$B$9)+IF(Q1026="",0,IF(Q1026=200,サマリー!$B$10,IF(Q1026=100,サマリー!$B$11,0)))+IF(R1026="",0,R1026*サマリー!$B$12)</f>
        <v>0</v>
      </c>
      <c r="D1026" s="26">
        <f>S1026+T1026+U1026+V1026+W1026+IF(X1026="",0,X1026*サマリー!$B$9)+IF(Y1026="",0,IF(Y1026=200,サマリー!$B$10,IF(Y1026=100,サマリー!$B$11,0)))+IF(Z1026="",0,Z1026*サマリー!$B$12)</f>
        <v>0</v>
      </c>
      <c r="E1026" s="26">
        <f t="shared" si="40"/>
        <v>0</v>
      </c>
      <c r="I1026" s="29"/>
      <c r="J1026" s="29"/>
      <c r="K1026" s="29"/>
      <c r="L1026" s="29"/>
      <c r="M1026" s="29"/>
      <c r="N1026" s="29"/>
      <c r="O1026" s="29"/>
      <c r="P1026" s="30"/>
      <c r="Q1026" s="30"/>
      <c r="R1026" s="30"/>
      <c r="S1026" s="31"/>
      <c r="T1026" s="31"/>
      <c r="U1026" s="31"/>
      <c r="V1026" s="31"/>
      <c r="W1026" s="31"/>
      <c r="X1026" s="32"/>
      <c r="Y1026" s="32"/>
      <c r="Z1026" s="32"/>
    </row>
    <row r="1027" spans="1:26">
      <c r="A1027" s="28"/>
      <c r="B1027" s="17">
        <f t="shared" si="41"/>
        <v>46319</v>
      </c>
      <c r="C1027" s="26">
        <f>I1027+J1027+K1027+L1027+M1027+N1027+O1027+IF(P1027="",0,P1027*サマリー!$B$9)+IF(Q1027="",0,IF(Q1027=200,サマリー!$B$10,IF(Q1027=100,サマリー!$B$11,0)))+IF(R1027="",0,R1027*サマリー!$B$12)</f>
        <v>0</v>
      </c>
      <c r="D1027" s="26">
        <f>S1027+T1027+U1027+V1027+W1027+IF(X1027="",0,X1027*サマリー!$B$9)+IF(Y1027="",0,IF(Y1027=200,サマリー!$B$10,IF(Y1027=100,サマリー!$B$11,0)))+IF(Z1027="",0,Z1027*サマリー!$B$12)</f>
        <v>0</v>
      </c>
      <c r="E1027" s="26">
        <f t="shared" si="40"/>
        <v>0</v>
      </c>
      <c r="I1027" s="29"/>
      <c r="J1027" s="29"/>
      <c r="K1027" s="29"/>
      <c r="L1027" s="29"/>
      <c r="M1027" s="29"/>
      <c r="N1027" s="29"/>
      <c r="O1027" s="29"/>
      <c r="P1027" s="30"/>
      <c r="Q1027" s="30"/>
      <c r="R1027" s="30"/>
      <c r="S1027" s="31"/>
      <c r="T1027" s="31"/>
      <c r="U1027" s="31"/>
      <c r="V1027" s="31"/>
      <c r="W1027" s="31"/>
      <c r="X1027" s="32"/>
      <c r="Y1027" s="32"/>
      <c r="Z1027" s="32"/>
    </row>
    <row r="1028" spans="1:26">
      <c r="A1028" s="28"/>
      <c r="B1028" s="17">
        <f t="shared" si="41"/>
        <v>46319</v>
      </c>
      <c r="C1028" s="26">
        <f>I1028+J1028+K1028+L1028+M1028+N1028+O1028+IF(P1028="",0,P1028*サマリー!$B$9)+IF(Q1028="",0,IF(Q1028=200,サマリー!$B$10,IF(Q1028=100,サマリー!$B$11,0)))+IF(R1028="",0,R1028*サマリー!$B$12)</f>
        <v>0</v>
      </c>
      <c r="D1028" s="26">
        <f>S1028+T1028+U1028+V1028+W1028+IF(X1028="",0,X1028*サマリー!$B$9)+IF(Y1028="",0,IF(Y1028=200,サマリー!$B$10,IF(Y1028=100,サマリー!$B$11,0)))+IF(Z1028="",0,Z1028*サマリー!$B$12)</f>
        <v>0</v>
      </c>
      <c r="E1028" s="26">
        <f t="shared" si="40"/>
        <v>0</v>
      </c>
      <c r="I1028" s="29"/>
      <c r="J1028" s="29"/>
      <c r="K1028" s="29"/>
      <c r="L1028" s="29"/>
      <c r="M1028" s="29"/>
      <c r="N1028" s="29"/>
      <c r="O1028" s="29"/>
      <c r="P1028" s="30"/>
      <c r="Q1028" s="30"/>
      <c r="R1028" s="30"/>
      <c r="S1028" s="31"/>
      <c r="T1028" s="31"/>
      <c r="U1028" s="31"/>
      <c r="V1028" s="31"/>
      <c r="W1028" s="31"/>
      <c r="X1028" s="32"/>
      <c r="Y1028" s="32"/>
      <c r="Z1028" s="32"/>
    </row>
    <row r="1029" spans="1:26">
      <c r="A1029" s="28"/>
      <c r="B1029" s="17">
        <f t="shared" si="41"/>
        <v>46319</v>
      </c>
      <c r="C1029" s="26">
        <f>I1029+J1029+K1029+L1029+M1029+N1029+O1029+IF(P1029="",0,P1029*サマリー!$B$9)+IF(Q1029="",0,IF(Q1029=200,サマリー!$B$10,IF(Q1029=100,サマリー!$B$11,0)))+IF(R1029="",0,R1029*サマリー!$B$12)</f>
        <v>0</v>
      </c>
      <c r="D1029" s="26">
        <f>S1029+T1029+U1029+V1029+W1029+IF(X1029="",0,X1029*サマリー!$B$9)+IF(Y1029="",0,IF(Y1029=200,サマリー!$B$10,IF(Y1029=100,サマリー!$B$11,0)))+IF(Z1029="",0,Z1029*サマリー!$B$12)</f>
        <v>0</v>
      </c>
      <c r="E1029" s="26">
        <f t="shared" si="40"/>
        <v>0</v>
      </c>
      <c r="I1029" s="29"/>
      <c r="J1029" s="29"/>
      <c r="K1029" s="29"/>
      <c r="L1029" s="29"/>
      <c r="M1029" s="29"/>
      <c r="N1029" s="29"/>
      <c r="O1029" s="29"/>
      <c r="P1029" s="30"/>
      <c r="Q1029" s="30"/>
      <c r="R1029" s="30"/>
      <c r="S1029" s="31"/>
      <c r="T1029" s="31"/>
      <c r="U1029" s="31"/>
      <c r="V1029" s="31"/>
      <c r="W1029" s="31"/>
      <c r="X1029" s="32"/>
      <c r="Y1029" s="32"/>
      <c r="Z1029" s="32"/>
    </row>
    <row r="1030" spans="1:26">
      <c r="A1030" s="28"/>
      <c r="B1030" s="17">
        <f t="shared" si="41"/>
        <v>46319</v>
      </c>
      <c r="C1030" s="26">
        <f>I1030+J1030+K1030+L1030+M1030+N1030+O1030+IF(P1030="",0,P1030*サマリー!$B$9)+IF(Q1030="",0,IF(Q1030=200,サマリー!$B$10,IF(Q1030=100,サマリー!$B$11,0)))+IF(R1030="",0,R1030*サマリー!$B$12)</f>
        <v>0</v>
      </c>
      <c r="D1030" s="26">
        <f>S1030+T1030+U1030+V1030+W1030+IF(X1030="",0,X1030*サマリー!$B$9)+IF(Y1030="",0,IF(Y1030=200,サマリー!$B$10,IF(Y1030=100,サマリー!$B$11,0)))+IF(Z1030="",0,Z1030*サマリー!$B$12)</f>
        <v>0</v>
      </c>
      <c r="E1030" s="26">
        <f t="shared" si="40"/>
        <v>0</v>
      </c>
      <c r="I1030" s="29"/>
      <c r="J1030" s="29"/>
      <c r="K1030" s="29"/>
      <c r="L1030" s="29"/>
      <c r="M1030" s="29"/>
      <c r="N1030" s="29"/>
      <c r="O1030" s="29"/>
      <c r="P1030" s="30"/>
      <c r="Q1030" s="30"/>
      <c r="R1030" s="30"/>
      <c r="S1030" s="31"/>
      <c r="T1030" s="31"/>
      <c r="U1030" s="31"/>
      <c r="V1030" s="31"/>
      <c r="W1030" s="31"/>
      <c r="X1030" s="32"/>
      <c r="Y1030" s="32"/>
      <c r="Z1030" s="32"/>
    </row>
    <row r="1031" spans="1:26">
      <c r="A1031" s="28"/>
      <c r="B1031" s="17">
        <f t="shared" si="41"/>
        <v>46319</v>
      </c>
      <c r="C1031" s="26">
        <f>I1031+J1031+K1031+L1031+M1031+N1031+O1031+IF(P1031="",0,P1031*サマリー!$B$9)+IF(Q1031="",0,IF(Q1031=200,サマリー!$B$10,IF(Q1031=100,サマリー!$B$11,0)))+IF(R1031="",0,R1031*サマリー!$B$12)</f>
        <v>0</v>
      </c>
      <c r="D1031" s="26">
        <f>S1031+T1031+U1031+V1031+W1031+IF(X1031="",0,X1031*サマリー!$B$9)+IF(Y1031="",0,IF(Y1031=200,サマリー!$B$10,IF(Y1031=100,サマリー!$B$11,0)))+IF(Z1031="",0,Z1031*サマリー!$B$12)</f>
        <v>0</v>
      </c>
      <c r="E1031" s="26">
        <f t="shared" si="40"/>
        <v>0</v>
      </c>
      <c r="I1031" s="29"/>
      <c r="J1031" s="29"/>
      <c r="K1031" s="29"/>
      <c r="L1031" s="29"/>
      <c r="M1031" s="29"/>
      <c r="N1031" s="29"/>
      <c r="O1031" s="29"/>
      <c r="P1031" s="30"/>
      <c r="Q1031" s="30"/>
      <c r="R1031" s="30"/>
      <c r="S1031" s="31"/>
      <c r="T1031" s="31"/>
      <c r="U1031" s="31"/>
      <c r="V1031" s="31"/>
      <c r="W1031" s="31"/>
      <c r="X1031" s="32"/>
      <c r="Y1031" s="32"/>
      <c r="Z1031" s="32"/>
    </row>
    <row r="1032" spans="1:26">
      <c r="A1032" s="28"/>
      <c r="B1032" s="17">
        <f t="shared" si="41"/>
        <v>46319</v>
      </c>
      <c r="C1032" s="26">
        <f>I1032+J1032+K1032+L1032+M1032+N1032+O1032+IF(P1032="",0,P1032*サマリー!$B$9)+IF(Q1032="",0,IF(Q1032=200,サマリー!$B$10,IF(Q1032=100,サマリー!$B$11,0)))+IF(R1032="",0,R1032*サマリー!$B$12)</f>
        <v>0</v>
      </c>
      <c r="D1032" s="26">
        <f>S1032+T1032+U1032+V1032+W1032+IF(X1032="",0,X1032*サマリー!$B$9)+IF(Y1032="",0,IF(Y1032=200,サマリー!$B$10,IF(Y1032=100,サマリー!$B$11,0)))+IF(Z1032="",0,Z1032*サマリー!$B$12)</f>
        <v>0</v>
      </c>
      <c r="E1032" s="26">
        <f t="shared" si="40"/>
        <v>0</v>
      </c>
      <c r="I1032" s="29"/>
      <c r="J1032" s="29"/>
      <c r="K1032" s="29"/>
      <c r="L1032" s="29"/>
      <c r="M1032" s="29"/>
      <c r="N1032" s="29"/>
      <c r="O1032" s="29"/>
      <c r="P1032" s="30"/>
      <c r="Q1032" s="30"/>
      <c r="R1032" s="30"/>
      <c r="S1032" s="31"/>
      <c r="T1032" s="31"/>
      <c r="U1032" s="31"/>
      <c r="V1032" s="31"/>
      <c r="W1032" s="31"/>
      <c r="X1032" s="32"/>
      <c r="Y1032" s="32"/>
      <c r="Z1032" s="32"/>
    </row>
    <row r="1033" spans="1:26">
      <c r="A1033" s="28"/>
      <c r="B1033" s="17">
        <f t="shared" si="41"/>
        <v>46319</v>
      </c>
      <c r="C1033" s="26">
        <f>I1033+J1033+K1033+L1033+M1033+N1033+O1033+IF(P1033="",0,P1033*サマリー!$B$9)+IF(Q1033="",0,IF(Q1033=200,サマリー!$B$10,IF(Q1033=100,サマリー!$B$11,0)))+IF(R1033="",0,R1033*サマリー!$B$12)</f>
        <v>0</v>
      </c>
      <c r="D1033" s="26">
        <f>S1033+T1033+U1033+V1033+W1033+IF(X1033="",0,X1033*サマリー!$B$9)+IF(Y1033="",0,IF(Y1033=200,サマリー!$B$10,IF(Y1033=100,サマリー!$B$11,0)))+IF(Z1033="",0,Z1033*サマリー!$B$12)</f>
        <v>0</v>
      </c>
      <c r="E1033" s="26">
        <f t="shared" si="40"/>
        <v>0</v>
      </c>
      <c r="I1033" s="29"/>
      <c r="J1033" s="29"/>
      <c r="K1033" s="29"/>
      <c r="L1033" s="29"/>
      <c r="M1033" s="29"/>
      <c r="N1033" s="29"/>
      <c r="O1033" s="29"/>
      <c r="P1033" s="30"/>
      <c r="Q1033" s="30"/>
      <c r="R1033" s="30"/>
      <c r="S1033" s="31"/>
      <c r="T1033" s="31"/>
      <c r="U1033" s="31"/>
      <c r="V1033" s="31"/>
      <c r="W1033" s="31"/>
      <c r="X1033" s="32"/>
      <c r="Y1033" s="32"/>
      <c r="Z1033" s="32"/>
    </row>
    <row r="1034" spans="1:26">
      <c r="A1034" s="28"/>
      <c r="B1034" s="17">
        <f t="shared" si="41"/>
        <v>46319</v>
      </c>
      <c r="C1034" s="26">
        <f>I1034+J1034+K1034+L1034+M1034+N1034+O1034+IF(P1034="",0,P1034*サマリー!$B$9)+IF(Q1034="",0,IF(Q1034=200,サマリー!$B$10,IF(Q1034=100,サマリー!$B$11,0)))+IF(R1034="",0,R1034*サマリー!$B$12)</f>
        <v>0</v>
      </c>
      <c r="D1034" s="26">
        <f>S1034+T1034+U1034+V1034+W1034+IF(X1034="",0,X1034*サマリー!$B$9)+IF(Y1034="",0,IF(Y1034=200,サマリー!$B$10,IF(Y1034=100,サマリー!$B$11,0)))+IF(Z1034="",0,Z1034*サマリー!$B$12)</f>
        <v>0</v>
      </c>
      <c r="E1034" s="26">
        <f t="shared" si="40"/>
        <v>0</v>
      </c>
      <c r="I1034" s="29"/>
      <c r="J1034" s="29"/>
      <c r="K1034" s="29"/>
      <c r="L1034" s="29"/>
      <c r="M1034" s="29"/>
      <c r="N1034" s="29"/>
      <c r="O1034" s="29"/>
      <c r="P1034" s="30"/>
      <c r="Q1034" s="30"/>
      <c r="R1034" s="30"/>
      <c r="S1034" s="31"/>
      <c r="T1034" s="31"/>
      <c r="U1034" s="31"/>
      <c r="V1034" s="31"/>
      <c r="W1034" s="31"/>
      <c r="X1034" s="32"/>
      <c r="Y1034" s="32"/>
      <c r="Z1034" s="32"/>
    </row>
    <row r="1035" spans="1:26">
      <c r="A1035" s="28"/>
      <c r="B1035" s="17">
        <f t="shared" si="41"/>
        <v>46319</v>
      </c>
      <c r="C1035" s="26">
        <f>I1035+J1035+K1035+L1035+M1035+N1035+O1035+IF(P1035="",0,P1035*サマリー!$B$9)+IF(Q1035="",0,IF(Q1035=200,サマリー!$B$10,IF(Q1035=100,サマリー!$B$11,0)))+IF(R1035="",0,R1035*サマリー!$B$12)</f>
        <v>0</v>
      </c>
      <c r="D1035" s="26">
        <f>S1035+T1035+U1035+V1035+W1035+IF(X1035="",0,X1035*サマリー!$B$9)+IF(Y1035="",0,IF(Y1035=200,サマリー!$B$10,IF(Y1035=100,サマリー!$B$11,0)))+IF(Z1035="",0,Z1035*サマリー!$B$12)</f>
        <v>0</v>
      </c>
      <c r="E1035" s="26">
        <f t="shared" si="40"/>
        <v>0</v>
      </c>
      <c r="I1035" s="29"/>
      <c r="J1035" s="29"/>
      <c r="K1035" s="29"/>
      <c r="L1035" s="29"/>
      <c r="M1035" s="29"/>
      <c r="N1035" s="29"/>
      <c r="O1035" s="29"/>
      <c r="P1035" s="30"/>
      <c r="Q1035" s="30"/>
      <c r="R1035" s="30"/>
      <c r="S1035" s="31"/>
      <c r="T1035" s="31"/>
      <c r="U1035" s="31"/>
      <c r="V1035" s="31"/>
      <c r="W1035" s="31"/>
      <c r="X1035" s="32"/>
      <c r="Y1035" s="32"/>
      <c r="Z1035" s="32"/>
    </row>
    <row r="1036" spans="1:26">
      <c r="A1036" s="28"/>
      <c r="B1036" s="17">
        <f t="shared" si="41"/>
        <v>46319</v>
      </c>
      <c r="C1036" s="26">
        <f>I1036+J1036+K1036+L1036+M1036+N1036+O1036+IF(P1036="",0,P1036*サマリー!$B$9)+IF(Q1036="",0,IF(Q1036=200,サマリー!$B$10,IF(Q1036=100,サマリー!$B$11,0)))+IF(R1036="",0,R1036*サマリー!$B$12)</f>
        <v>0</v>
      </c>
      <c r="D1036" s="26">
        <f>S1036+T1036+U1036+V1036+W1036+IF(X1036="",0,X1036*サマリー!$B$9)+IF(Y1036="",0,IF(Y1036=200,サマリー!$B$10,IF(Y1036=100,サマリー!$B$11,0)))+IF(Z1036="",0,Z1036*サマリー!$B$12)</f>
        <v>0</v>
      </c>
      <c r="E1036" s="26">
        <f t="shared" si="40"/>
        <v>0</v>
      </c>
      <c r="I1036" s="29"/>
      <c r="J1036" s="29"/>
      <c r="K1036" s="29"/>
      <c r="L1036" s="29"/>
      <c r="M1036" s="29"/>
      <c r="N1036" s="29"/>
      <c r="O1036" s="29"/>
      <c r="P1036" s="30"/>
      <c r="Q1036" s="30"/>
      <c r="R1036" s="30"/>
      <c r="S1036" s="31"/>
      <c r="T1036" s="31"/>
      <c r="U1036" s="31"/>
      <c r="V1036" s="31"/>
      <c r="W1036" s="31"/>
      <c r="X1036" s="32"/>
      <c r="Y1036" s="32"/>
      <c r="Z1036" s="32"/>
    </row>
    <row r="1037" spans="1:26">
      <c r="A1037" s="28"/>
      <c r="B1037" s="17">
        <f t="shared" si="41"/>
        <v>46319</v>
      </c>
      <c r="C1037" s="26">
        <f>I1037+J1037+K1037+L1037+M1037+N1037+O1037+IF(P1037="",0,P1037*サマリー!$B$9)+IF(Q1037="",0,IF(Q1037=200,サマリー!$B$10,IF(Q1037=100,サマリー!$B$11,0)))+IF(R1037="",0,R1037*サマリー!$B$12)</f>
        <v>0</v>
      </c>
      <c r="D1037" s="26">
        <f>S1037+T1037+U1037+V1037+W1037+IF(X1037="",0,X1037*サマリー!$B$9)+IF(Y1037="",0,IF(Y1037=200,サマリー!$B$10,IF(Y1037=100,サマリー!$B$11,0)))+IF(Z1037="",0,Z1037*サマリー!$B$12)</f>
        <v>0</v>
      </c>
      <c r="E1037" s="26">
        <f t="shared" si="40"/>
        <v>0</v>
      </c>
      <c r="I1037" s="29"/>
      <c r="J1037" s="29"/>
      <c r="K1037" s="29"/>
      <c r="L1037" s="29"/>
      <c r="M1037" s="29"/>
      <c r="N1037" s="29"/>
      <c r="O1037" s="29"/>
      <c r="P1037" s="30"/>
      <c r="Q1037" s="30"/>
      <c r="R1037" s="30"/>
      <c r="S1037" s="31"/>
      <c r="T1037" s="31"/>
      <c r="U1037" s="31"/>
      <c r="V1037" s="31"/>
      <c r="W1037" s="31"/>
      <c r="X1037" s="32"/>
      <c r="Y1037" s="32"/>
      <c r="Z1037" s="32"/>
    </row>
    <row r="1038" spans="1:26">
      <c r="A1038" s="28"/>
      <c r="B1038" s="17">
        <f t="shared" si="41"/>
        <v>46319</v>
      </c>
      <c r="C1038" s="26">
        <f>I1038+J1038+K1038+L1038+M1038+N1038+O1038+IF(P1038="",0,P1038*サマリー!$B$9)+IF(Q1038="",0,IF(Q1038=200,サマリー!$B$10,IF(Q1038=100,サマリー!$B$11,0)))+IF(R1038="",0,R1038*サマリー!$B$12)</f>
        <v>0</v>
      </c>
      <c r="D1038" s="26">
        <f>S1038+T1038+U1038+V1038+W1038+IF(X1038="",0,X1038*サマリー!$B$9)+IF(Y1038="",0,IF(Y1038=200,サマリー!$B$10,IF(Y1038=100,サマリー!$B$11,0)))+IF(Z1038="",0,Z1038*サマリー!$B$12)</f>
        <v>0</v>
      </c>
      <c r="E1038" s="26">
        <f t="shared" si="40"/>
        <v>0</v>
      </c>
      <c r="I1038" s="29"/>
      <c r="J1038" s="29"/>
      <c r="K1038" s="29"/>
      <c r="L1038" s="29"/>
      <c r="M1038" s="29"/>
      <c r="N1038" s="29"/>
      <c r="O1038" s="29"/>
      <c r="P1038" s="30"/>
      <c r="Q1038" s="30"/>
      <c r="R1038" s="30"/>
      <c r="S1038" s="31"/>
      <c r="T1038" s="31"/>
      <c r="U1038" s="31"/>
      <c r="V1038" s="31"/>
      <c r="W1038" s="31"/>
      <c r="X1038" s="32"/>
      <c r="Y1038" s="32"/>
      <c r="Z1038" s="32"/>
    </row>
    <row r="1039" spans="1:26">
      <c r="A1039" s="28"/>
      <c r="B1039" s="17">
        <f t="shared" si="41"/>
        <v>46319</v>
      </c>
      <c r="C1039" s="26">
        <f>I1039+J1039+K1039+L1039+M1039+N1039+O1039+IF(P1039="",0,P1039*サマリー!$B$9)+IF(Q1039="",0,IF(Q1039=200,サマリー!$B$10,IF(Q1039=100,サマリー!$B$11,0)))+IF(R1039="",0,R1039*サマリー!$B$12)</f>
        <v>0</v>
      </c>
      <c r="D1039" s="26">
        <f>S1039+T1039+U1039+V1039+W1039+IF(X1039="",0,X1039*サマリー!$B$9)+IF(Y1039="",0,IF(Y1039=200,サマリー!$B$10,IF(Y1039=100,サマリー!$B$11,0)))+IF(Z1039="",0,Z1039*サマリー!$B$12)</f>
        <v>0</v>
      </c>
      <c r="E1039" s="26">
        <f t="shared" si="40"/>
        <v>0</v>
      </c>
      <c r="I1039" s="29"/>
      <c r="J1039" s="29"/>
      <c r="K1039" s="29"/>
      <c r="L1039" s="29"/>
      <c r="M1039" s="29"/>
      <c r="N1039" s="29"/>
      <c r="O1039" s="29"/>
      <c r="P1039" s="30"/>
      <c r="Q1039" s="30"/>
      <c r="R1039" s="30"/>
      <c r="S1039" s="31"/>
      <c r="T1039" s="31"/>
      <c r="U1039" s="31"/>
      <c r="V1039" s="31"/>
      <c r="W1039" s="31"/>
      <c r="X1039" s="32"/>
      <c r="Y1039" s="32"/>
      <c r="Z1039" s="32"/>
    </row>
    <row r="1040" spans="1:26">
      <c r="A1040" s="28"/>
      <c r="B1040" s="17">
        <f t="shared" si="41"/>
        <v>46319</v>
      </c>
      <c r="C1040" s="26">
        <f>I1040+J1040+K1040+L1040+M1040+N1040+O1040+IF(P1040="",0,P1040*サマリー!$B$9)+IF(Q1040="",0,IF(Q1040=200,サマリー!$B$10,IF(Q1040=100,サマリー!$B$11,0)))+IF(R1040="",0,R1040*サマリー!$B$12)</f>
        <v>0</v>
      </c>
      <c r="D1040" s="26">
        <f>S1040+T1040+U1040+V1040+W1040+IF(X1040="",0,X1040*サマリー!$B$9)+IF(Y1040="",0,IF(Y1040=200,サマリー!$B$10,IF(Y1040=100,サマリー!$B$11,0)))+IF(Z1040="",0,Z1040*サマリー!$B$12)</f>
        <v>0</v>
      </c>
      <c r="E1040" s="26">
        <f t="shared" si="40"/>
        <v>0</v>
      </c>
      <c r="I1040" s="29"/>
      <c r="J1040" s="29"/>
      <c r="K1040" s="29"/>
      <c r="L1040" s="29"/>
      <c r="M1040" s="29"/>
      <c r="N1040" s="29"/>
      <c r="O1040" s="29"/>
      <c r="P1040" s="30"/>
      <c r="Q1040" s="30"/>
      <c r="R1040" s="30"/>
      <c r="S1040" s="31"/>
      <c r="T1040" s="31"/>
      <c r="U1040" s="31"/>
      <c r="V1040" s="31"/>
      <c r="W1040" s="31"/>
      <c r="X1040" s="32"/>
      <c r="Y1040" s="32"/>
      <c r="Z1040" s="32"/>
    </row>
    <row r="1041" spans="1:26">
      <c r="A1041" s="28"/>
      <c r="B1041" s="17">
        <f t="shared" si="41"/>
        <v>46319</v>
      </c>
      <c r="C1041" s="26">
        <f>I1041+J1041+K1041+L1041+M1041+N1041+O1041+IF(P1041="",0,P1041*サマリー!$B$9)+IF(Q1041="",0,IF(Q1041=200,サマリー!$B$10,IF(Q1041=100,サマリー!$B$11,0)))+IF(R1041="",0,R1041*サマリー!$B$12)</f>
        <v>0</v>
      </c>
      <c r="D1041" s="26">
        <f>S1041+T1041+U1041+V1041+W1041+IF(X1041="",0,X1041*サマリー!$B$9)+IF(Y1041="",0,IF(Y1041=200,サマリー!$B$10,IF(Y1041=100,サマリー!$B$11,0)))+IF(Z1041="",0,Z1041*サマリー!$B$12)</f>
        <v>0</v>
      </c>
      <c r="E1041" s="26">
        <f t="shared" si="40"/>
        <v>0</v>
      </c>
      <c r="I1041" s="29"/>
      <c r="J1041" s="29"/>
      <c r="K1041" s="29"/>
      <c r="L1041" s="29"/>
      <c r="M1041" s="29"/>
      <c r="N1041" s="29"/>
      <c r="O1041" s="29"/>
      <c r="P1041" s="30"/>
      <c r="Q1041" s="30"/>
      <c r="R1041" s="30"/>
      <c r="S1041" s="31"/>
      <c r="T1041" s="31"/>
      <c r="U1041" s="31"/>
      <c r="V1041" s="31"/>
      <c r="W1041" s="31"/>
      <c r="X1041" s="32"/>
      <c r="Y1041" s="32"/>
      <c r="Z1041" s="32"/>
    </row>
    <row r="1042" spans="1:26">
      <c r="A1042" s="28"/>
      <c r="B1042" s="17">
        <f t="shared" si="41"/>
        <v>46319</v>
      </c>
      <c r="C1042" s="26">
        <f>I1042+J1042+K1042+L1042+M1042+N1042+O1042+IF(P1042="",0,P1042*サマリー!$B$9)+IF(Q1042="",0,IF(Q1042=200,サマリー!$B$10,IF(Q1042=100,サマリー!$B$11,0)))+IF(R1042="",0,R1042*サマリー!$B$12)</f>
        <v>0</v>
      </c>
      <c r="D1042" s="26">
        <f>S1042+T1042+U1042+V1042+W1042+IF(X1042="",0,X1042*サマリー!$B$9)+IF(Y1042="",0,IF(Y1042=200,サマリー!$B$10,IF(Y1042=100,サマリー!$B$11,0)))+IF(Z1042="",0,Z1042*サマリー!$B$12)</f>
        <v>0</v>
      </c>
      <c r="E1042" s="26">
        <f t="shared" si="40"/>
        <v>0</v>
      </c>
      <c r="I1042" s="29"/>
      <c r="J1042" s="29"/>
      <c r="K1042" s="29"/>
      <c r="L1042" s="29"/>
      <c r="M1042" s="29"/>
      <c r="N1042" s="29"/>
      <c r="O1042" s="29"/>
      <c r="P1042" s="30"/>
      <c r="Q1042" s="30"/>
      <c r="R1042" s="30"/>
      <c r="S1042" s="31"/>
      <c r="T1042" s="31"/>
      <c r="U1042" s="31"/>
      <c r="V1042" s="31"/>
      <c r="W1042" s="31"/>
      <c r="X1042" s="32"/>
      <c r="Y1042" s="32"/>
      <c r="Z1042" s="32"/>
    </row>
    <row r="1043" spans="1:26">
      <c r="A1043" s="28"/>
      <c r="B1043" s="17">
        <f t="shared" si="41"/>
        <v>46319</v>
      </c>
      <c r="C1043" s="26">
        <f>I1043+J1043+K1043+L1043+M1043+N1043+O1043+IF(P1043="",0,P1043*サマリー!$B$9)+IF(Q1043="",0,IF(Q1043=200,サマリー!$B$10,IF(Q1043=100,サマリー!$B$11,0)))+IF(R1043="",0,R1043*サマリー!$B$12)</f>
        <v>0</v>
      </c>
      <c r="D1043" s="26">
        <f>S1043+T1043+U1043+V1043+W1043+IF(X1043="",0,X1043*サマリー!$B$9)+IF(Y1043="",0,IF(Y1043=200,サマリー!$B$10,IF(Y1043=100,サマリー!$B$11,0)))+IF(Z1043="",0,Z1043*サマリー!$B$12)</f>
        <v>0</v>
      </c>
      <c r="E1043" s="26">
        <f t="shared" si="40"/>
        <v>0</v>
      </c>
      <c r="I1043" s="29"/>
      <c r="J1043" s="29"/>
      <c r="K1043" s="29"/>
      <c r="L1043" s="29"/>
      <c r="M1043" s="29"/>
      <c r="N1043" s="29"/>
      <c r="O1043" s="29"/>
      <c r="P1043" s="30"/>
      <c r="Q1043" s="30"/>
      <c r="R1043" s="30"/>
      <c r="S1043" s="31"/>
      <c r="T1043" s="31"/>
      <c r="U1043" s="31"/>
      <c r="V1043" s="31"/>
      <c r="W1043" s="31"/>
      <c r="X1043" s="32"/>
      <c r="Y1043" s="32"/>
      <c r="Z1043" s="32"/>
    </row>
    <row r="1044" spans="1:26">
      <c r="A1044" s="28"/>
      <c r="B1044" s="17">
        <f t="shared" si="41"/>
        <v>46319</v>
      </c>
      <c r="C1044" s="26">
        <f>I1044+J1044+K1044+L1044+M1044+N1044+O1044+IF(P1044="",0,P1044*サマリー!$B$9)+IF(Q1044="",0,IF(Q1044=200,サマリー!$B$10,IF(Q1044=100,サマリー!$B$11,0)))+IF(R1044="",0,R1044*サマリー!$B$12)</f>
        <v>0</v>
      </c>
      <c r="D1044" s="26">
        <f>S1044+T1044+U1044+V1044+W1044+IF(X1044="",0,X1044*サマリー!$B$9)+IF(Y1044="",0,IF(Y1044=200,サマリー!$B$10,IF(Y1044=100,サマリー!$B$11,0)))+IF(Z1044="",0,Z1044*サマリー!$B$12)</f>
        <v>0</v>
      </c>
      <c r="E1044" s="26">
        <f t="shared" si="40"/>
        <v>0</v>
      </c>
      <c r="I1044" s="29"/>
      <c r="J1044" s="29"/>
      <c r="K1044" s="29"/>
      <c r="L1044" s="29"/>
      <c r="M1044" s="29"/>
      <c r="N1044" s="29"/>
      <c r="O1044" s="29"/>
      <c r="P1044" s="30"/>
      <c r="Q1044" s="30"/>
      <c r="R1044" s="30"/>
      <c r="S1044" s="31"/>
      <c r="T1044" s="31"/>
      <c r="U1044" s="31"/>
      <c r="V1044" s="31"/>
      <c r="W1044" s="31"/>
      <c r="X1044" s="32"/>
      <c r="Y1044" s="32"/>
      <c r="Z1044" s="32"/>
    </row>
    <row r="1045" spans="1:26">
      <c r="A1045" s="28"/>
      <c r="B1045" s="17">
        <f t="shared" si="41"/>
        <v>46319</v>
      </c>
      <c r="C1045" s="26">
        <f>I1045+J1045+K1045+L1045+M1045+N1045+O1045+IF(P1045="",0,P1045*サマリー!$B$9)+IF(Q1045="",0,IF(Q1045=200,サマリー!$B$10,IF(Q1045=100,サマリー!$B$11,0)))+IF(R1045="",0,R1045*サマリー!$B$12)</f>
        <v>0</v>
      </c>
      <c r="D1045" s="26">
        <f>S1045+T1045+U1045+V1045+W1045+IF(X1045="",0,X1045*サマリー!$B$9)+IF(Y1045="",0,IF(Y1045=200,サマリー!$B$10,IF(Y1045=100,サマリー!$B$11,0)))+IF(Z1045="",0,Z1045*サマリー!$B$12)</f>
        <v>0</v>
      </c>
      <c r="E1045" s="26">
        <f t="shared" si="40"/>
        <v>0</v>
      </c>
      <c r="I1045" s="29"/>
      <c r="J1045" s="29"/>
      <c r="K1045" s="29"/>
      <c r="L1045" s="29"/>
      <c r="M1045" s="29"/>
      <c r="N1045" s="29"/>
      <c r="O1045" s="29"/>
      <c r="P1045" s="30"/>
      <c r="Q1045" s="30"/>
      <c r="R1045" s="30"/>
      <c r="S1045" s="31"/>
      <c r="T1045" s="31"/>
      <c r="U1045" s="31"/>
      <c r="V1045" s="31"/>
      <c r="W1045" s="31"/>
      <c r="X1045" s="32"/>
      <c r="Y1045" s="32"/>
      <c r="Z1045" s="32"/>
    </row>
    <row r="1046" spans="1:26">
      <c r="A1046" s="28"/>
      <c r="B1046" s="17">
        <f t="shared" si="41"/>
        <v>46319</v>
      </c>
      <c r="C1046" s="26">
        <f>I1046+J1046+K1046+L1046+M1046+N1046+O1046+IF(P1046="",0,P1046*サマリー!$B$9)+IF(Q1046="",0,IF(Q1046=200,サマリー!$B$10,IF(Q1046=100,サマリー!$B$11,0)))+IF(R1046="",0,R1046*サマリー!$B$12)</f>
        <v>0</v>
      </c>
      <c r="D1046" s="26">
        <f>S1046+T1046+U1046+V1046+W1046+IF(X1046="",0,X1046*サマリー!$B$9)+IF(Y1046="",0,IF(Y1046=200,サマリー!$B$10,IF(Y1046=100,サマリー!$B$11,0)))+IF(Z1046="",0,Z1046*サマリー!$B$12)</f>
        <v>0</v>
      </c>
      <c r="E1046" s="26">
        <f t="shared" si="40"/>
        <v>0</v>
      </c>
      <c r="I1046" s="29"/>
      <c r="J1046" s="29"/>
      <c r="K1046" s="29"/>
      <c r="L1046" s="29"/>
      <c r="M1046" s="29"/>
      <c r="N1046" s="29"/>
      <c r="O1046" s="29"/>
      <c r="P1046" s="30"/>
      <c r="Q1046" s="30"/>
      <c r="R1046" s="30"/>
      <c r="S1046" s="31"/>
      <c r="T1046" s="31"/>
      <c r="U1046" s="31"/>
      <c r="V1046" s="31"/>
      <c r="W1046" s="31"/>
      <c r="X1046" s="32"/>
      <c r="Y1046" s="32"/>
      <c r="Z1046" s="32"/>
    </row>
    <row r="1047" spans="1:26">
      <c r="A1047" s="28"/>
      <c r="B1047" s="17">
        <f t="shared" si="41"/>
        <v>46319</v>
      </c>
      <c r="C1047" s="26">
        <f>I1047+J1047+K1047+L1047+M1047+N1047+O1047+IF(P1047="",0,P1047*サマリー!$B$9)+IF(Q1047="",0,IF(Q1047=200,サマリー!$B$10,IF(Q1047=100,サマリー!$B$11,0)))+IF(R1047="",0,R1047*サマリー!$B$12)</f>
        <v>0</v>
      </c>
      <c r="D1047" s="26">
        <f>S1047+T1047+U1047+V1047+W1047+IF(X1047="",0,X1047*サマリー!$B$9)+IF(Y1047="",0,IF(Y1047=200,サマリー!$B$10,IF(Y1047=100,サマリー!$B$11,0)))+IF(Z1047="",0,Z1047*サマリー!$B$12)</f>
        <v>0</v>
      </c>
      <c r="E1047" s="26">
        <f t="shared" si="40"/>
        <v>0</v>
      </c>
      <c r="I1047" s="29"/>
      <c r="J1047" s="29"/>
      <c r="K1047" s="29"/>
      <c r="L1047" s="29"/>
      <c r="M1047" s="29"/>
      <c r="N1047" s="29"/>
      <c r="O1047" s="29"/>
      <c r="P1047" s="30"/>
      <c r="Q1047" s="30"/>
      <c r="R1047" s="30"/>
      <c r="S1047" s="31"/>
      <c r="T1047" s="31"/>
      <c r="U1047" s="31"/>
      <c r="V1047" s="31"/>
      <c r="W1047" s="31"/>
      <c r="X1047" s="32"/>
      <c r="Y1047" s="32"/>
      <c r="Z1047" s="32"/>
    </row>
    <row r="1048" spans="1:26">
      <c r="A1048" s="28"/>
      <c r="B1048" s="17">
        <f t="shared" si="41"/>
        <v>46319</v>
      </c>
      <c r="C1048" s="26">
        <f>I1048+J1048+K1048+L1048+M1048+N1048+O1048+IF(P1048="",0,P1048*サマリー!$B$9)+IF(Q1048="",0,IF(Q1048=200,サマリー!$B$10,IF(Q1048=100,サマリー!$B$11,0)))+IF(R1048="",0,R1048*サマリー!$B$12)</f>
        <v>0</v>
      </c>
      <c r="D1048" s="26">
        <f>S1048+T1048+U1048+V1048+W1048+IF(X1048="",0,X1048*サマリー!$B$9)+IF(Y1048="",0,IF(Y1048=200,サマリー!$B$10,IF(Y1048=100,サマリー!$B$11,0)))+IF(Z1048="",0,Z1048*サマリー!$B$12)</f>
        <v>0</v>
      </c>
      <c r="E1048" s="26">
        <f t="shared" si="40"/>
        <v>0</v>
      </c>
      <c r="I1048" s="29"/>
      <c r="J1048" s="29"/>
      <c r="K1048" s="29"/>
      <c r="L1048" s="29"/>
      <c r="M1048" s="29"/>
      <c r="N1048" s="29"/>
      <c r="O1048" s="29"/>
      <c r="P1048" s="30"/>
      <c r="Q1048" s="30"/>
      <c r="R1048" s="30"/>
      <c r="S1048" s="31"/>
      <c r="T1048" s="31"/>
      <c r="U1048" s="31"/>
      <c r="V1048" s="31"/>
      <c r="W1048" s="31"/>
      <c r="X1048" s="32"/>
      <c r="Y1048" s="32"/>
      <c r="Z1048" s="32"/>
    </row>
    <row r="1049" spans="1:26">
      <c r="A1049" s="28"/>
      <c r="B1049" s="17">
        <f t="shared" si="41"/>
        <v>46319</v>
      </c>
      <c r="C1049" s="26">
        <f>I1049+J1049+K1049+L1049+M1049+N1049+O1049+IF(P1049="",0,P1049*サマリー!$B$9)+IF(Q1049="",0,IF(Q1049=200,サマリー!$B$10,IF(Q1049=100,サマリー!$B$11,0)))+IF(R1049="",0,R1049*サマリー!$B$12)</f>
        <v>0</v>
      </c>
      <c r="D1049" s="26">
        <f>S1049+T1049+U1049+V1049+W1049+IF(X1049="",0,X1049*サマリー!$B$9)+IF(Y1049="",0,IF(Y1049=200,サマリー!$B$10,IF(Y1049=100,サマリー!$B$11,0)))+IF(Z1049="",0,Z1049*サマリー!$B$12)</f>
        <v>0</v>
      </c>
      <c r="E1049" s="26">
        <f t="shared" si="40"/>
        <v>0</v>
      </c>
      <c r="I1049" s="29"/>
      <c r="J1049" s="29"/>
      <c r="K1049" s="29"/>
      <c r="L1049" s="29"/>
      <c r="M1049" s="29"/>
      <c r="N1049" s="29"/>
      <c r="O1049" s="29"/>
      <c r="P1049" s="30"/>
      <c r="Q1049" s="30"/>
      <c r="R1049" s="30"/>
      <c r="S1049" s="31"/>
      <c r="T1049" s="31"/>
      <c r="U1049" s="31"/>
      <c r="V1049" s="31"/>
      <c r="W1049" s="31"/>
      <c r="X1049" s="32"/>
      <c r="Y1049" s="32"/>
      <c r="Z1049" s="32"/>
    </row>
    <row r="1050" spans="1:26">
      <c r="A1050" s="28"/>
      <c r="B1050" s="17">
        <f t="shared" si="41"/>
        <v>46319</v>
      </c>
      <c r="C1050" s="26">
        <f>I1050+J1050+K1050+L1050+M1050+N1050+O1050+IF(P1050="",0,P1050*サマリー!$B$9)+IF(Q1050="",0,IF(Q1050=200,サマリー!$B$10,IF(Q1050=100,サマリー!$B$11,0)))+IF(R1050="",0,R1050*サマリー!$B$12)</f>
        <v>0</v>
      </c>
      <c r="D1050" s="26">
        <f>S1050+T1050+U1050+V1050+W1050+IF(X1050="",0,X1050*サマリー!$B$9)+IF(Y1050="",0,IF(Y1050=200,サマリー!$B$10,IF(Y1050=100,サマリー!$B$11,0)))+IF(Z1050="",0,Z1050*サマリー!$B$12)</f>
        <v>0</v>
      </c>
      <c r="E1050" s="26">
        <f t="shared" si="40"/>
        <v>0</v>
      </c>
      <c r="I1050" s="29"/>
      <c r="J1050" s="29"/>
      <c r="K1050" s="29"/>
      <c r="L1050" s="29"/>
      <c r="M1050" s="29"/>
      <c r="N1050" s="29"/>
      <c r="O1050" s="29"/>
      <c r="P1050" s="30"/>
      <c r="Q1050" s="30"/>
      <c r="R1050" s="30"/>
      <c r="S1050" s="31"/>
      <c r="T1050" s="31"/>
      <c r="U1050" s="31"/>
      <c r="V1050" s="31"/>
      <c r="W1050" s="31"/>
      <c r="X1050" s="32"/>
      <c r="Y1050" s="32"/>
      <c r="Z1050" s="32"/>
    </row>
    <row r="1051" spans="1:26">
      <c r="A1051" s="28"/>
      <c r="B1051" s="17">
        <f t="shared" si="41"/>
        <v>46319</v>
      </c>
      <c r="C1051" s="26">
        <f>I1051+J1051+K1051+L1051+M1051+N1051+O1051+IF(P1051="",0,P1051*サマリー!$B$9)+IF(Q1051="",0,IF(Q1051=200,サマリー!$B$10,IF(Q1051=100,サマリー!$B$11,0)))+IF(R1051="",0,R1051*サマリー!$B$12)</f>
        <v>0</v>
      </c>
      <c r="D1051" s="26">
        <f>S1051+T1051+U1051+V1051+W1051+IF(X1051="",0,X1051*サマリー!$B$9)+IF(Y1051="",0,IF(Y1051=200,サマリー!$B$10,IF(Y1051=100,サマリー!$B$11,0)))+IF(Z1051="",0,Z1051*サマリー!$B$12)</f>
        <v>0</v>
      </c>
      <c r="E1051" s="26">
        <f t="shared" si="40"/>
        <v>0</v>
      </c>
      <c r="I1051" s="29"/>
      <c r="J1051" s="29"/>
      <c r="K1051" s="29"/>
      <c r="L1051" s="29"/>
      <c r="M1051" s="29"/>
      <c r="N1051" s="29"/>
      <c r="O1051" s="29"/>
      <c r="P1051" s="30"/>
      <c r="Q1051" s="30"/>
      <c r="R1051" s="30"/>
      <c r="S1051" s="31"/>
      <c r="T1051" s="31"/>
      <c r="U1051" s="31"/>
      <c r="V1051" s="31"/>
      <c r="W1051" s="31"/>
      <c r="X1051" s="32"/>
      <c r="Y1051" s="32"/>
      <c r="Z1051" s="32"/>
    </row>
    <row r="1052" spans="1:26">
      <c r="A1052" s="28"/>
      <c r="B1052" s="17">
        <f t="shared" si="41"/>
        <v>46319</v>
      </c>
      <c r="C1052" s="26">
        <f>I1052+J1052+K1052+L1052+M1052+N1052+O1052+IF(P1052="",0,P1052*サマリー!$B$9)+IF(Q1052="",0,IF(Q1052=200,サマリー!$B$10,IF(Q1052=100,サマリー!$B$11,0)))+IF(R1052="",0,R1052*サマリー!$B$12)</f>
        <v>0</v>
      </c>
      <c r="D1052" s="26">
        <f>S1052+T1052+U1052+V1052+W1052+IF(X1052="",0,X1052*サマリー!$B$9)+IF(Y1052="",0,IF(Y1052=200,サマリー!$B$10,IF(Y1052=100,サマリー!$B$11,0)))+IF(Z1052="",0,Z1052*サマリー!$B$12)</f>
        <v>0</v>
      </c>
      <c r="E1052" s="26">
        <f t="shared" si="40"/>
        <v>0</v>
      </c>
      <c r="I1052" s="29"/>
      <c r="J1052" s="29"/>
      <c r="K1052" s="29"/>
      <c r="L1052" s="29"/>
      <c r="M1052" s="29"/>
      <c r="N1052" s="29"/>
      <c r="O1052" s="29"/>
      <c r="P1052" s="30"/>
      <c r="Q1052" s="30"/>
      <c r="R1052" s="30"/>
      <c r="S1052" s="31"/>
      <c r="T1052" s="31"/>
      <c r="U1052" s="31"/>
      <c r="V1052" s="31"/>
      <c r="W1052" s="31"/>
      <c r="X1052" s="32"/>
      <c r="Y1052" s="32"/>
      <c r="Z1052" s="32"/>
    </row>
    <row r="1053" spans="1:26">
      <c r="A1053" s="28"/>
      <c r="B1053" s="17">
        <f t="shared" si="41"/>
        <v>46319</v>
      </c>
      <c r="C1053" s="26">
        <f>I1053+J1053+K1053+L1053+M1053+N1053+O1053+IF(P1053="",0,P1053*サマリー!$B$9)+IF(Q1053="",0,IF(Q1053=200,サマリー!$B$10,IF(Q1053=100,サマリー!$B$11,0)))+IF(R1053="",0,R1053*サマリー!$B$12)</f>
        <v>0</v>
      </c>
      <c r="D1053" s="26">
        <f>S1053+T1053+U1053+V1053+W1053+IF(X1053="",0,X1053*サマリー!$B$9)+IF(Y1053="",0,IF(Y1053=200,サマリー!$B$10,IF(Y1053=100,サマリー!$B$11,0)))+IF(Z1053="",0,Z1053*サマリー!$B$12)</f>
        <v>0</v>
      </c>
      <c r="E1053" s="26">
        <f t="shared" si="40"/>
        <v>0</v>
      </c>
      <c r="I1053" s="29"/>
      <c r="J1053" s="29"/>
      <c r="K1053" s="29"/>
      <c r="L1053" s="29"/>
      <c r="M1053" s="29"/>
      <c r="N1053" s="29"/>
      <c r="O1053" s="29"/>
      <c r="P1053" s="30"/>
      <c r="Q1053" s="30"/>
      <c r="R1053" s="30"/>
      <c r="S1053" s="31"/>
      <c r="T1053" s="31"/>
      <c r="U1053" s="31"/>
      <c r="V1053" s="31"/>
      <c r="W1053" s="31"/>
      <c r="X1053" s="32"/>
      <c r="Y1053" s="32"/>
      <c r="Z1053" s="32"/>
    </row>
    <row r="1054" spans="1:26">
      <c r="A1054" s="28"/>
      <c r="B1054" s="17">
        <f t="shared" si="41"/>
        <v>46319</v>
      </c>
      <c r="C1054" s="26">
        <f>I1054+J1054+K1054+L1054+M1054+N1054+O1054+IF(P1054="",0,P1054*サマリー!$B$9)+IF(Q1054="",0,IF(Q1054=200,サマリー!$B$10,IF(Q1054=100,サマリー!$B$11,0)))+IF(R1054="",0,R1054*サマリー!$B$12)</f>
        <v>0</v>
      </c>
      <c r="D1054" s="26">
        <f>S1054+T1054+U1054+V1054+W1054+IF(X1054="",0,X1054*サマリー!$B$9)+IF(Y1054="",0,IF(Y1054=200,サマリー!$B$10,IF(Y1054=100,サマリー!$B$11,0)))+IF(Z1054="",0,Z1054*サマリー!$B$12)</f>
        <v>0</v>
      </c>
      <c r="E1054" s="26">
        <f t="shared" si="40"/>
        <v>0</v>
      </c>
      <c r="I1054" s="29"/>
      <c r="J1054" s="29"/>
      <c r="K1054" s="29"/>
      <c r="L1054" s="29"/>
      <c r="M1054" s="29"/>
      <c r="N1054" s="29"/>
      <c r="O1054" s="29"/>
      <c r="P1054" s="30"/>
      <c r="Q1054" s="30"/>
      <c r="R1054" s="30"/>
      <c r="S1054" s="31"/>
      <c r="T1054" s="31"/>
      <c r="U1054" s="31"/>
      <c r="V1054" s="31"/>
      <c r="W1054" s="31"/>
      <c r="X1054" s="32"/>
      <c r="Y1054" s="32"/>
      <c r="Z1054" s="32"/>
    </row>
    <row r="1055" spans="1:26">
      <c r="A1055" s="28"/>
      <c r="B1055" s="17">
        <f t="shared" si="41"/>
        <v>46319</v>
      </c>
      <c r="C1055" s="26">
        <f>I1055+J1055+K1055+L1055+M1055+N1055+O1055+IF(P1055="",0,P1055*サマリー!$B$9)+IF(Q1055="",0,IF(Q1055=200,サマリー!$B$10,IF(Q1055=100,サマリー!$B$11,0)))+IF(R1055="",0,R1055*サマリー!$B$12)</f>
        <v>0</v>
      </c>
      <c r="D1055" s="26">
        <f>S1055+T1055+U1055+V1055+W1055+IF(X1055="",0,X1055*サマリー!$B$9)+IF(Y1055="",0,IF(Y1055=200,サマリー!$B$10,IF(Y1055=100,サマリー!$B$11,0)))+IF(Z1055="",0,Z1055*サマリー!$B$12)</f>
        <v>0</v>
      </c>
      <c r="E1055" s="26">
        <f t="shared" si="40"/>
        <v>0</v>
      </c>
      <c r="I1055" s="29"/>
      <c r="J1055" s="29"/>
      <c r="K1055" s="29"/>
      <c r="L1055" s="29"/>
      <c r="M1055" s="29"/>
      <c r="N1055" s="29"/>
      <c r="O1055" s="29"/>
      <c r="P1055" s="30"/>
      <c r="Q1055" s="30"/>
      <c r="R1055" s="30"/>
      <c r="S1055" s="31"/>
      <c r="T1055" s="31"/>
      <c r="U1055" s="31"/>
      <c r="V1055" s="31"/>
      <c r="W1055" s="31"/>
      <c r="X1055" s="32"/>
      <c r="Y1055" s="32"/>
      <c r="Z1055" s="32"/>
    </row>
    <row r="1056" spans="1:26">
      <c r="A1056" s="28"/>
      <c r="B1056" s="17">
        <f t="shared" si="41"/>
        <v>46319</v>
      </c>
      <c r="C1056" s="26">
        <f>I1056+J1056+K1056+L1056+M1056+N1056+O1056+IF(P1056="",0,P1056*サマリー!$B$9)+IF(Q1056="",0,IF(Q1056=200,サマリー!$B$10,IF(Q1056=100,サマリー!$B$11,0)))+IF(R1056="",0,R1056*サマリー!$B$12)</f>
        <v>0</v>
      </c>
      <c r="D1056" s="26">
        <f>S1056+T1056+U1056+V1056+W1056+IF(X1056="",0,X1056*サマリー!$B$9)+IF(Y1056="",0,IF(Y1056=200,サマリー!$B$10,IF(Y1056=100,サマリー!$B$11,0)))+IF(Z1056="",0,Z1056*サマリー!$B$12)</f>
        <v>0</v>
      </c>
      <c r="E1056" s="26">
        <f t="shared" si="40"/>
        <v>0</v>
      </c>
      <c r="I1056" s="29"/>
      <c r="J1056" s="29"/>
      <c r="K1056" s="29"/>
      <c r="L1056" s="29"/>
      <c r="M1056" s="29"/>
      <c r="N1056" s="29"/>
      <c r="O1056" s="29"/>
      <c r="P1056" s="30"/>
      <c r="Q1056" s="30"/>
      <c r="R1056" s="30"/>
      <c r="S1056" s="31"/>
      <c r="T1056" s="31"/>
      <c r="U1056" s="31"/>
      <c r="V1056" s="31"/>
      <c r="W1056" s="31"/>
      <c r="X1056" s="32"/>
      <c r="Y1056" s="32"/>
      <c r="Z1056" s="32"/>
    </row>
    <row r="1057" spans="1:26">
      <c r="A1057" s="28"/>
      <c r="B1057" s="17">
        <f t="shared" si="41"/>
        <v>46319</v>
      </c>
      <c r="C1057" s="26">
        <f>I1057+J1057+K1057+L1057+M1057+N1057+O1057+IF(P1057="",0,P1057*サマリー!$B$9)+IF(Q1057="",0,IF(Q1057=200,サマリー!$B$10,IF(Q1057=100,サマリー!$B$11,0)))+IF(R1057="",0,R1057*サマリー!$B$12)</f>
        <v>0</v>
      </c>
      <c r="D1057" s="26">
        <f>S1057+T1057+U1057+V1057+W1057+IF(X1057="",0,X1057*サマリー!$B$9)+IF(Y1057="",0,IF(Y1057=200,サマリー!$B$10,IF(Y1057=100,サマリー!$B$11,0)))+IF(Z1057="",0,Z1057*サマリー!$B$12)</f>
        <v>0</v>
      </c>
      <c r="E1057" s="26">
        <f t="shared" si="40"/>
        <v>0</v>
      </c>
      <c r="I1057" s="29"/>
      <c r="J1057" s="29"/>
      <c r="K1057" s="29"/>
      <c r="L1057" s="29"/>
      <c r="M1057" s="29"/>
      <c r="N1057" s="29"/>
      <c r="O1057" s="29"/>
      <c r="P1057" s="30"/>
      <c r="Q1057" s="30"/>
      <c r="R1057" s="30"/>
      <c r="S1057" s="31"/>
      <c r="T1057" s="31"/>
      <c r="U1057" s="31"/>
      <c r="V1057" s="31"/>
      <c r="W1057" s="31"/>
      <c r="X1057" s="32"/>
      <c r="Y1057" s="32"/>
      <c r="Z1057" s="32"/>
    </row>
    <row r="1058" spans="1:26">
      <c r="A1058" s="28"/>
      <c r="B1058" s="17">
        <f t="shared" si="41"/>
        <v>46319</v>
      </c>
      <c r="C1058" s="26">
        <f>I1058+J1058+K1058+L1058+M1058+N1058+O1058+IF(P1058="",0,P1058*サマリー!$B$9)+IF(Q1058="",0,IF(Q1058=200,サマリー!$B$10,IF(Q1058=100,サマリー!$B$11,0)))+IF(R1058="",0,R1058*サマリー!$B$12)</f>
        <v>0</v>
      </c>
      <c r="D1058" s="26">
        <f>S1058+T1058+U1058+V1058+W1058+IF(X1058="",0,X1058*サマリー!$B$9)+IF(Y1058="",0,IF(Y1058=200,サマリー!$B$10,IF(Y1058=100,サマリー!$B$11,0)))+IF(Z1058="",0,Z1058*サマリー!$B$12)</f>
        <v>0</v>
      </c>
      <c r="E1058" s="26">
        <f t="shared" si="40"/>
        <v>0</v>
      </c>
      <c r="I1058" s="29"/>
      <c r="J1058" s="29"/>
      <c r="K1058" s="29"/>
      <c r="L1058" s="29"/>
      <c r="M1058" s="29"/>
      <c r="N1058" s="29"/>
      <c r="O1058" s="29"/>
      <c r="P1058" s="30"/>
      <c r="Q1058" s="30"/>
      <c r="R1058" s="30"/>
      <c r="S1058" s="31"/>
      <c r="T1058" s="31"/>
      <c r="U1058" s="31"/>
      <c r="V1058" s="31"/>
      <c r="W1058" s="31"/>
      <c r="X1058" s="32"/>
      <c r="Y1058" s="32"/>
      <c r="Z1058" s="32"/>
    </row>
    <row r="1059" spans="1:26">
      <c r="A1059" s="28"/>
      <c r="B1059" s="17">
        <f t="shared" si="41"/>
        <v>46319</v>
      </c>
      <c r="C1059" s="26">
        <f>I1059+J1059+K1059+L1059+M1059+N1059+O1059+IF(P1059="",0,P1059*サマリー!$B$9)+IF(Q1059="",0,IF(Q1059=200,サマリー!$B$10,IF(Q1059=100,サマリー!$B$11,0)))+IF(R1059="",0,R1059*サマリー!$B$12)</f>
        <v>0</v>
      </c>
      <c r="D1059" s="26">
        <f>S1059+T1059+U1059+V1059+W1059+IF(X1059="",0,X1059*サマリー!$B$9)+IF(Y1059="",0,IF(Y1059=200,サマリー!$B$10,IF(Y1059=100,サマリー!$B$11,0)))+IF(Z1059="",0,Z1059*サマリー!$B$12)</f>
        <v>0</v>
      </c>
      <c r="E1059" s="26">
        <f t="shared" ref="E1059:E1122" si="42">C1059+D1059</f>
        <v>0</v>
      </c>
      <c r="I1059" s="29"/>
      <c r="J1059" s="29"/>
      <c r="K1059" s="29"/>
      <c r="L1059" s="29"/>
      <c r="M1059" s="29"/>
      <c r="N1059" s="29"/>
      <c r="O1059" s="29"/>
      <c r="P1059" s="30"/>
      <c r="Q1059" s="30"/>
      <c r="R1059" s="30"/>
      <c r="S1059" s="31"/>
      <c r="T1059" s="31"/>
      <c r="U1059" s="31"/>
      <c r="V1059" s="31"/>
      <c r="W1059" s="31"/>
      <c r="X1059" s="32"/>
      <c r="Y1059" s="32"/>
      <c r="Z1059" s="32"/>
    </row>
    <row r="1060" spans="1:26">
      <c r="A1060" s="28"/>
      <c r="B1060" s="17">
        <f t="shared" si="41"/>
        <v>46319</v>
      </c>
      <c r="C1060" s="26">
        <f>I1060+J1060+K1060+L1060+M1060+N1060+O1060+IF(P1060="",0,P1060*サマリー!$B$9)+IF(Q1060="",0,IF(Q1060=200,サマリー!$B$10,IF(Q1060=100,サマリー!$B$11,0)))+IF(R1060="",0,R1060*サマリー!$B$12)</f>
        <v>0</v>
      </c>
      <c r="D1060" s="26">
        <f>S1060+T1060+U1060+V1060+W1060+IF(X1060="",0,X1060*サマリー!$B$9)+IF(Y1060="",0,IF(Y1060=200,サマリー!$B$10,IF(Y1060=100,サマリー!$B$11,0)))+IF(Z1060="",0,Z1060*サマリー!$B$12)</f>
        <v>0</v>
      </c>
      <c r="E1060" s="26">
        <f t="shared" si="42"/>
        <v>0</v>
      </c>
      <c r="I1060" s="29"/>
      <c r="J1060" s="29"/>
      <c r="K1060" s="29"/>
      <c r="L1060" s="29"/>
      <c r="M1060" s="29"/>
      <c r="N1060" s="29"/>
      <c r="O1060" s="29"/>
      <c r="P1060" s="30"/>
      <c r="Q1060" s="30"/>
      <c r="R1060" s="30"/>
      <c r="S1060" s="31"/>
      <c r="T1060" s="31"/>
      <c r="U1060" s="31"/>
      <c r="V1060" s="31"/>
      <c r="W1060" s="31"/>
      <c r="X1060" s="32"/>
      <c r="Y1060" s="32"/>
      <c r="Z1060" s="32"/>
    </row>
    <row r="1061" spans="1:26">
      <c r="A1061" s="28"/>
      <c r="B1061" s="17">
        <f t="shared" si="41"/>
        <v>46319</v>
      </c>
      <c r="C1061" s="26">
        <f>I1061+J1061+K1061+L1061+M1061+N1061+O1061+IF(P1061="",0,P1061*サマリー!$B$9)+IF(Q1061="",0,IF(Q1061=200,サマリー!$B$10,IF(Q1061=100,サマリー!$B$11,0)))+IF(R1061="",0,R1061*サマリー!$B$12)</f>
        <v>0</v>
      </c>
      <c r="D1061" s="26">
        <f>S1061+T1061+U1061+V1061+W1061+IF(X1061="",0,X1061*サマリー!$B$9)+IF(Y1061="",0,IF(Y1061=200,サマリー!$B$10,IF(Y1061=100,サマリー!$B$11,0)))+IF(Z1061="",0,Z1061*サマリー!$B$12)</f>
        <v>0</v>
      </c>
      <c r="E1061" s="26">
        <f t="shared" si="42"/>
        <v>0</v>
      </c>
      <c r="I1061" s="29"/>
      <c r="J1061" s="29"/>
      <c r="K1061" s="29"/>
      <c r="L1061" s="29"/>
      <c r="M1061" s="29"/>
      <c r="N1061" s="29"/>
      <c r="O1061" s="29"/>
      <c r="P1061" s="30"/>
      <c r="Q1061" s="30"/>
      <c r="R1061" s="30"/>
      <c r="S1061" s="31"/>
      <c r="T1061" s="31"/>
      <c r="U1061" s="31"/>
      <c r="V1061" s="31"/>
      <c r="W1061" s="31"/>
      <c r="X1061" s="32"/>
      <c r="Y1061" s="32"/>
      <c r="Z1061" s="32"/>
    </row>
    <row r="1062" spans="1:26">
      <c r="A1062" s="28"/>
      <c r="B1062" s="17">
        <f t="shared" si="41"/>
        <v>46319</v>
      </c>
      <c r="C1062" s="26">
        <f>I1062+J1062+K1062+L1062+M1062+N1062+O1062+IF(P1062="",0,P1062*サマリー!$B$9)+IF(Q1062="",0,IF(Q1062=200,サマリー!$B$10,IF(Q1062=100,サマリー!$B$11,0)))+IF(R1062="",0,R1062*サマリー!$B$12)</f>
        <v>0</v>
      </c>
      <c r="D1062" s="26">
        <f>S1062+T1062+U1062+V1062+W1062+IF(X1062="",0,X1062*サマリー!$B$9)+IF(Y1062="",0,IF(Y1062=200,サマリー!$B$10,IF(Y1062=100,サマリー!$B$11,0)))+IF(Z1062="",0,Z1062*サマリー!$B$12)</f>
        <v>0</v>
      </c>
      <c r="E1062" s="26">
        <f t="shared" si="42"/>
        <v>0</v>
      </c>
      <c r="I1062" s="29"/>
      <c r="J1062" s="29"/>
      <c r="K1062" s="29"/>
      <c r="L1062" s="29"/>
      <c r="M1062" s="29"/>
      <c r="N1062" s="29"/>
      <c r="O1062" s="29"/>
      <c r="P1062" s="30"/>
      <c r="Q1062" s="30"/>
      <c r="R1062" s="30"/>
      <c r="S1062" s="31"/>
      <c r="T1062" s="31"/>
      <c r="U1062" s="31"/>
      <c r="V1062" s="31"/>
      <c r="W1062" s="31"/>
      <c r="X1062" s="32"/>
      <c r="Y1062" s="32"/>
      <c r="Z1062" s="32"/>
    </row>
    <row r="1063" spans="1:26">
      <c r="A1063" s="28"/>
      <c r="B1063" s="17">
        <f t="shared" si="41"/>
        <v>46319</v>
      </c>
      <c r="C1063" s="26">
        <f>I1063+J1063+K1063+L1063+M1063+N1063+O1063+IF(P1063="",0,P1063*サマリー!$B$9)+IF(Q1063="",0,IF(Q1063=200,サマリー!$B$10,IF(Q1063=100,サマリー!$B$11,0)))+IF(R1063="",0,R1063*サマリー!$B$12)</f>
        <v>0</v>
      </c>
      <c r="D1063" s="26">
        <f>S1063+T1063+U1063+V1063+W1063+IF(X1063="",0,X1063*サマリー!$B$9)+IF(Y1063="",0,IF(Y1063=200,サマリー!$B$10,IF(Y1063=100,サマリー!$B$11,0)))+IF(Z1063="",0,Z1063*サマリー!$B$12)</f>
        <v>0</v>
      </c>
      <c r="E1063" s="26">
        <f t="shared" si="42"/>
        <v>0</v>
      </c>
      <c r="I1063" s="29"/>
      <c r="J1063" s="29"/>
      <c r="K1063" s="29"/>
      <c r="L1063" s="29"/>
      <c r="M1063" s="29"/>
      <c r="N1063" s="29"/>
      <c r="O1063" s="29"/>
      <c r="P1063" s="30"/>
      <c r="Q1063" s="30"/>
      <c r="R1063" s="30"/>
      <c r="S1063" s="31"/>
      <c r="T1063" s="31"/>
      <c r="U1063" s="31"/>
      <c r="V1063" s="31"/>
      <c r="W1063" s="31"/>
      <c r="X1063" s="32"/>
      <c r="Y1063" s="32"/>
      <c r="Z1063" s="32"/>
    </row>
    <row r="1064" spans="1:26">
      <c r="A1064" s="28"/>
      <c r="B1064" s="17">
        <f t="shared" si="41"/>
        <v>46319</v>
      </c>
      <c r="C1064" s="26">
        <f>I1064+J1064+K1064+L1064+M1064+N1064+O1064+IF(P1064="",0,P1064*サマリー!$B$9)+IF(Q1064="",0,IF(Q1064=200,サマリー!$B$10,IF(Q1064=100,サマリー!$B$11,0)))+IF(R1064="",0,R1064*サマリー!$B$12)</f>
        <v>0</v>
      </c>
      <c r="D1064" s="26">
        <f>S1064+T1064+U1064+V1064+W1064+IF(X1064="",0,X1064*サマリー!$B$9)+IF(Y1064="",0,IF(Y1064=200,サマリー!$B$10,IF(Y1064=100,サマリー!$B$11,0)))+IF(Z1064="",0,Z1064*サマリー!$B$12)</f>
        <v>0</v>
      </c>
      <c r="E1064" s="26">
        <f t="shared" si="42"/>
        <v>0</v>
      </c>
      <c r="I1064" s="29"/>
      <c r="J1064" s="29"/>
      <c r="K1064" s="29"/>
      <c r="L1064" s="29"/>
      <c r="M1064" s="29"/>
      <c r="N1064" s="29"/>
      <c r="O1064" s="29"/>
      <c r="P1064" s="30"/>
      <c r="Q1064" s="30"/>
      <c r="R1064" s="30"/>
      <c r="S1064" s="31"/>
      <c r="T1064" s="31"/>
      <c r="U1064" s="31"/>
      <c r="V1064" s="31"/>
      <c r="W1064" s="31"/>
      <c r="X1064" s="32"/>
      <c r="Y1064" s="32"/>
      <c r="Z1064" s="32"/>
    </row>
    <row r="1065" spans="1:26">
      <c r="A1065" s="28"/>
      <c r="B1065" s="17">
        <f t="shared" si="41"/>
        <v>46319</v>
      </c>
      <c r="C1065" s="26">
        <f>I1065+J1065+K1065+L1065+M1065+N1065+O1065+IF(P1065="",0,P1065*サマリー!$B$9)+IF(Q1065="",0,IF(Q1065=200,サマリー!$B$10,IF(Q1065=100,サマリー!$B$11,0)))+IF(R1065="",0,R1065*サマリー!$B$12)</f>
        <v>0</v>
      </c>
      <c r="D1065" s="26">
        <f>S1065+T1065+U1065+V1065+W1065+IF(X1065="",0,X1065*サマリー!$B$9)+IF(Y1065="",0,IF(Y1065=200,サマリー!$B$10,IF(Y1065=100,サマリー!$B$11,0)))+IF(Z1065="",0,Z1065*サマリー!$B$12)</f>
        <v>0</v>
      </c>
      <c r="E1065" s="26">
        <f t="shared" si="42"/>
        <v>0</v>
      </c>
      <c r="I1065" s="29"/>
      <c r="J1065" s="29"/>
      <c r="K1065" s="29"/>
      <c r="L1065" s="29"/>
      <c r="M1065" s="29"/>
      <c r="N1065" s="29"/>
      <c r="O1065" s="29"/>
      <c r="P1065" s="30"/>
      <c r="Q1065" s="30"/>
      <c r="R1065" s="30"/>
      <c r="S1065" s="31"/>
      <c r="T1065" s="31"/>
      <c r="U1065" s="31"/>
      <c r="V1065" s="31"/>
      <c r="W1065" s="31"/>
      <c r="X1065" s="32"/>
      <c r="Y1065" s="32"/>
      <c r="Z1065" s="32"/>
    </row>
    <row r="1066" spans="1:26">
      <c r="A1066" s="28"/>
      <c r="B1066" s="17">
        <f t="shared" si="41"/>
        <v>46319</v>
      </c>
      <c r="C1066" s="26">
        <f>I1066+J1066+K1066+L1066+M1066+N1066+O1066+IF(P1066="",0,P1066*サマリー!$B$9)+IF(Q1066="",0,IF(Q1066=200,サマリー!$B$10,IF(Q1066=100,サマリー!$B$11,0)))+IF(R1066="",0,R1066*サマリー!$B$12)</f>
        <v>0</v>
      </c>
      <c r="D1066" s="26">
        <f>S1066+T1066+U1066+V1066+W1066+IF(X1066="",0,X1066*サマリー!$B$9)+IF(Y1066="",0,IF(Y1066=200,サマリー!$B$10,IF(Y1066=100,サマリー!$B$11,0)))+IF(Z1066="",0,Z1066*サマリー!$B$12)</f>
        <v>0</v>
      </c>
      <c r="E1066" s="26">
        <f t="shared" si="42"/>
        <v>0</v>
      </c>
      <c r="I1066" s="29"/>
      <c r="J1066" s="29"/>
      <c r="K1066" s="29"/>
      <c r="L1066" s="29"/>
      <c r="M1066" s="29"/>
      <c r="N1066" s="29"/>
      <c r="O1066" s="29"/>
      <c r="P1066" s="30"/>
      <c r="Q1066" s="30"/>
      <c r="R1066" s="30"/>
      <c r="S1066" s="31"/>
      <c r="T1066" s="31"/>
      <c r="U1066" s="31"/>
      <c r="V1066" s="31"/>
      <c r="W1066" s="31"/>
      <c r="X1066" s="32"/>
      <c r="Y1066" s="32"/>
      <c r="Z1066" s="32"/>
    </row>
    <row r="1067" spans="1:26">
      <c r="A1067" s="28"/>
      <c r="B1067" s="17">
        <f t="shared" si="41"/>
        <v>46319</v>
      </c>
      <c r="C1067" s="26">
        <f>I1067+J1067+K1067+L1067+M1067+N1067+O1067+IF(P1067="",0,P1067*サマリー!$B$9)+IF(Q1067="",0,IF(Q1067=200,サマリー!$B$10,IF(Q1067=100,サマリー!$B$11,0)))+IF(R1067="",0,R1067*サマリー!$B$12)</f>
        <v>0</v>
      </c>
      <c r="D1067" s="26">
        <f>S1067+T1067+U1067+V1067+W1067+IF(X1067="",0,X1067*サマリー!$B$9)+IF(Y1067="",0,IF(Y1067=200,サマリー!$B$10,IF(Y1067=100,サマリー!$B$11,0)))+IF(Z1067="",0,Z1067*サマリー!$B$12)</f>
        <v>0</v>
      </c>
      <c r="E1067" s="26">
        <f t="shared" si="42"/>
        <v>0</v>
      </c>
      <c r="I1067" s="29"/>
      <c r="J1067" s="29"/>
      <c r="K1067" s="29"/>
      <c r="L1067" s="29"/>
      <c r="M1067" s="29"/>
      <c r="N1067" s="29"/>
      <c r="O1067" s="29"/>
      <c r="P1067" s="30"/>
      <c r="Q1067" s="30"/>
      <c r="R1067" s="30"/>
      <c r="S1067" s="31"/>
      <c r="T1067" s="31"/>
      <c r="U1067" s="31"/>
      <c r="V1067" s="31"/>
      <c r="W1067" s="31"/>
      <c r="X1067" s="32"/>
      <c r="Y1067" s="32"/>
      <c r="Z1067" s="32"/>
    </row>
    <row r="1068" spans="1:26">
      <c r="A1068" s="28"/>
      <c r="B1068" s="17">
        <f t="shared" si="41"/>
        <v>46319</v>
      </c>
      <c r="C1068" s="26">
        <f>I1068+J1068+K1068+L1068+M1068+N1068+O1068+IF(P1068="",0,P1068*サマリー!$B$9)+IF(Q1068="",0,IF(Q1068=200,サマリー!$B$10,IF(Q1068=100,サマリー!$B$11,0)))+IF(R1068="",0,R1068*サマリー!$B$12)</f>
        <v>0</v>
      </c>
      <c r="D1068" s="26">
        <f>S1068+T1068+U1068+V1068+W1068+IF(X1068="",0,X1068*サマリー!$B$9)+IF(Y1068="",0,IF(Y1068=200,サマリー!$B$10,IF(Y1068=100,サマリー!$B$11,0)))+IF(Z1068="",0,Z1068*サマリー!$B$12)</f>
        <v>0</v>
      </c>
      <c r="E1068" s="26">
        <f t="shared" si="42"/>
        <v>0</v>
      </c>
      <c r="I1068" s="29"/>
      <c r="J1068" s="29"/>
      <c r="K1068" s="29"/>
      <c r="L1068" s="29"/>
      <c r="M1068" s="29"/>
      <c r="N1068" s="29"/>
      <c r="O1068" s="29"/>
      <c r="P1068" s="30"/>
      <c r="Q1068" s="30"/>
      <c r="R1068" s="30"/>
      <c r="S1068" s="31"/>
      <c r="T1068" s="31"/>
      <c r="U1068" s="31"/>
      <c r="V1068" s="31"/>
      <c r="W1068" s="31"/>
      <c r="X1068" s="32"/>
      <c r="Y1068" s="32"/>
      <c r="Z1068" s="32"/>
    </row>
    <row r="1069" spans="1:26">
      <c r="A1069" s="28"/>
      <c r="B1069" s="17">
        <f t="shared" si="41"/>
        <v>46319</v>
      </c>
      <c r="C1069" s="26">
        <f>I1069+J1069+K1069+L1069+M1069+N1069+O1069+IF(P1069="",0,P1069*サマリー!$B$9)+IF(Q1069="",0,IF(Q1069=200,サマリー!$B$10,IF(Q1069=100,サマリー!$B$11,0)))+IF(R1069="",0,R1069*サマリー!$B$12)</f>
        <v>0</v>
      </c>
      <c r="D1069" s="26">
        <f>S1069+T1069+U1069+V1069+W1069+IF(X1069="",0,X1069*サマリー!$B$9)+IF(Y1069="",0,IF(Y1069=200,サマリー!$B$10,IF(Y1069=100,サマリー!$B$11,0)))+IF(Z1069="",0,Z1069*サマリー!$B$12)</f>
        <v>0</v>
      </c>
      <c r="E1069" s="26">
        <f t="shared" si="42"/>
        <v>0</v>
      </c>
      <c r="I1069" s="29"/>
      <c r="J1069" s="29"/>
      <c r="K1069" s="29"/>
      <c r="L1069" s="29"/>
      <c r="M1069" s="29"/>
      <c r="N1069" s="29"/>
      <c r="O1069" s="29"/>
      <c r="P1069" s="30"/>
      <c r="Q1069" s="30"/>
      <c r="R1069" s="30"/>
      <c r="S1069" s="31"/>
      <c r="T1069" s="31"/>
      <c r="U1069" s="31"/>
      <c r="V1069" s="31"/>
      <c r="W1069" s="31"/>
      <c r="X1069" s="32"/>
      <c r="Y1069" s="32"/>
      <c r="Z1069" s="32"/>
    </row>
    <row r="1070" spans="1:26">
      <c r="A1070" s="28"/>
      <c r="B1070" s="17">
        <f t="shared" si="41"/>
        <v>46319</v>
      </c>
      <c r="C1070" s="26">
        <f>I1070+J1070+K1070+L1070+M1070+N1070+O1070+IF(P1070="",0,P1070*サマリー!$B$9)+IF(Q1070="",0,IF(Q1070=200,サマリー!$B$10,IF(Q1070=100,サマリー!$B$11,0)))+IF(R1070="",0,R1070*サマリー!$B$12)</f>
        <v>0</v>
      </c>
      <c r="D1070" s="26">
        <f>S1070+T1070+U1070+V1070+W1070+IF(X1070="",0,X1070*サマリー!$B$9)+IF(Y1070="",0,IF(Y1070=200,サマリー!$B$10,IF(Y1070=100,サマリー!$B$11,0)))+IF(Z1070="",0,Z1070*サマリー!$B$12)</f>
        <v>0</v>
      </c>
      <c r="E1070" s="26">
        <f t="shared" si="42"/>
        <v>0</v>
      </c>
      <c r="I1070" s="29"/>
      <c r="J1070" s="29"/>
      <c r="K1070" s="29"/>
      <c r="L1070" s="29"/>
      <c r="M1070" s="29"/>
      <c r="N1070" s="29"/>
      <c r="O1070" s="29"/>
      <c r="P1070" s="30"/>
      <c r="Q1070" s="30"/>
      <c r="R1070" s="30"/>
      <c r="S1070" s="31"/>
      <c r="T1070" s="31"/>
      <c r="U1070" s="31"/>
      <c r="V1070" s="31"/>
      <c r="W1070" s="31"/>
      <c r="X1070" s="32"/>
      <c r="Y1070" s="32"/>
      <c r="Z1070" s="32"/>
    </row>
    <row r="1071" spans="1:26">
      <c r="A1071" s="28"/>
      <c r="B1071" s="17">
        <f t="shared" si="41"/>
        <v>46319</v>
      </c>
      <c r="C1071" s="26">
        <f>I1071+J1071+K1071+L1071+M1071+N1071+O1071+IF(P1071="",0,P1071*サマリー!$B$9)+IF(Q1071="",0,IF(Q1071=200,サマリー!$B$10,IF(Q1071=100,サマリー!$B$11,0)))+IF(R1071="",0,R1071*サマリー!$B$12)</f>
        <v>0</v>
      </c>
      <c r="D1071" s="26">
        <f>S1071+T1071+U1071+V1071+W1071+IF(X1071="",0,X1071*サマリー!$B$9)+IF(Y1071="",0,IF(Y1071=200,サマリー!$B$10,IF(Y1071=100,サマリー!$B$11,0)))+IF(Z1071="",0,Z1071*サマリー!$B$12)</f>
        <v>0</v>
      </c>
      <c r="E1071" s="26">
        <f t="shared" si="42"/>
        <v>0</v>
      </c>
      <c r="I1071" s="29"/>
      <c r="J1071" s="29"/>
      <c r="K1071" s="29"/>
      <c r="L1071" s="29"/>
      <c r="M1071" s="29"/>
      <c r="N1071" s="29"/>
      <c r="O1071" s="29"/>
      <c r="P1071" s="30"/>
      <c r="Q1071" s="30"/>
      <c r="R1071" s="30"/>
      <c r="S1071" s="31"/>
      <c r="T1071" s="31"/>
      <c r="U1071" s="31"/>
      <c r="V1071" s="31"/>
      <c r="W1071" s="31"/>
      <c r="X1071" s="32"/>
      <c r="Y1071" s="32"/>
      <c r="Z1071" s="32"/>
    </row>
    <row r="1072" spans="1:26">
      <c r="A1072" s="28"/>
      <c r="B1072" s="17">
        <f t="shared" si="41"/>
        <v>46319</v>
      </c>
      <c r="C1072" s="26">
        <f>I1072+J1072+K1072+L1072+M1072+N1072+O1072+IF(P1072="",0,P1072*サマリー!$B$9)+IF(Q1072="",0,IF(Q1072=200,サマリー!$B$10,IF(Q1072=100,サマリー!$B$11,0)))+IF(R1072="",0,R1072*サマリー!$B$12)</f>
        <v>0</v>
      </c>
      <c r="D1072" s="26">
        <f>S1072+T1072+U1072+V1072+W1072+IF(X1072="",0,X1072*サマリー!$B$9)+IF(Y1072="",0,IF(Y1072=200,サマリー!$B$10,IF(Y1072=100,サマリー!$B$11,0)))+IF(Z1072="",0,Z1072*サマリー!$B$12)</f>
        <v>0</v>
      </c>
      <c r="E1072" s="26">
        <f t="shared" si="42"/>
        <v>0</v>
      </c>
      <c r="I1072" s="29"/>
      <c r="J1072" s="29"/>
      <c r="K1072" s="29"/>
      <c r="L1072" s="29"/>
      <c r="M1072" s="29"/>
      <c r="N1072" s="29"/>
      <c r="O1072" s="29"/>
      <c r="P1072" s="30"/>
      <c r="Q1072" s="30"/>
      <c r="R1072" s="30"/>
      <c r="S1072" s="31"/>
      <c r="T1072" s="31"/>
      <c r="U1072" s="31"/>
      <c r="V1072" s="31"/>
      <c r="W1072" s="31"/>
      <c r="X1072" s="32"/>
      <c r="Y1072" s="32"/>
      <c r="Z1072" s="32"/>
    </row>
    <row r="1073" spans="1:26">
      <c r="A1073" s="28"/>
      <c r="B1073" s="17">
        <f t="shared" si="41"/>
        <v>46319</v>
      </c>
      <c r="C1073" s="26">
        <f>I1073+J1073+K1073+L1073+M1073+N1073+O1073+IF(P1073="",0,P1073*サマリー!$B$9)+IF(Q1073="",0,IF(Q1073=200,サマリー!$B$10,IF(Q1073=100,サマリー!$B$11,0)))+IF(R1073="",0,R1073*サマリー!$B$12)</f>
        <v>0</v>
      </c>
      <c r="D1073" s="26">
        <f>S1073+T1073+U1073+V1073+W1073+IF(X1073="",0,X1073*サマリー!$B$9)+IF(Y1073="",0,IF(Y1073=200,サマリー!$B$10,IF(Y1073=100,サマリー!$B$11,0)))+IF(Z1073="",0,Z1073*サマリー!$B$12)</f>
        <v>0</v>
      </c>
      <c r="E1073" s="26">
        <f t="shared" si="42"/>
        <v>0</v>
      </c>
      <c r="I1073" s="29"/>
      <c r="J1073" s="29"/>
      <c r="K1073" s="29"/>
      <c r="L1073" s="29"/>
      <c r="M1073" s="29"/>
      <c r="N1073" s="29"/>
      <c r="O1073" s="29"/>
      <c r="P1073" s="30"/>
      <c r="Q1073" s="30"/>
      <c r="R1073" s="30"/>
      <c r="S1073" s="31"/>
      <c r="T1073" s="31"/>
      <c r="U1073" s="31"/>
      <c r="V1073" s="31"/>
      <c r="W1073" s="31"/>
      <c r="X1073" s="32"/>
      <c r="Y1073" s="32"/>
      <c r="Z1073" s="32"/>
    </row>
    <row r="1074" spans="1:26">
      <c r="A1074" s="28"/>
      <c r="B1074" s="17">
        <f t="shared" si="41"/>
        <v>46319</v>
      </c>
      <c r="C1074" s="26">
        <f>I1074+J1074+K1074+L1074+M1074+N1074+O1074+IF(P1074="",0,P1074*サマリー!$B$9)+IF(Q1074="",0,IF(Q1074=200,サマリー!$B$10,IF(Q1074=100,サマリー!$B$11,0)))+IF(R1074="",0,R1074*サマリー!$B$12)</f>
        <v>0</v>
      </c>
      <c r="D1074" s="26">
        <f>S1074+T1074+U1074+V1074+W1074+IF(X1074="",0,X1074*サマリー!$B$9)+IF(Y1074="",0,IF(Y1074=200,サマリー!$B$10,IF(Y1074=100,サマリー!$B$11,0)))+IF(Z1074="",0,Z1074*サマリー!$B$12)</f>
        <v>0</v>
      </c>
      <c r="E1074" s="26">
        <f t="shared" si="42"/>
        <v>0</v>
      </c>
      <c r="I1074" s="29"/>
      <c r="J1074" s="29"/>
      <c r="K1074" s="29"/>
      <c r="L1074" s="29"/>
      <c r="M1074" s="29"/>
      <c r="N1074" s="29"/>
      <c r="O1074" s="29"/>
      <c r="P1074" s="30"/>
      <c r="Q1074" s="30"/>
      <c r="R1074" s="30"/>
      <c r="S1074" s="31"/>
      <c r="T1074" s="31"/>
      <c r="U1074" s="31"/>
      <c r="V1074" s="31"/>
      <c r="W1074" s="31"/>
      <c r="X1074" s="32"/>
      <c r="Y1074" s="32"/>
      <c r="Z1074" s="32"/>
    </row>
    <row r="1075" spans="1:26">
      <c r="A1075" s="28"/>
      <c r="B1075" s="17">
        <f t="shared" si="41"/>
        <v>46319</v>
      </c>
      <c r="C1075" s="26">
        <f>I1075+J1075+K1075+L1075+M1075+N1075+O1075+IF(P1075="",0,P1075*サマリー!$B$9)+IF(Q1075="",0,IF(Q1075=200,サマリー!$B$10,IF(Q1075=100,サマリー!$B$11,0)))+IF(R1075="",0,R1075*サマリー!$B$12)</f>
        <v>0</v>
      </c>
      <c r="D1075" s="26">
        <f>S1075+T1075+U1075+V1075+W1075+IF(X1075="",0,X1075*サマリー!$B$9)+IF(Y1075="",0,IF(Y1075=200,サマリー!$B$10,IF(Y1075=100,サマリー!$B$11,0)))+IF(Z1075="",0,Z1075*サマリー!$B$12)</f>
        <v>0</v>
      </c>
      <c r="E1075" s="26">
        <f t="shared" si="42"/>
        <v>0</v>
      </c>
      <c r="I1075" s="29"/>
      <c r="J1075" s="29"/>
      <c r="K1075" s="29"/>
      <c r="L1075" s="29"/>
      <c r="M1075" s="29"/>
      <c r="N1075" s="29"/>
      <c r="O1075" s="29"/>
      <c r="P1075" s="30"/>
      <c r="Q1075" s="30"/>
      <c r="R1075" s="30"/>
      <c r="S1075" s="31"/>
      <c r="T1075" s="31"/>
      <c r="U1075" s="31"/>
      <c r="V1075" s="31"/>
      <c r="W1075" s="31"/>
      <c r="X1075" s="32"/>
      <c r="Y1075" s="32"/>
      <c r="Z1075" s="32"/>
    </row>
    <row r="1076" spans="1:26">
      <c r="A1076" s="28"/>
      <c r="B1076" s="17">
        <f t="shared" si="41"/>
        <v>46319</v>
      </c>
      <c r="C1076" s="26">
        <f>I1076+J1076+K1076+L1076+M1076+N1076+O1076+IF(P1076="",0,P1076*サマリー!$B$9)+IF(Q1076="",0,IF(Q1076=200,サマリー!$B$10,IF(Q1076=100,サマリー!$B$11,0)))+IF(R1076="",0,R1076*サマリー!$B$12)</f>
        <v>0</v>
      </c>
      <c r="D1076" s="26">
        <f>S1076+T1076+U1076+V1076+W1076+IF(X1076="",0,X1076*サマリー!$B$9)+IF(Y1076="",0,IF(Y1076=200,サマリー!$B$10,IF(Y1076=100,サマリー!$B$11,0)))+IF(Z1076="",0,Z1076*サマリー!$B$12)</f>
        <v>0</v>
      </c>
      <c r="E1076" s="26">
        <f t="shared" si="42"/>
        <v>0</v>
      </c>
      <c r="I1076" s="29"/>
      <c r="J1076" s="29"/>
      <c r="K1076" s="29"/>
      <c r="L1076" s="29"/>
      <c r="M1076" s="29"/>
      <c r="N1076" s="29"/>
      <c r="O1076" s="29"/>
      <c r="P1076" s="30"/>
      <c r="Q1076" s="30"/>
      <c r="R1076" s="30"/>
      <c r="S1076" s="31"/>
      <c r="T1076" s="31"/>
      <c r="U1076" s="31"/>
      <c r="V1076" s="31"/>
      <c r="W1076" s="31"/>
      <c r="X1076" s="32"/>
      <c r="Y1076" s="32"/>
      <c r="Z1076" s="32"/>
    </row>
    <row r="1077" spans="1:26">
      <c r="A1077" s="28"/>
      <c r="B1077" s="17">
        <f t="shared" si="41"/>
        <v>46319</v>
      </c>
      <c r="C1077" s="26">
        <f>I1077+J1077+K1077+L1077+M1077+N1077+O1077+IF(P1077="",0,P1077*サマリー!$B$9)+IF(Q1077="",0,IF(Q1077=200,サマリー!$B$10,IF(Q1077=100,サマリー!$B$11,0)))+IF(R1077="",0,R1077*サマリー!$B$12)</f>
        <v>0</v>
      </c>
      <c r="D1077" s="26">
        <f>S1077+T1077+U1077+V1077+W1077+IF(X1077="",0,X1077*サマリー!$B$9)+IF(Y1077="",0,IF(Y1077=200,サマリー!$B$10,IF(Y1077=100,サマリー!$B$11,0)))+IF(Z1077="",0,Z1077*サマリー!$B$12)</f>
        <v>0</v>
      </c>
      <c r="E1077" s="26">
        <f t="shared" si="42"/>
        <v>0</v>
      </c>
      <c r="I1077" s="29"/>
      <c r="J1077" s="29"/>
      <c r="K1077" s="29"/>
      <c r="L1077" s="29"/>
      <c r="M1077" s="29"/>
      <c r="N1077" s="29"/>
      <c r="O1077" s="29"/>
      <c r="P1077" s="30"/>
      <c r="Q1077" s="30"/>
      <c r="R1077" s="30"/>
      <c r="S1077" s="31"/>
      <c r="T1077" s="31"/>
      <c r="U1077" s="31"/>
      <c r="V1077" s="31"/>
      <c r="W1077" s="31"/>
      <c r="X1077" s="32"/>
      <c r="Y1077" s="32"/>
      <c r="Z1077" s="32"/>
    </row>
    <row r="1078" spans="1:26">
      <c r="A1078" s="28"/>
      <c r="B1078" s="17">
        <f t="shared" si="41"/>
        <v>46319</v>
      </c>
      <c r="C1078" s="26">
        <f>I1078+J1078+K1078+L1078+M1078+N1078+O1078+IF(P1078="",0,P1078*サマリー!$B$9)+IF(Q1078="",0,IF(Q1078=200,サマリー!$B$10,IF(Q1078=100,サマリー!$B$11,0)))+IF(R1078="",0,R1078*サマリー!$B$12)</f>
        <v>0</v>
      </c>
      <c r="D1078" s="26">
        <f>S1078+T1078+U1078+V1078+W1078+IF(X1078="",0,X1078*サマリー!$B$9)+IF(Y1078="",0,IF(Y1078=200,サマリー!$B$10,IF(Y1078=100,サマリー!$B$11,0)))+IF(Z1078="",0,Z1078*サマリー!$B$12)</f>
        <v>0</v>
      </c>
      <c r="E1078" s="26">
        <f t="shared" si="42"/>
        <v>0</v>
      </c>
      <c r="I1078" s="29"/>
      <c r="J1078" s="29"/>
      <c r="K1078" s="29"/>
      <c r="L1078" s="29"/>
      <c r="M1078" s="29"/>
      <c r="N1078" s="29"/>
      <c r="O1078" s="29"/>
      <c r="P1078" s="30"/>
      <c r="Q1078" s="30"/>
      <c r="R1078" s="30"/>
      <c r="S1078" s="31"/>
      <c r="T1078" s="31"/>
      <c r="U1078" s="31"/>
      <c r="V1078" s="31"/>
      <c r="W1078" s="31"/>
      <c r="X1078" s="32"/>
      <c r="Y1078" s="32"/>
      <c r="Z1078" s="32"/>
    </row>
    <row r="1079" spans="1:26">
      <c r="A1079" s="28"/>
      <c r="B1079" s="17">
        <f t="shared" si="41"/>
        <v>46319</v>
      </c>
      <c r="C1079" s="26">
        <f>I1079+J1079+K1079+L1079+M1079+N1079+O1079+IF(P1079="",0,P1079*サマリー!$B$9)+IF(Q1079="",0,IF(Q1079=200,サマリー!$B$10,IF(Q1079=100,サマリー!$B$11,0)))+IF(R1079="",0,R1079*サマリー!$B$12)</f>
        <v>0</v>
      </c>
      <c r="D1079" s="26">
        <f>S1079+T1079+U1079+V1079+W1079+IF(X1079="",0,X1079*サマリー!$B$9)+IF(Y1079="",0,IF(Y1079=200,サマリー!$B$10,IF(Y1079=100,サマリー!$B$11,0)))+IF(Z1079="",0,Z1079*サマリー!$B$12)</f>
        <v>0</v>
      </c>
      <c r="E1079" s="26">
        <f t="shared" si="42"/>
        <v>0</v>
      </c>
      <c r="I1079" s="29"/>
      <c r="J1079" s="29"/>
      <c r="K1079" s="29"/>
      <c r="L1079" s="29"/>
      <c r="M1079" s="29"/>
      <c r="N1079" s="29"/>
      <c r="O1079" s="29"/>
      <c r="P1079" s="30"/>
      <c r="Q1079" s="30"/>
      <c r="R1079" s="30"/>
      <c r="S1079" s="31"/>
      <c r="T1079" s="31"/>
      <c r="U1079" s="31"/>
      <c r="V1079" s="31"/>
      <c r="W1079" s="31"/>
      <c r="X1079" s="32"/>
      <c r="Y1079" s="32"/>
      <c r="Z1079" s="32"/>
    </row>
    <row r="1080" spans="1:26">
      <c r="A1080" s="28"/>
      <c r="B1080" s="17">
        <f t="shared" si="41"/>
        <v>46319</v>
      </c>
      <c r="C1080" s="26">
        <f>I1080+J1080+K1080+L1080+M1080+N1080+O1080+IF(P1080="",0,P1080*サマリー!$B$9)+IF(Q1080="",0,IF(Q1080=200,サマリー!$B$10,IF(Q1080=100,サマリー!$B$11,0)))+IF(R1080="",0,R1080*サマリー!$B$12)</f>
        <v>0</v>
      </c>
      <c r="D1080" s="26">
        <f>S1080+T1080+U1080+V1080+W1080+IF(X1080="",0,X1080*サマリー!$B$9)+IF(Y1080="",0,IF(Y1080=200,サマリー!$B$10,IF(Y1080=100,サマリー!$B$11,0)))+IF(Z1080="",0,Z1080*サマリー!$B$12)</f>
        <v>0</v>
      </c>
      <c r="E1080" s="26">
        <f t="shared" si="42"/>
        <v>0</v>
      </c>
      <c r="I1080" s="29"/>
      <c r="J1080" s="29"/>
      <c r="K1080" s="29"/>
      <c r="L1080" s="29"/>
      <c r="M1080" s="29"/>
      <c r="N1080" s="29"/>
      <c r="O1080" s="29"/>
      <c r="P1080" s="30"/>
      <c r="Q1080" s="30"/>
      <c r="R1080" s="30"/>
      <c r="S1080" s="31"/>
      <c r="T1080" s="31"/>
      <c r="U1080" s="31"/>
      <c r="V1080" s="31"/>
      <c r="W1080" s="31"/>
      <c r="X1080" s="32"/>
      <c r="Y1080" s="32"/>
      <c r="Z1080" s="32"/>
    </row>
    <row r="1081" spans="1:26">
      <c r="A1081" s="28"/>
      <c r="B1081" s="17">
        <f t="shared" si="41"/>
        <v>46319</v>
      </c>
      <c r="C1081" s="26">
        <f>I1081+J1081+K1081+L1081+M1081+N1081+O1081+IF(P1081="",0,P1081*サマリー!$B$9)+IF(Q1081="",0,IF(Q1081=200,サマリー!$B$10,IF(Q1081=100,サマリー!$B$11,0)))+IF(R1081="",0,R1081*サマリー!$B$12)</f>
        <v>0</v>
      </c>
      <c r="D1081" s="26">
        <f>S1081+T1081+U1081+V1081+W1081+IF(X1081="",0,X1081*サマリー!$B$9)+IF(Y1081="",0,IF(Y1081=200,サマリー!$B$10,IF(Y1081=100,サマリー!$B$11,0)))+IF(Z1081="",0,Z1081*サマリー!$B$12)</f>
        <v>0</v>
      </c>
      <c r="E1081" s="26">
        <f t="shared" si="42"/>
        <v>0</v>
      </c>
      <c r="I1081" s="29"/>
      <c r="J1081" s="29"/>
      <c r="K1081" s="29"/>
      <c r="L1081" s="29"/>
      <c r="M1081" s="29"/>
      <c r="N1081" s="29"/>
      <c r="O1081" s="29"/>
      <c r="P1081" s="30"/>
      <c r="Q1081" s="30"/>
      <c r="R1081" s="30"/>
      <c r="S1081" s="31"/>
      <c r="T1081" s="31"/>
      <c r="U1081" s="31"/>
      <c r="V1081" s="31"/>
      <c r="W1081" s="31"/>
      <c r="X1081" s="32"/>
      <c r="Y1081" s="32"/>
      <c r="Z1081" s="32"/>
    </row>
    <row r="1082" spans="1:26">
      <c r="A1082" s="28"/>
      <c r="B1082" s="17">
        <f t="shared" si="41"/>
        <v>46319</v>
      </c>
      <c r="C1082" s="26">
        <f>I1082+J1082+K1082+L1082+M1082+N1082+O1082+IF(P1082="",0,P1082*サマリー!$B$9)+IF(Q1082="",0,IF(Q1082=200,サマリー!$B$10,IF(Q1082=100,サマリー!$B$11,0)))+IF(R1082="",0,R1082*サマリー!$B$12)</f>
        <v>0</v>
      </c>
      <c r="D1082" s="26">
        <f>S1082+T1082+U1082+V1082+W1082+IF(X1082="",0,X1082*サマリー!$B$9)+IF(Y1082="",0,IF(Y1082=200,サマリー!$B$10,IF(Y1082=100,サマリー!$B$11,0)))+IF(Z1082="",0,Z1082*サマリー!$B$12)</f>
        <v>0</v>
      </c>
      <c r="E1082" s="26">
        <f t="shared" si="42"/>
        <v>0</v>
      </c>
      <c r="I1082" s="29"/>
      <c r="J1082" s="29"/>
      <c r="K1082" s="29"/>
      <c r="L1082" s="29"/>
      <c r="M1082" s="29"/>
      <c r="N1082" s="29"/>
      <c r="O1082" s="29"/>
      <c r="P1082" s="30"/>
      <c r="Q1082" s="30"/>
      <c r="R1082" s="30"/>
      <c r="S1082" s="31"/>
      <c r="T1082" s="31"/>
      <c r="U1082" s="31"/>
      <c r="V1082" s="31"/>
      <c r="W1082" s="31"/>
      <c r="X1082" s="32"/>
      <c r="Y1082" s="32"/>
      <c r="Z1082" s="32"/>
    </row>
    <row r="1083" spans="1:26">
      <c r="A1083" s="28"/>
      <c r="B1083" s="17">
        <f t="shared" si="41"/>
        <v>46319</v>
      </c>
      <c r="C1083" s="26">
        <f>I1083+J1083+K1083+L1083+M1083+N1083+O1083+IF(P1083="",0,P1083*サマリー!$B$9)+IF(Q1083="",0,IF(Q1083=200,サマリー!$B$10,IF(Q1083=100,サマリー!$B$11,0)))+IF(R1083="",0,R1083*サマリー!$B$12)</f>
        <v>0</v>
      </c>
      <c r="D1083" s="26">
        <f>S1083+T1083+U1083+V1083+W1083+IF(X1083="",0,X1083*サマリー!$B$9)+IF(Y1083="",0,IF(Y1083=200,サマリー!$B$10,IF(Y1083=100,サマリー!$B$11,0)))+IF(Z1083="",0,Z1083*サマリー!$B$12)</f>
        <v>0</v>
      </c>
      <c r="E1083" s="26">
        <f t="shared" si="42"/>
        <v>0</v>
      </c>
      <c r="I1083" s="29"/>
      <c r="J1083" s="29"/>
      <c r="K1083" s="29"/>
      <c r="L1083" s="29"/>
      <c r="M1083" s="29"/>
      <c r="N1083" s="29"/>
      <c r="O1083" s="29"/>
      <c r="P1083" s="30"/>
      <c r="Q1083" s="30"/>
      <c r="R1083" s="30"/>
      <c r="S1083" s="31"/>
      <c r="T1083" s="31"/>
      <c r="U1083" s="31"/>
      <c r="V1083" s="31"/>
      <c r="W1083" s="31"/>
      <c r="X1083" s="32"/>
      <c r="Y1083" s="32"/>
      <c r="Z1083" s="32"/>
    </row>
    <row r="1084" spans="1:26">
      <c r="A1084" s="28"/>
      <c r="B1084" s="17">
        <f t="shared" si="41"/>
        <v>46319</v>
      </c>
      <c r="C1084" s="26">
        <f>I1084+J1084+K1084+L1084+M1084+N1084+O1084+IF(P1084="",0,P1084*サマリー!$B$9)+IF(Q1084="",0,IF(Q1084=200,サマリー!$B$10,IF(Q1084=100,サマリー!$B$11,0)))+IF(R1084="",0,R1084*サマリー!$B$12)</f>
        <v>0</v>
      </c>
      <c r="D1084" s="26">
        <f>S1084+T1084+U1084+V1084+W1084+IF(X1084="",0,X1084*サマリー!$B$9)+IF(Y1084="",0,IF(Y1084=200,サマリー!$B$10,IF(Y1084=100,サマリー!$B$11,0)))+IF(Z1084="",0,Z1084*サマリー!$B$12)</f>
        <v>0</v>
      </c>
      <c r="E1084" s="26">
        <f t="shared" si="42"/>
        <v>0</v>
      </c>
      <c r="I1084" s="29"/>
      <c r="J1084" s="29"/>
      <c r="K1084" s="29"/>
      <c r="L1084" s="29"/>
      <c r="M1084" s="29"/>
      <c r="N1084" s="29"/>
      <c r="O1084" s="29"/>
      <c r="P1084" s="30"/>
      <c r="Q1084" s="30"/>
      <c r="R1084" s="30"/>
      <c r="S1084" s="31"/>
      <c r="T1084" s="31"/>
      <c r="U1084" s="31"/>
      <c r="V1084" s="31"/>
      <c r="W1084" s="31"/>
      <c r="X1084" s="32"/>
      <c r="Y1084" s="32"/>
      <c r="Z1084" s="32"/>
    </row>
    <row r="1085" spans="1:26">
      <c r="A1085" s="28"/>
      <c r="B1085" s="17">
        <f t="shared" si="41"/>
        <v>46319</v>
      </c>
      <c r="C1085" s="26">
        <f>I1085+J1085+K1085+L1085+M1085+N1085+O1085+IF(P1085="",0,P1085*サマリー!$B$9)+IF(Q1085="",0,IF(Q1085=200,サマリー!$B$10,IF(Q1085=100,サマリー!$B$11,0)))+IF(R1085="",0,R1085*サマリー!$B$12)</f>
        <v>0</v>
      </c>
      <c r="D1085" s="26">
        <f>S1085+T1085+U1085+V1085+W1085+IF(X1085="",0,X1085*サマリー!$B$9)+IF(Y1085="",0,IF(Y1085=200,サマリー!$B$10,IF(Y1085=100,サマリー!$B$11,0)))+IF(Z1085="",0,Z1085*サマリー!$B$12)</f>
        <v>0</v>
      </c>
      <c r="E1085" s="26">
        <f t="shared" si="42"/>
        <v>0</v>
      </c>
      <c r="I1085" s="29"/>
      <c r="J1085" s="29"/>
      <c r="K1085" s="29"/>
      <c r="L1085" s="29"/>
      <c r="M1085" s="29"/>
      <c r="N1085" s="29"/>
      <c r="O1085" s="29"/>
      <c r="P1085" s="30"/>
      <c r="Q1085" s="30"/>
      <c r="R1085" s="30"/>
      <c r="S1085" s="31"/>
      <c r="T1085" s="31"/>
      <c r="U1085" s="31"/>
      <c r="V1085" s="31"/>
      <c r="W1085" s="31"/>
      <c r="X1085" s="32"/>
      <c r="Y1085" s="32"/>
      <c r="Z1085" s="32"/>
    </row>
    <row r="1086" spans="1:26">
      <c r="A1086" s="28"/>
      <c r="B1086" s="17">
        <f t="shared" si="41"/>
        <v>46319</v>
      </c>
      <c r="C1086" s="26">
        <f>I1086+J1086+K1086+L1086+M1086+N1086+O1086+IF(P1086="",0,P1086*サマリー!$B$9)+IF(Q1086="",0,IF(Q1086=200,サマリー!$B$10,IF(Q1086=100,サマリー!$B$11,0)))+IF(R1086="",0,R1086*サマリー!$B$12)</f>
        <v>0</v>
      </c>
      <c r="D1086" s="26">
        <f>S1086+T1086+U1086+V1086+W1086+IF(X1086="",0,X1086*サマリー!$B$9)+IF(Y1086="",0,IF(Y1086=200,サマリー!$B$10,IF(Y1086=100,サマリー!$B$11,0)))+IF(Z1086="",0,Z1086*サマリー!$B$12)</f>
        <v>0</v>
      </c>
      <c r="E1086" s="26">
        <f t="shared" si="42"/>
        <v>0</v>
      </c>
      <c r="I1086" s="29"/>
      <c r="J1086" s="29"/>
      <c r="K1086" s="29"/>
      <c r="L1086" s="29"/>
      <c r="M1086" s="29"/>
      <c r="N1086" s="29"/>
      <c r="O1086" s="29"/>
      <c r="P1086" s="30"/>
      <c r="Q1086" s="30"/>
      <c r="R1086" s="30"/>
      <c r="S1086" s="31"/>
      <c r="T1086" s="31"/>
      <c r="U1086" s="31"/>
      <c r="V1086" s="31"/>
      <c r="W1086" s="31"/>
      <c r="X1086" s="32"/>
      <c r="Y1086" s="32"/>
      <c r="Z1086" s="32"/>
    </row>
    <row r="1087" spans="1:26">
      <c r="A1087" s="28"/>
      <c r="B1087" s="17">
        <f t="shared" si="41"/>
        <v>46319</v>
      </c>
      <c r="C1087" s="26">
        <f>I1087+J1087+K1087+L1087+M1087+N1087+O1087+IF(P1087="",0,P1087*サマリー!$B$9)+IF(Q1087="",0,IF(Q1087=200,サマリー!$B$10,IF(Q1087=100,サマリー!$B$11,0)))+IF(R1087="",0,R1087*サマリー!$B$12)</f>
        <v>0</v>
      </c>
      <c r="D1087" s="26">
        <f>S1087+T1087+U1087+V1087+W1087+IF(X1087="",0,X1087*サマリー!$B$9)+IF(Y1087="",0,IF(Y1087=200,サマリー!$B$10,IF(Y1087=100,サマリー!$B$11,0)))+IF(Z1087="",0,Z1087*サマリー!$B$12)</f>
        <v>0</v>
      </c>
      <c r="E1087" s="26">
        <f t="shared" si="42"/>
        <v>0</v>
      </c>
      <c r="I1087" s="29"/>
      <c r="J1087" s="29"/>
      <c r="K1087" s="29"/>
      <c r="L1087" s="29"/>
      <c r="M1087" s="29"/>
      <c r="N1087" s="29"/>
      <c r="O1087" s="29"/>
      <c r="P1087" s="30"/>
      <c r="Q1087" s="30"/>
      <c r="R1087" s="30"/>
      <c r="S1087" s="31"/>
      <c r="T1087" s="31"/>
      <c r="U1087" s="31"/>
      <c r="V1087" s="31"/>
      <c r="W1087" s="31"/>
      <c r="X1087" s="32"/>
      <c r="Y1087" s="32"/>
      <c r="Z1087" s="32"/>
    </row>
    <row r="1088" spans="1:26">
      <c r="A1088" s="28"/>
      <c r="B1088" s="17">
        <f t="shared" si="41"/>
        <v>46319</v>
      </c>
      <c r="C1088" s="26">
        <f>I1088+J1088+K1088+L1088+M1088+N1088+O1088+IF(P1088="",0,P1088*サマリー!$B$9)+IF(Q1088="",0,IF(Q1088=200,サマリー!$B$10,IF(Q1088=100,サマリー!$B$11,0)))+IF(R1088="",0,R1088*サマリー!$B$12)</f>
        <v>0</v>
      </c>
      <c r="D1088" s="26">
        <f>S1088+T1088+U1088+V1088+W1088+IF(X1088="",0,X1088*サマリー!$B$9)+IF(Y1088="",0,IF(Y1088=200,サマリー!$B$10,IF(Y1088=100,サマリー!$B$11,0)))+IF(Z1088="",0,Z1088*サマリー!$B$12)</f>
        <v>0</v>
      </c>
      <c r="E1088" s="26">
        <f t="shared" si="42"/>
        <v>0</v>
      </c>
      <c r="I1088" s="29"/>
      <c r="J1088" s="29"/>
      <c r="K1088" s="29"/>
      <c r="L1088" s="29"/>
      <c r="M1088" s="29"/>
      <c r="N1088" s="29"/>
      <c r="O1088" s="29"/>
      <c r="P1088" s="30"/>
      <c r="Q1088" s="30"/>
      <c r="R1088" s="30"/>
      <c r="S1088" s="31"/>
      <c r="T1088" s="31"/>
      <c r="U1088" s="31"/>
      <c r="V1088" s="31"/>
      <c r="W1088" s="31"/>
      <c r="X1088" s="32"/>
      <c r="Y1088" s="32"/>
      <c r="Z1088" s="32"/>
    </row>
    <row r="1089" spans="1:26">
      <c r="A1089" s="28"/>
      <c r="B1089" s="17">
        <f t="shared" ref="B1089:B1152" si="43">IF(A1089="",B1088,IF(A1089&lt;DAY(B1088),DATE(YEAR(B1088),MONTH(B1088)+1,A1089),DATE(YEAR(B1088),MONTH(B1088),A1089)))</f>
        <v>46319</v>
      </c>
      <c r="C1089" s="26">
        <f>I1089+J1089+K1089+L1089+M1089+N1089+O1089+IF(P1089="",0,P1089*サマリー!$B$9)+IF(Q1089="",0,IF(Q1089=200,サマリー!$B$10,IF(Q1089=100,サマリー!$B$11,0)))+IF(R1089="",0,R1089*サマリー!$B$12)</f>
        <v>0</v>
      </c>
      <c r="D1089" s="26">
        <f>S1089+T1089+U1089+V1089+W1089+IF(X1089="",0,X1089*サマリー!$B$9)+IF(Y1089="",0,IF(Y1089=200,サマリー!$B$10,IF(Y1089=100,サマリー!$B$11,0)))+IF(Z1089="",0,Z1089*サマリー!$B$12)</f>
        <v>0</v>
      </c>
      <c r="E1089" s="26">
        <f t="shared" si="42"/>
        <v>0</v>
      </c>
      <c r="I1089" s="29"/>
      <c r="J1089" s="29"/>
      <c r="K1089" s="29"/>
      <c r="L1089" s="29"/>
      <c r="M1089" s="29"/>
      <c r="N1089" s="29"/>
      <c r="O1089" s="29"/>
      <c r="P1089" s="30"/>
      <c r="Q1089" s="30"/>
      <c r="R1089" s="30"/>
      <c r="S1089" s="31"/>
      <c r="T1089" s="31"/>
      <c r="U1089" s="31"/>
      <c r="V1089" s="31"/>
      <c r="W1089" s="31"/>
      <c r="X1089" s="32"/>
      <c r="Y1089" s="32"/>
      <c r="Z1089" s="32"/>
    </row>
    <row r="1090" spans="1:26">
      <c r="A1090" s="28"/>
      <c r="B1090" s="17">
        <f t="shared" si="43"/>
        <v>46319</v>
      </c>
      <c r="C1090" s="26">
        <f>I1090+J1090+K1090+L1090+M1090+N1090+O1090+IF(P1090="",0,P1090*サマリー!$B$9)+IF(Q1090="",0,IF(Q1090=200,サマリー!$B$10,IF(Q1090=100,サマリー!$B$11,0)))+IF(R1090="",0,R1090*サマリー!$B$12)</f>
        <v>0</v>
      </c>
      <c r="D1090" s="26">
        <f>S1090+T1090+U1090+V1090+W1090+IF(X1090="",0,X1090*サマリー!$B$9)+IF(Y1090="",0,IF(Y1090=200,サマリー!$B$10,IF(Y1090=100,サマリー!$B$11,0)))+IF(Z1090="",0,Z1090*サマリー!$B$12)</f>
        <v>0</v>
      </c>
      <c r="E1090" s="26">
        <f t="shared" si="42"/>
        <v>0</v>
      </c>
      <c r="I1090" s="29"/>
      <c r="J1090" s="29"/>
      <c r="K1090" s="29"/>
      <c r="L1090" s="29"/>
      <c r="M1090" s="29"/>
      <c r="N1090" s="29"/>
      <c r="O1090" s="29"/>
      <c r="P1090" s="30"/>
      <c r="Q1090" s="30"/>
      <c r="R1090" s="30"/>
      <c r="S1090" s="31"/>
      <c r="T1090" s="31"/>
      <c r="U1090" s="31"/>
      <c r="V1090" s="31"/>
      <c r="W1090" s="31"/>
      <c r="X1090" s="32"/>
      <c r="Y1090" s="32"/>
      <c r="Z1090" s="32"/>
    </row>
    <row r="1091" spans="1:26">
      <c r="A1091" s="28"/>
      <c r="B1091" s="17">
        <f t="shared" si="43"/>
        <v>46319</v>
      </c>
      <c r="C1091" s="26">
        <f>I1091+J1091+K1091+L1091+M1091+N1091+O1091+IF(P1091="",0,P1091*サマリー!$B$9)+IF(Q1091="",0,IF(Q1091=200,サマリー!$B$10,IF(Q1091=100,サマリー!$B$11,0)))+IF(R1091="",0,R1091*サマリー!$B$12)</f>
        <v>0</v>
      </c>
      <c r="D1091" s="26">
        <f>S1091+T1091+U1091+V1091+W1091+IF(X1091="",0,X1091*サマリー!$B$9)+IF(Y1091="",0,IF(Y1091=200,サマリー!$B$10,IF(Y1091=100,サマリー!$B$11,0)))+IF(Z1091="",0,Z1091*サマリー!$B$12)</f>
        <v>0</v>
      </c>
      <c r="E1091" s="26">
        <f t="shared" si="42"/>
        <v>0</v>
      </c>
      <c r="I1091" s="29"/>
      <c r="J1091" s="29"/>
      <c r="K1091" s="29"/>
      <c r="L1091" s="29"/>
      <c r="M1091" s="29"/>
      <c r="N1091" s="29"/>
      <c r="O1091" s="29"/>
      <c r="P1091" s="30"/>
      <c r="Q1091" s="30"/>
      <c r="R1091" s="30"/>
      <c r="S1091" s="31"/>
      <c r="T1091" s="31"/>
      <c r="U1091" s="31"/>
      <c r="V1091" s="31"/>
      <c r="W1091" s="31"/>
      <c r="X1091" s="32"/>
      <c r="Y1091" s="32"/>
      <c r="Z1091" s="32"/>
    </row>
    <row r="1092" spans="1:26">
      <c r="A1092" s="28"/>
      <c r="B1092" s="17">
        <f t="shared" si="43"/>
        <v>46319</v>
      </c>
      <c r="C1092" s="26">
        <f>I1092+J1092+K1092+L1092+M1092+N1092+O1092+IF(P1092="",0,P1092*サマリー!$B$9)+IF(Q1092="",0,IF(Q1092=200,サマリー!$B$10,IF(Q1092=100,サマリー!$B$11,0)))+IF(R1092="",0,R1092*サマリー!$B$12)</f>
        <v>0</v>
      </c>
      <c r="D1092" s="26">
        <f>S1092+T1092+U1092+V1092+W1092+IF(X1092="",0,X1092*サマリー!$B$9)+IF(Y1092="",0,IF(Y1092=200,サマリー!$B$10,IF(Y1092=100,サマリー!$B$11,0)))+IF(Z1092="",0,Z1092*サマリー!$B$12)</f>
        <v>0</v>
      </c>
      <c r="E1092" s="26">
        <f t="shared" si="42"/>
        <v>0</v>
      </c>
      <c r="I1092" s="29"/>
      <c r="J1092" s="29"/>
      <c r="K1092" s="29"/>
      <c r="L1092" s="29"/>
      <c r="M1092" s="29"/>
      <c r="N1092" s="29"/>
      <c r="O1092" s="29"/>
      <c r="P1092" s="30"/>
      <c r="Q1092" s="30"/>
      <c r="R1092" s="30"/>
      <c r="S1092" s="31"/>
      <c r="T1092" s="31"/>
      <c r="U1092" s="31"/>
      <c r="V1092" s="31"/>
      <c r="W1092" s="31"/>
      <c r="X1092" s="32"/>
      <c r="Y1092" s="32"/>
      <c r="Z1092" s="32"/>
    </row>
    <row r="1093" spans="1:26">
      <c r="A1093" s="28"/>
      <c r="B1093" s="17">
        <f t="shared" si="43"/>
        <v>46319</v>
      </c>
      <c r="C1093" s="26">
        <f>I1093+J1093+K1093+L1093+M1093+N1093+O1093+IF(P1093="",0,P1093*サマリー!$B$9)+IF(Q1093="",0,IF(Q1093=200,サマリー!$B$10,IF(Q1093=100,サマリー!$B$11,0)))+IF(R1093="",0,R1093*サマリー!$B$12)</f>
        <v>0</v>
      </c>
      <c r="D1093" s="26">
        <f>S1093+T1093+U1093+V1093+W1093+IF(X1093="",0,X1093*サマリー!$B$9)+IF(Y1093="",0,IF(Y1093=200,サマリー!$B$10,IF(Y1093=100,サマリー!$B$11,0)))+IF(Z1093="",0,Z1093*サマリー!$B$12)</f>
        <v>0</v>
      </c>
      <c r="E1093" s="26">
        <f t="shared" si="42"/>
        <v>0</v>
      </c>
      <c r="I1093" s="29"/>
      <c r="J1093" s="29"/>
      <c r="K1093" s="29"/>
      <c r="L1093" s="29"/>
      <c r="M1093" s="29"/>
      <c r="N1093" s="29"/>
      <c r="O1093" s="29"/>
      <c r="P1093" s="30"/>
      <c r="Q1093" s="30"/>
      <c r="R1093" s="30"/>
      <c r="S1093" s="31"/>
      <c r="T1093" s="31"/>
      <c r="U1093" s="31"/>
      <c r="V1093" s="31"/>
      <c r="W1093" s="31"/>
      <c r="X1093" s="32"/>
      <c r="Y1093" s="32"/>
      <c r="Z1093" s="32"/>
    </row>
    <row r="1094" spans="1:26">
      <c r="A1094" s="28"/>
      <c r="B1094" s="17">
        <f t="shared" si="43"/>
        <v>46319</v>
      </c>
      <c r="C1094" s="26">
        <f>I1094+J1094+K1094+L1094+M1094+N1094+O1094+IF(P1094="",0,P1094*サマリー!$B$9)+IF(Q1094="",0,IF(Q1094=200,サマリー!$B$10,IF(Q1094=100,サマリー!$B$11,0)))+IF(R1094="",0,R1094*サマリー!$B$12)</f>
        <v>0</v>
      </c>
      <c r="D1094" s="26">
        <f>S1094+T1094+U1094+V1094+W1094+IF(X1094="",0,X1094*サマリー!$B$9)+IF(Y1094="",0,IF(Y1094=200,サマリー!$B$10,IF(Y1094=100,サマリー!$B$11,0)))+IF(Z1094="",0,Z1094*サマリー!$B$12)</f>
        <v>0</v>
      </c>
      <c r="E1094" s="26">
        <f t="shared" si="42"/>
        <v>0</v>
      </c>
      <c r="I1094" s="29"/>
      <c r="J1094" s="29"/>
      <c r="K1094" s="29"/>
      <c r="L1094" s="29"/>
      <c r="M1094" s="29"/>
      <c r="N1094" s="29"/>
      <c r="O1094" s="29"/>
      <c r="P1094" s="30"/>
      <c r="Q1094" s="30"/>
      <c r="R1094" s="30"/>
      <c r="S1094" s="31"/>
      <c r="T1094" s="31"/>
      <c r="U1094" s="31"/>
      <c r="V1094" s="31"/>
      <c r="W1094" s="31"/>
      <c r="X1094" s="32"/>
      <c r="Y1094" s="32"/>
      <c r="Z1094" s="32"/>
    </row>
    <row r="1095" spans="1:26">
      <c r="A1095" s="28"/>
      <c r="B1095" s="17">
        <f t="shared" si="43"/>
        <v>46319</v>
      </c>
      <c r="C1095" s="26">
        <f>I1095+J1095+K1095+L1095+M1095+N1095+O1095+IF(P1095="",0,P1095*サマリー!$B$9)+IF(Q1095="",0,IF(Q1095=200,サマリー!$B$10,IF(Q1095=100,サマリー!$B$11,0)))+IF(R1095="",0,R1095*サマリー!$B$12)</f>
        <v>0</v>
      </c>
      <c r="D1095" s="26">
        <f>S1095+T1095+U1095+V1095+W1095+IF(X1095="",0,X1095*サマリー!$B$9)+IF(Y1095="",0,IF(Y1095=200,サマリー!$B$10,IF(Y1095=100,サマリー!$B$11,0)))+IF(Z1095="",0,Z1095*サマリー!$B$12)</f>
        <v>0</v>
      </c>
      <c r="E1095" s="26">
        <f t="shared" si="42"/>
        <v>0</v>
      </c>
      <c r="I1095" s="29"/>
      <c r="J1095" s="29"/>
      <c r="K1095" s="29"/>
      <c r="L1095" s="29"/>
      <c r="M1095" s="29"/>
      <c r="N1095" s="29"/>
      <c r="O1095" s="29"/>
      <c r="P1095" s="30"/>
      <c r="Q1095" s="30"/>
      <c r="R1095" s="30"/>
      <c r="S1095" s="31"/>
      <c r="T1095" s="31"/>
      <c r="U1095" s="31"/>
      <c r="V1095" s="31"/>
      <c r="W1095" s="31"/>
      <c r="X1095" s="32"/>
      <c r="Y1095" s="32"/>
      <c r="Z1095" s="32"/>
    </row>
    <row r="1096" spans="1:26">
      <c r="A1096" s="28"/>
      <c r="B1096" s="17">
        <f t="shared" si="43"/>
        <v>46319</v>
      </c>
      <c r="C1096" s="26">
        <f>I1096+J1096+K1096+L1096+M1096+N1096+O1096+IF(P1096="",0,P1096*サマリー!$B$9)+IF(Q1096="",0,IF(Q1096=200,サマリー!$B$10,IF(Q1096=100,サマリー!$B$11,0)))+IF(R1096="",0,R1096*サマリー!$B$12)</f>
        <v>0</v>
      </c>
      <c r="D1096" s="26">
        <f>S1096+T1096+U1096+V1096+W1096+IF(X1096="",0,X1096*サマリー!$B$9)+IF(Y1096="",0,IF(Y1096=200,サマリー!$B$10,IF(Y1096=100,サマリー!$B$11,0)))+IF(Z1096="",0,Z1096*サマリー!$B$12)</f>
        <v>0</v>
      </c>
      <c r="E1096" s="26">
        <f t="shared" si="42"/>
        <v>0</v>
      </c>
      <c r="I1096" s="29"/>
      <c r="J1096" s="29"/>
      <c r="K1096" s="29"/>
      <c r="L1096" s="29"/>
      <c r="M1096" s="29"/>
      <c r="N1096" s="29"/>
      <c r="O1096" s="29"/>
      <c r="P1096" s="30"/>
      <c r="Q1096" s="30"/>
      <c r="R1096" s="30"/>
      <c r="S1096" s="31"/>
      <c r="T1096" s="31"/>
      <c r="U1096" s="31"/>
      <c r="V1096" s="31"/>
      <c r="W1096" s="31"/>
      <c r="X1096" s="32"/>
      <c r="Y1096" s="32"/>
      <c r="Z1096" s="32"/>
    </row>
    <row r="1097" spans="1:26">
      <c r="A1097" s="28"/>
      <c r="B1097" s="17">
        <f t="shared" si="43"/>
        <v>46319</v>
      </c>
      <c r="C1097" s="26">
        <f>I1097+J1097+K1097+L1097+M1097+N1097+O1097+IF(P1097="",0,P1097*サマリー!$B$9)+IF(Q1097="",0,IF(Q1097=200,サマリー!$B$10,IF(Q1097=100,サマリー!$B$11,0)))+IF(R1097="",0,R1097*サマリー!$B$12)</f>
        <v>0</v>
      </c>
      <c r="D1097" s="26">
        <f>S1097+T1097+U1097+V1097+W1097+IF(X1097="",0,X1097*サマリー!$B$9)+IF(Y1097="",0,IF(Y1097=200,サマリー!$B$10,IF(Y1097=100,サマリー!$B$11,0)))+IF(Z1097="",0,Z1097*サマリー!$B$12)</f>
        <v>0</v>
      </c>
      <c r="E1097" s="26">
        <f t="shared" si="42"/>
        <v>0</v>
      </c>
      <c r="I1097" s="29"/>
      <c r="J1097" s="29"/>
      <c r="K1097" s="29"/>
      <c r="L1097" s="29"/>
      <c r="M1097" s="29"/>
      <c r="N1097" s="29"/>
      <c r="O1097" s="29"/>
      <c r="P1097" s="30"/>
      <c r="Q1097" s="30"/>
      <c r="R1097" s="30"/>
      <c r="S1097" s="31"/>
      <c r="T1097" s="31"/>
      <c r="U1097" s="31"/>
      <c r="V1097" s="31"/>
      <c r="W1097" s="31"/>
      <c r="X1097" s="32"/>
      <c r="Y1097" s="32"/>
      <c r="Z1097" s="32"/>
    </row>
    <row r="1098" spans="1:26">
      <c r="A1098" s="28"/>
      <c r="B1098" s="17">
        <f t="shared" si="43"/>
        <v>46319</v>
      </c>
      <c r="C1098" s="26">
        <f>I1098+J1098+K1098+L1098+M1098+N1098+O1098+IF(P1098="",0,P1098*サマリー!$B$9)+IF(Q1098="",0,IF(Q1098=200,サマリー!$B$10,IF(Q1098=100,サマリー!$B$11,0)))+IF(R1098="",0,R1098*サマリー!$B$12)</f>
        <v>0</v>
      </c>
      <c r="D1098" s="26">
        <f>S1098+T1098+U1098+V1098+W1098+IF(X1098="",0,X1098*サマリー!$B$9)+IF(Y1098="",0,IF(Y1098=200,サマリー!$B$10,IF(Y1098=100,サマリー!$B$11,0)))+IF(Z1098="",0,Z1098*サマリー!$B$12)</f>
        <v>0</v>
      </c>
      <c r="E1098" s="26">
        <f t="shared" si="42"/>
        <v>0</v>
      </c>
      <c r="I1098" s="29"/>
      <c r="J1098" s="29"/>
      <c r="K1098" s="29"/>
      <c r="L1098" s="29"/>
      <c r="M1098" s="29"/>
      <c r="N1098" s="29"/>
      <c r="O1098" s="29"/>
      <c r="P1098" s="30"/>
      <c r="Q1098" s="30"/>
      <c r="R1098" s="30"/>
      <c r="S1098" s="31"/>
      <c r="T1098" s="31"/>
      <c r="U1098" s="31"/>
      <c r="V1098" s="31"/>
      <c r="W1098" s="31"/>
      <c r="X1098" s="32"/>
      <c r="Y1098" s="32"/>
      <c r="Z1098" s="32"/>
    </row>
    <row r="1099" spans="1:26">
      <c r="A1099" s="28"/>
      <c r="B1099" s="17">
        <f t="shared" si="43"/>
        <v>46319</v>
      </c>
      <c r="C1099" s="26">
        <f>I1099+J1099+K1099+L1099+M1099+N1099+O1099+IF(P1099="",0,P1099*サマリー!$B$9)+IF(Q1099="",0,IF(Q1099=200,サマリー!$B$10,IF(Q1099=100,サマリー!$B$11,0)))+IF(R1099="",0,R1099*サマリー!$B$12)</f>
        <v>0</v>
      </c>
      <c r="D1099" s="26">
        <f>S1099+T1099+U1099+V1099+W1099+IF(X1099="",0,X1099*サマリー!$B$9)+IF(Y1099="",0,IF(Y1099=200,サマリー!$B$10,IF(Y1099=100,サマリー!$B$11,0)))+IF(Z1099="",0,Z1099*サマリー!$B$12)</f>
        <v>0</v>
      </c>
      <c r="E1099" s="26">
        <f t="shared" si="42"/>
        <v>0</v>
      </c>
      <c r="I1099" s="29"/>
      <c r="J1099" s="29"/>
      <c r="K1099" s="29"/>
      <c r="L1099" s="29"/>
      <c r="M1099" s="29"/>
      <c r="N1099" s="29"/>
      <c r="O1099" s="29"/>
      <c r="P1099" s="30"/>
      <c r="Q1099" s="30"/>
      <c r="R1099" s="30"/>
      <c r="S1099" s="31"/>
      <c r="T1099" s="31"/>
      <c r="U1099" s="31"/>
      <c r="V1099" s="31"/>
      <c r="W1099" s="31"/>
      <c r="X1099" s="32"/>
      <c r="Y1099" s="32"/>
      <c r="Z1099" s="32"/>
    </row>
    <row r="1100" spans="1:26">
      <c r="A1100" s="28"/>
      <c r="B1100" s="17">
        <f t="shared" si="43"/>
        <v>46319</v>
      </c>
      <c r="C1100" s="26">
        <f>I1100+J1100+K1100+L1100+M1100+N1100+O1100+IF(P1100="",0,P1100*サマリー!$B$9)+IF(Q1100="",0,IF(Q1100=200,サマリー!$B$10,IF(Q1100=100,サマリー!$B$11,0)))+IF(R1100="",0,R1100*サマリー!$B$12)</f>
        <v>0</v>
      </c>
      <c r="D1100" s="26">
        <f>S1100+T1100+U1100+V1100+W1100+IF(X1100="",0,X1100*サマリー!$B$9)+IF(Y1100="",0,IF(Y1100=200,サマリー!$B$10,IF(Y1100=100,サマリー!$B$11,0)))+IF(Z1100="",0,Z1100*サマリー!$B$12)</f>
        <v>0</v>
      </c>
      <c r="E1100" s="26">
        <f t="shared" si="42"/>
        <v>0</v>
      </c>
      <c r="I1100" s="29"/>
      <c r="J1100" s="29"/>
      <c r="K1100" s="29"/>
      <c r="L1100" s="29"/>
      <c r="M1100" s="29"/>
      <c r="N1100" s="29"/>
      <c r="O1100" s="29"/>
      <c r="P1100" s="30"/>
      <c r="Q1100" s="30"/>
      <c r="R1100" s="30"/>
      <c r="S1100" s="31"/>
      <c r="T1100" s="31"/>
      <c r="U1100" s="31"/>
      <c r="V1100" s="31"/>
      <c r="W1100" s="31"/>
      <c r="X1100" s="32"/>
      <c r="Y1100" s="32"/>
      <c r="Z1100" s="32"/>
    </row>
    <row r="1101" spans="1:26">
      <c r="A1101" s="28"/>
      <c r="B1101" s="17">
        <f t="shared" si="43"/>
        <v>46319</v>
      </c>
      <c r="C1101" s="26">
        <f>I1101+J1101+K1101+L1101+M1101+N1101+O1101+IF(P1101="",0,P1101*サマリー!$B$9)+IF(Q1101="",0,IF(Q1101=200,サマリー!$B$10,IF(Q1101=100,サマリー!$B$11,0)))+IF(R1101="",0,R1101*サマリー!$B$12)</f>
        <v>0</v>
      </c>
      <c r="D1101" s="26">
        <f>S1101+T1101+U1101+V1101+W1101+IF(X1101="",0,X1101*サマリー!$B$9)+IF(Y1101="",0,IF(Y1101=200,サマリー!$B$10,IF(Y1101=100,サマリー!$B$11,0)))+IF(Z1101="",0,Z1101*サマリー!$B$12)</f>
        <v>0</v>
      </c>
      <c r="E1101" s="26">
        <f t="shared" si="42"/>
        <v>0</v>
      </c>
      <c r="I1101" s="29"/>
      <c r="J1101" s="29"/>
      <c r="K1101" s="29"/>
      <c r="L1101" s="29"/>
      <c r="M1101" s="29"/>
      <c r="N1101" s="29"/>
      <c r="O1101" s="29"/>
      <c r="P1101" s="30"/>
      <c r="Q1101" s="30"/>
      <c r="R1101" s="30"/>
      <c r="S1101" s="31"/>
      <c r="T1101" s="31"/>
      <c r="U1101" s="31"/>
      <c r="V1101" s="31"/>
      <c r="W1101" s="31"/>
      <c r="X1101" s="32"/>
      <c r="Y1101" s="32"/>
      <c r="Z1101" s="32"/>
    </row>
    <row r="1102" spans="1:26">
      <c r="A1102" s="28"/>
      <c r="B1102" s="17">
        <f t="shared" si="43"/>
        <v>46319</v>
      </c>
      <c r="C1102" s="26">
        <f>I1102+J1102+K1102+L1102+M1102+N1102+O1102+IF(P1102="",0,P1102*サマリー!$B$9)+IF(Q1102="",0,IF(Q1102=200,サマリー!$B$10,IF(Q1102=100,サマリー!$B$11,0)))+IF(R1102="",0,R1102*サマリー!$B$12)</f>
        <v>0</v>
      </c>
      <c r="D1102" s="26">
        <f>S1102+T1102+U1102+V1102+W1102+IF(X1102="",0,X1102*サマリー!$B$9)+IF(Y1102="",0,IF(Y1102=200,サマリー!$B$10,IF(Y1102=100,サマリー!$B$11,0)))+IF(Z1102="",0,Z1102*サマリー!$B$12)</f>
        <v>0</v>
      </c>
      <c r="E1102" s="26">
        <f t="shared" si="42"/>
        <v>0</v>
      </c>
      <c r="I1102" s="29"/>
      <c r="J1102" s="29"/>
      <c r="K1102" s="29"/>
      <c r="L1102" s="29"/>
      <c r="M1102" s="29"/>
      <c r="N1102" s="29"/>
      <c r="O1102" s="29"/>
      <c r="P1102" s="30"/>
      <c r="Q1102" s="30"/>
      <c r="R1102" s="30"/>
      <c r="S1102" s="31"/>
      <c r="T1102" s="31"/>
      <c r="U1102" s="31"/>
      <c r="V1102" s="31"/>
      <c r="W1102" s="31"/>
      <c r="X1102" s="32"/>
      <c r="Y1102" s="32"/>
      <c r="Z1102" s="32"/>
    </row>
    <row r="1103" spans="1:26">
      <c r="A1103" s="28"/>
      <c r="B1103" s="17">
        <f t="shared" si="43"/>
        <v>46319</v>
      </c>
      <c r="C1103" s="26">
        <f>I1103+J1103+K1103+L1103+M1103+N1103+O1103+IF(P1103="",0,P1103*サマリー!$B$9)+IF(Q1103="",0,IF(Q1103=200,サマリー!$B$10,IF(Q1103=100,サマリー!$B$11,0)))+IF(R1103="",0,R1103*サマリー!$B$12)</f>
        <v>0</v>
      </c>
      <c r="D1103" s="26">
        <f>S1103+T1103+U1103+V1103+W1103+IF(X1103="",0,X1103*サマリー!$B$9)+IF(Y1103="",0,IF(Y1103=200,サマリー!$B$10,IF(Y1103=100,サマリー!$B$11,0)))+IF(Z1103="",0,Z1103*サマリー!$B$12)</f>
        <v>0</v>
      </c>
      <c r="E1103" s="26">
        <f t="shared" si="42"/>
        <v>0</v>
      </c>
      <c r="I1103" s="29"/>
      <c r="J1103" s="29"/>
      <c r="K1103" s="29"/>
      <c r="L1103" s="29"/>
      <c r="M1103" s="29"/>
      <c r="N1103" s="29"/>
      <c r="O1103" s="29"/>
      <c r="P1103" s="30"/>
      <c r="Q1103" s="30"/>
      <c r="R1103" s="30"/>
      <c r="S1103" s="31"/>
      <c r="T1103" s="31"/>
      <c r="U1103" s="31"/>
      <c r="V1103" s="31"/>
      <c r="W1103" s="31"/>
      <c r="X1103" s="32"/>
      <c r="Y1103" s="32"/>
      <c r="Z1103" s="32"/>
    </row>
    <row r="1104" spans="1:26">
      <c r="A1104" s="28"/>
      <c r="B1104" s="17">
        <f t="shared" si="43"/>
        <v>46319</v>
      </c>
      <c r="C1104" s="26">
        <f>I1104+J1104+K1104+L1104+M1104+N1104+O1104+IF(P1104="",0,P1104*サマリー!$B$9)+IF(Q1104="",0,IF(Q1104=200,サマリー!$B$10,IF(Q1104=100,サマリー!$B$11,0)))+IF(R1104="",0,R1104*サマリー!$B$12)</f>
        <v>0</v>
      </c>
      <c r="D1104" s="26">
        <f>S1104+T1104+U1104+V1104+W1104+IF(X1104="",0,X1104*サマリー!$B$9)+IF(Y1104="",0,IF(Y1104=200,サマリー!$B$10,IF(Y1104=100,サマリー!$B$11,0)))+IF(Z1104="",0,Z1104*サマリー!$B$12)</f>
        <v>0</v>
      </c>
      <c r="E1104" s="26">
        <f t="shared" si="42"/>
        <v>0</v>
      </c>
      <c r="I1104" s="29"/>
      <c r="J1104" s="29"/>
      <c r="K1104" s="29"/>
      <c r="L1104" s="29"/>
      <c r="M1104" s="29"/>
      <c r="N1104" s="29"/>
      <c r="O1104" s="29"/>
      <c r="P1104" s="30"/>
      <c r="Q1104" s="30"/>
      <c r="R1104" s="30"/>
      <c r="S1104" s="31"/>
      <c r="T1104" s="31"/>
      <c r="U1104" s="31"/>
      <c r="V1104" s="31"/>
      <c r="W1104" s="31"/>
      <c r="X1104" s="32"/>
      <c r="Y1104" s="32"/>
      <c r="Z1104" s="32"/>
    </row>
    <row r="1105" spans="1:26">
      <c r="A1105" s="28"/>
      <c r="B1105" s="17">
        <f t="shared" si="43"/>
        <v>46319</v>
      </c>
      <c r="C1105" s="26">
        <f>I1105+J1105+K1105+L1105+M1105+N1105+O1105+IF(P1105="",0,P1105*サマリー!$B$9)+IF(Q1105="",0,IF(Q1105=200,サマリー!$B$10,IF(Q1105=100,サマリー!$B$11,0)))+IF(R1105="",0,R1105*サマリー!$B$12)</f>
        <v>0</v>
      </c>
      <c r="D1105" s="26">
        <f>S1105+T1105+U1105+V1105+W1105+IF(X1105="",0,X1105*サマリー!$B$9)+IF(Y1105="",0,IF(Y1105=200,サマリー!$B$10,IF(Y1105=100,サマリー!$B$11,0)))+IF(Z1105="",0,Z1105*サマリー!$B$12)</f>
        <v>0</v>
      </c>
      <c r="E1105" s="26">
        <f t="shared" si="42"/>
        <v>0</v>
      </c>
      <c r="I1105" s="29"/>
      <c r="J1105" s="29"/>
      <c r="K1105" s="29"/>
      <c r="L1105" s="29"/>
      <c r="M1105" s="29"/>
      <c r="N1105" s="29"/>
      <c r="O1105" s="29"/>
      <c r="P1105" s="30"/>
      <c r="Q1105" s="30"/>
      <c r="R1105" s="30"/>
      <c r="S1105" s="31"/>
      <c r="T1105" s="31"/>
      <c r="U1105" s="31"/>
      <c r="V1105" s="31"/>
      <c r="W1105" s="31"/>
      <c r="X1105" s="32"/>
      <c r="Y1105" s="32"/>
      <c r="Z1105" s="32"/>
    </row>
    <row r="1106" spans="1:26">
      <c r="A1106" s="28"/>
      <c r="B1106" s="17">
        <f t="shared" si="43"/>
        <v>46319</v>
      </c>
      <c r="C1106" s="26">
        <f>I1106+J1106+K1106+L1106+M1106+N1106+O1106+IF(P1106="",0,P1106*サマリー!$B$9)+IF(Q1106="",0,IF(Q1106=200,サマリー!$B$10,IF(Q1106=100,サマリー!$B$11,0)))+IF(R1106="",0,R1106*サマリー!$B$12)</f>
        <v>0</v>
      </c>
      <c r="D1106" s="26">
        <f>S1106+T1106+U1106+V1106+W1106+IF(X1106="",0,X1106*サマリー!$B$9)+IF(Y1106="",0,IF(Y1106=200,サマリー!$B$10,IF(Y1106=100,サマリー!$B$11,0)))+IF(Z1106="",0,Z1106*サマリー!$B$12)</f>
        <v>0</v>
      </c>
      <c r="E1106" s="26">
        <f t="shared" si="42"/>
        <v>0</v>
      </c>
      <c r="I1106" s="29"/>
      <c r="J1106" s="29"/>
      <c r="K1106" s="29"/>
      <c r="L1106" s="29"/>
      <c r="M1106" s="29"/>
      <c r="N1106" s="29"/>
      <c r="O1106" s="29"/>
      <c r="P1106" s="30"/>
      <c r="Q1106" s="30"/>
      <c r="R1106" s="30"/>
      <c r="S1106" s="31"/>
      <c r="T1106" s="31"/>
      <c r="U1106" s="31"/>
      <c r="V1106" s="31"/>
      <c r="W1106" s="31"/>
      <c r="X1106" s="32"/>
      <c r="Y1106" s="32"/>
      <c r="Z1106" s="32"/>
    </row>
    <row r="1107" spans="1:26">
      <c r="A1107" s="28"/>
      <c r="B1107" s="17">
        <f t="shared" si="43"/>
        <v>46319</v>
      </c>
      <c r="C1107" s="26">
        <f>I1107+J1107+K1107+L1107+M1107+N1107+O1107+IF(P1107="",0,P1107*サマリー!$B$9)+IF(Q1107="",0,IF(Q1107=200,サマリー!$B$10,IF(Q1107=100,サマリー!$B$11,0)))+IF(R1107="",0,R1107*サマリー!$B$12)</f>
        <v>0</v>
      </c>
      <c r="D1107" s="26">
        <f>S1107+T1107+U1107+V1107+W1107+IF(X1107="",0,X1107*サマリー!$B$9)+IF(Y1107="",0,IF(Y1107=200,サマリー!$B$10,IF(Y1107=100,サマリー!$B$11,0)))+IF(Z1107="",0,Z1107*サマリー!$B$12)</f>
        <v>0</v>
      </c>
      <c r="E1107" s="26">
        <f t="shared" si="42"/>
        <v>0</v>
      </c>
      <c r="I1107" s="29"/>
      <c r="J1107" s="29"/>
      <c r="K1107" s="29"/>
      <c r="L1107" s="29"/>
      <c r="M1107" s="29"/>
      <c r="N1107" s="29"/>
      <c r="O1107" s="29"/>
      <c r="P1107" s="30"/>
      <c r="Q1107" s="30"/>
      <c r="R1107" s="30"/>
      <c r="S1107" s="31"/>
      <c r="T1107" s="31"/>
      <c r="U1107" s="31"/>
      <c r="V1107" s="31"/>
      <c r="W1107" s="31"/>
      <c r="X1107" s="32"/>
      <c r="Y1107" s="32"/>
      <c r="Z1107" s="32"/>
    </row>
    <row r="1108" spans="1:26">
      <c r="A1108" s="28"/>
      <c r="B1108" s="17">
        <f t="shared" si="43"/>
        <v>46319</v>
      </c>
      <c r="C1108" s="26">
        <f>I1108+J1108+K1108+L1108+M1108+N1108+O1108+IF(P1108="",0,P1108*サマリー!$B$9)+IF(Q1108="",0,IF(Q1108=200,サマリー!$B$10,IF(Q1108=100,サマリー!$B$11,0)))+IF(R1108="",0,R1108*サマリー!$B$12)</f>
        <v>0</v>
      </c>
      <c r="D1108" s="26">
        <f>S1108+T1108+U1108+V1108+W1108+IF(X1108="",0,X1108*サマリー!$B$9)+IF(Y1108="",0,IF(Y1108=200,サマリー!$B$10,IF(Y1108=100,サマリー!$B$11,0)))+IF(Z1108="",0,Z1108*サマリー!$B$12)</f>
        <v>0</v>
      </c>
      <c r="E1108" s="26">
        <f t="shared" si="42"/>
        <v>0</v>
      </c>
      <c r="I1108" s="29"/>
      <c r="J1108" s="29"/>
      <c r="K1108" s="29"/>
      <c r="L1108" s="29"/>
      <c r="M1108" s="29"/>
      <c r="N1108" s="29"/>
      <c r="O1108" s="29"/>
      <c r="P1108" s="30"/>
      <c r="Q1108" s="30"/>
      <c r="R1108" s="30"/>
      <c r="S1108" s="31"/>
      <c r="T1108" s="31"/>
      <c r="U1108" s="31"/>
      <c r="V1108" s="31"/>
      <c r="W1108" s="31"/>
      <c r="X1108" s="32"/>
      <c r="Y1108" s="32"/>
      <c r="Z1108" s="32"/>
    </row>
    <row r="1109" spans="1:26">
      <c r="A1109" s="28"/>
      <c r="B1109" s="17">
        <f t="shared" si="43"/>
        <v>46319</v>
      </c>
      <c r="C1109" s="26">
        <f>I1109+J1109+K1109+L1109+M1109+N1109+O1109+IF(P1109="",0,P1109*サマリー!$B$9)+IF(Q1109="",0,IF(Q1109=200,サマリー!$B$10,IF(Q1109=100,サマリー!$B$11,0)))+IF(R1109="",0,R1109*サマリー!$B$12)</f>
        <v>0</v>
      </c>
      <c r="D1109" s="26">
        <f>S1109+T1109+U1109+V1109+W1109+IF(X1109="",0,X1109*サマリー!$B$9)+IF(Y1109="",0,IF(Y1109=200,サマリー!$B$10,IF(Y1109=100,サマリー!$B$11,0)))+IF(Z1109="",0,Z1109*サマリー!$B$12)</f>
        <v>0</v>
      </c>
      <c r="E1109" s="26">
        <f t="shared" si="42"/>
        <v>0</v>
      </c>
      <c r="I1109" s="29"/>
      <c r="J1109" s="29"/>
      <c r="K1109" s="29"/>
      <c r="L1109" s="29"/>
      <c r="M1109" s="29"/>
      <c r="N1109" s="29"/>
      <c r="O1109" s="29"/>
      <c r="P1109" s="30"/>
      <c r="Q1109" s="30"/>
      <c r="R1109" s="30"/>
      <c r="S1109" s="31"/>
      <c r="T1109" s="31"/>
      <c r="U1109" s="31"/>
      <c r="V1109" s="31"/>
      <c r="W1109" s="31"/>
      <c r="X1109" s="32"/>
      <c r="Y1109" s="32"/>
      <c r="Z1109" s="32"/>
    </row>
    <row r="1110" spans="1:26">
      <c r="A1110" s="28"/>
      <c r="B1110" s="17">
        <f t="shared" si="43"/>
        <v>46319</v>
      </c>
      <c r="C1110" s="26">
        <f>I1110+J1110+K1110+L1110+M1110+N1110+O1110+IF(P1110="",0,P1110*サマリー!$B$9)+IF(Q1110="",0,IF(Q1110=200,サマリー!$B$10,IF(Q1110=100,サマリー!$B$11,0)))+IF(R1110="",0,R1110*サマリー!$B$12)</f>
        <v>0</v>
      </c>
      <c r="D1110" s="26">
        <f>S1110+T1110+U1110+V1110+W1110+IF(X1110="",0,X1110*サマリー!$B$9)+IF(Y1110="",0,IF(Y1110=200,サマリー!$B$10,IF(Y1110=100,サマリー!$B$11,0)))+IF(Z1110="",0,Z1110*サマリー!$B$12)</f>
        <v>0</v>
      </c>
      <c r="E1110" s="26">
        <f t="shared" si="42"/>
        <v>0</v>
      </c>
      <c r="I1110" s="29"/>
      <c r="J1110" s="29"/>
      <c r="K1110" s="29"/>
      <c r="L1110" s="29"/>
      <c r="M1110" s="29"/>
      <c r="N1110" s="29"/>
      <c r="O1110" s="29"/>
      <c r="P1110" s="30"/>
      <c r="Q1110" s="30"/>
      <c r="R1110" s="30"/>
      <c r="S1110" s="31"/>
      <c r="T1110" s="31"/>
      <c r="U1110" s="31"/>
      <c r="V1110" s="31"/>
      <c r="W1110" s="31"/>
      <c r="X1110" s="32"/>
      <c r="Y1110" s="32"/>
      <c r="Z1110" s="32"/>
    </row>
    <row r="1111" spans="1:26">
      <c r="A1111" s="28"/>
      <c r="B1111" s="17">
        <f t="shared" si="43"/>
        <v>46319</v>
      </c>
      <c r="C1111" s="26">
        <f>I1111+J1111+K1111+L1111+M1111+N1111+O1111+IF(P1111="",0,P1111*サマリー!$B$9)+IF(Q1111="",0,IF(Q1111=200,サマリー!$B$10,IF(Q1111=100,サマリー!$B$11,0)))+IF(R1111="",0,R1111*サマリー!$B$12)</f>
        <v>0</v>
      </c>
      <c r="D1111" s="26">
        <f>S1111+T1111+U1111+V1111+W1111+IF(X1111="",0,X1111*サマリー!$B$9)+IF(Y1111="",0,IF(Y1111=200,サマリー!$B$10,IF(Y1111=100,サマリー!$B$11,0)))+IF(Z1111="",0,Z1111*サマリー!$B$12)</f>
        <v>0</v>
      </c>
      <c r="E1111" s="26">
        <f t="shared" si="42"/>
        <v>0</v>
      </c>
      <c r="I1111" s="29"/>
      <c r="J1111" s="29"/>
      <c r="K1111" s="29"/>
      <c r="L1111" s="29"/>
      <c r="M1111" s="29"/>
      <c r="N1111" s="29"/>
      <c r="O1111" s="29"/>
      <c r="P1111" s="30"/>
      <c r="Q1111" s="30"/>
      <c r="R1111" s="30"/>
      <c r="S1111" s="31"/>
      <c r="T1111" s="31"/>
      <c r="U1111" s="31"/>
      <c r="V1111" s="31"/>
      <c r="W1111" s="31"/>
      <c r="X1111" s="32"/>
      <c r="Y1111" s="32"/>
      <c r="Z1111" s="32"/>
    </row>
    <row r="1112" spans="1:26">
      <c r="A1112" s="28"/>
      <c r="B1112" s="17">
        <f t="shared" si="43"/>
        <v>46319</v>
      </c>
      <c r="C1112" s="26">
        <f>I1112+J1112+K1112+L1112+M1112+N1112+O1112+IF(P1112="",0,P1112*サマリー!$B$9)+IF(Q1112="",0,IF(Q1112=200,サマリー!$B$10,IF(Q1112=100,サマリー!$B$11,0)))+IF(R1112="",0,R1112*サマリー!$B$12)</f>
        <v>0</v>
      </c>
      <c r="D1112" s="26">
        <f>S1112+T1112+U1112+V1112+W1112+IF(X1112="",0,X1112*サマリー!$B$9)+IF(Y1112="",0,IF(Y1112=200,サマリー!$B$10,IF(Y1112=100,サマリー!$B$11,0)))+IF(Z1112="",0,Z1112*サマリー!$B$12)</f>
        <v>0</v>
      </c>
      <c r="E1112" s="26">
        <f t="shared" si="42"/>
        <v>0</v>
      </c>
      <c r="I1112" s="29"/>
      <c r="J1112" s="29"/>
      <c r="K1112" s="29"/>
      <c r="L1112" s="29"/>
      <c r="M1112" s="29"/>
      <c r="N1112" s="29"/>
      <c r="O1112" s="29"/>
      <c r="P1112" s="30"/>
      <c r="Q1112" s="30"/>
      <c r="R1112" s="30"/>
      <c r="S1112" s="31"/>
      <c r="T1112" s="31"/>
      <c r="U1112" s="31"/>
      <c r="V1112" s="31"/>
      <c r="W1112" s="31"/>
      <c r="X1112" s="32"/>
      <c r="Y1112" s="32"/>
      <c r="Z1112" s="32"/>
    </row>
    <row r="1113" spans="1:26">
      <c r="A1113" s="28"/>
      <c r="B1113" s="17">
        <f t="shared" si="43"/>
        <v>46319</v>
      </c>
      <c r="C1113" s="26">
        <f>I1113+J1113+K1113+L1113+M1113+N1113+O1113+IF(P1113="",0,P1113*サマリー!$B$9)+IF(Q1113="",0,IF(Q1113=200,サマリー!$B$10,IF(Q1113=100,サマリー!$B$11,0)))+IF(R1113="",0,R1113*サマリー!$B$12)</f>
        <v>0</v>
      </c>
      <c r="D1113" s="26">
        <f>S1113+T1113+U1113+V1113+W1113+IF(X1113="",0,X1113*サマリー!$B$9)+IF(Y1113="",0,IF(Y1113=200,サマリー!$B$10,IF(Y1113=100,サマリー!$B$11,0)))+IF(Z1113="",0,Z1113*サマリー!$B$12)</f>
        <v>0</v>
      </c>
      <c r="E1113" s="26">
        <f t="shared" si="42"/>
        <v>0</v>
      </c>
      <c r="I1113" s="29"/>
      <c r="J1113" s="29"/>
      <c r="K1113" s="29"/>
      <c r="L1113" s="29"/>
      <c r="M1113" s="29"/>
      <c r="N1113" s="29"/>
      <c r="O1113" s="29"/>
      <c r="P1113" s="30"/>
      <c r="Q1113" s="30"/>
      <c r="R1113" s="30"/>
      <c r="S1113" s="31"/>
      <c r="T1113" s="31"/>
      <c r="U1113" s="31"/>
      <c r="V1113" s="31"/>
      <c r="W1113" s="31"/>
      <c r="X1113" s="32"/>
      <c r="Y1113" s="32"/>
      <c r="Z1113" s="32"/>
    </row>
    <row r="1114" spans="1:26">
      <c r="A1114" s="28"/>
      <c r="B1114" s="17">
        <f t="shared" si="43"/>
        <v>46319</v>
      </c>
      <c r="C1114" s="26">
        <f>I1114+J1114+K1114+L1114+M1114+N1114+O1114+IF(P1114="",0,P1114*サマリー!$B$9)+IF(Q1114="",0,IF(Q1114=200,サマリー!$B$10,IF(Q1114=100,サマリー!$B$11,0)))+IF(R1114="",0,R1114*サマリー!$B$12)</f>
        <v>0</v>
      </c>
      <c r="D1114" s="26">
        <f>S1114+T1114+U1114+V1114+W1114+IF(X1114="",0,X1114*サマリー!$B$9)+IF(Y1114="",0,IF(Y1114=200,サマリー!$B$10,IF(Y1114=100,サマリー!$B$11,0)))+IF(Z1114="",0,Z1114*サマリー!$B$12)</f>
        <v>0</v>
      </c>
      <c r="E1114" s="26">
        <f t="shared" si="42"/>
        <v>0</v>
      </c>
      <c r="I1114" s="29"/>
      <c r="J1114" s="29"/>
      <c r="K1114" s="29"/>
      <c r="L1114" s="29"/>
      <c r="M1114" s="29"/>
      <c r="N1114" s="29"/>
      <c r="O1114" s="29"/>
      <c r="P1114" s="30"/>
      <c r="Q1114" s="30"/>
      <c r="R1114" s="30"/>
      <c r="S1114" s="31"/>
      <c r="T1114" s="31"/>
      <c r="U1114" s="31"/>
      <c r="V1114" s="31"/>
      <c r="W1114" s="31"/>
      <c r="X1114" s="32"/>
      <c r="Y1114" s="32"/>
      <c r="Z1114" s="32"/>
    </row>
    <row r="1115" spans="1:26">
      <c r="A1115" s="28"/>
      <c r="B1115" s="17">
        <f t="shared" si="43"/>
        <v>46319</v>
      </c>
      <c r="C1115" s="26">
        <f>I1115+J1115+K1115+L1115+M1115+N1115+O1115+IF(P1115="",0,P1115*サマリー!$B$9)+IF(Q1115="",0,IF(Q1115=200,サマリー!$B$10,IF(Q1115=100,サマリー!$B$11,0)))+IF(R1115="",0,R1115*サマリー!$B$12)</f>
        <v>0</v>
      </c>
      <c r="D1115" s="26">
        <f>S1115+T1115+U1115+V1115+W1115+IF(X1115="",0,X1115*サマリー!$B$9)+IF(Y1115="",0,IF(Y1115=200,サマリー!$B$10,IF(Y1115=100,サマリー!$B$11,0)))+IF(Z1115="",0,Z1115*サマリー!$B$12)</f>
        <v>0</v>
      </c>
      <c r="E1115" s="26">
        <f t="shared" si="42"/>
        <v>0</v>
      </c>
      <c r="I1115" s="29"/>
      <c r="J1115" s="29"/>
      <c r="K1115" s="29"/>
      <c r="L1115" s="29"/>
      <c r="M1115" s="29"/>
      <c r="N1115" s="29"/>
      <c r="O1115" s="29"/>
      <c r="P1115" s="30"/>
      <c r="Q1115" s="30"/>
      <c r="R1115" s="30"/>
      <c r="S1115" s="31"/>
      <c r="T1115" s="31"/>
      <c r="U1115" s="31"/>
      <c r="V1115" s="31"/>
      <c r="W1115" s="31"/>
      <c r="X1115" s="32"/>
      <c r="Y1115" s="32"/>
      <c r="Z1115" s="32"/>
    </row>
    <row r="1116" spans="1:26">
      <c r="A1116" s="28"/>
      <c r="B1116" s="17">
        <f t="shared" si="43"/>
        <v>46319</v>
      </c>
      <c r="C1116" s="26">
        <f>I1116+J1116+K1116+L1116+M1116+N1116+O1116+IF(P1116="",0,P1116*サマリー!$B$9)+IF(Q1116="",0,IF(Q1116=200,サマリー!$B$10,IF(Q1116=100,サマリー!$B$11,0)))+IF(R1116="",0,R1116*サマリー!$B$12)</f>
        <v>0</v>
      </c>
      <c r="D1116" s="26">
        <f>S1116+T1116+U1116+V1116+W1116+IF(X1116="",0,X1116*サマリー!$B$9)+IF(Y1116="",0,IF(Y1116=200,サマリー!$B$10,IF(Y1116=100,サマリー!$B$11,0)))+IF(Z1116="",0,Z1116*サマリー!$B$12)</f>
        <v>0</v>
      </c>
      <c r="E1116" s="26">
        <f t="shared" si="42"/>
        <v>0</v>
      </c>
      <c r="I1116" s="29"/>
      <c r="J1116" s="29"/>
      <c r="K1116" s="29"/>
      <c r="L1116" s="29"/>
      <c r="M1116" s="29"/>
      <c r="N1116" s="29"/>
      <c r="O1116" s="29"/>
      <c r="P1116" s="30"/>
      <c r="Q1116" s="30"/>
      <c r="R1116" s="30"/>
      <c r="S1116" s="31"/>
      <c r="T1116" s="31"/>
      <c r="U1116" s="31"/>
      <c r="V1116" s="31"/>
      <c r="W1116" s="31"/>
      <c r="X1116" s="32"/>
      <c r="Y1116" s="32"/>
      <c r="Z1116" s="32"/>
    </row>
    <row r="1117" spans="1:26">
      <c r="A1117" s="28"/>
      <c r="B1117" s="17">
        <f t="shared" si="43"/>
        <v>46319</v>
      </c>
      <c r="C1117" s="26">
        <f>I1117+J1117+K1117+L1117+M1117+N1117+O1117+IF(P1117="",0,P1117*サマリー!$B$9)+IF(Q1117="",0,IF(Q1117=200,サマリー!$B$10,IF(Q1117=100,サマリー!$B$11,0)))+IF(R1117="",0,R1117*サマリー!$B$12)</f>
        <v>0</v>
      </c>
      <c r="D1117" s="26">
        <f>S1117+T1117+U1117+V1117+W1117+IF(X1117="",0,X1117*サマリー!$B$9)+IF(Y1117="",0,IF(Y1117=200,サマリー!$B$10,IF(Y1117=100,サマリー!$B$11,0)))+IF(Z1117="",0,Z1117*サマリー!$B$12)</f>
        <v>0</v>
      </c>
      <c r="E1117" s="26">
        <f t="shared" si="42"/>
        <v>0</v>
      </c>
      <c r="I1117" s="29"/>
      <c r="J1117" s="29"/>
      <c r="K1117" s="29"/>
      <c r="L1117" s="29"/>
      <c r="M1117" s="29"/>
      <c r="N1117" s="29"/>
      <c r="O1117" s="29"/>
      <c r="P1117" s="30"/>
      <c r="Q1117" s="30"/>
      <c r="R1117" s="30"/>
      <c r="S1117" s="31"/>
      <c r="T1117" s="31"/>
      <c r="U1117" s="31"/>
      <c r="V1117" s="31"/>
      <c r="W1117" s="31"/>
      <c r="X1117" s="32"/>
      <c r="Y1117" s="32"/>
      <c r="Z1117" s="32"/>
    </row>
    <row r="1118" spans="1:26">
      <c r="A1118" s="28"/>
      <c r="B1118" s="17">
        <f t="shared" si="43"/>
        <v>46319</v>
      </c>
      <c r="C1118" s="26">
        <f>I1118+J1118+K1118+L1118+M1118+N1118+O1118+IF(P1118="",0,P1118*サマリー!$B$9)+IF(Q1118="",0,IF(Q1118=200,サマリー!$B$10,IF(Q1118=100,サマリー!$B$11,0)))+IF(R1118="",0,R1118*サマリー!$B$12)</f>
        <v>0</v>
      </c>
      <c r="D1118" s="26">
        <f>S1118+T1118+U1118+V1118+W1118+IF(X1118="",0,X1118*サマリー!$B$9)+IF(Y1118="",0,IF(Y1118=200,サマリー!$B$10,IF(Y1118=100,サマリー!$B$11,0)))+IF(Z1118="",0,Z1118*サマリー!$B$12)</f>
        <v>0</v>
      </c>
      <c r="E1118" s="26">
        <f t="shared" si="42"/>
        <v>0</v>
      </c>
      <c r="I1118" s="29"/>
      <c r="J1118" s="29"/>
      <c r="K1118" s="29"/>
      <c r="L1118" s="29"/>
      <c r="M1118" s="29"/>
      <c r="N1118" s="29"/>
      <c r="O1118" s="29"/>
      <c r="P1118" s="30"/>
      <c r="Q1118" s="30"/>
      <c r="R1118" s="30"/>
      <c r="S1118" s="31"/>
      <c r="T1118" s="31"/>
      <c r="U1118" s="31"/>
      <c r="V1118" s="31"/>
      <c r="W1118" s="31"/>
      <c r="X1118" s="32"/>
      <c r="Y1118" s="32"/>
      <c r="Z1118" s="32"/>
    </row>
    <row r="1119" spans="1:26">
      <c r="A1119" s="28"/>
      <c r="B1119" s="17">
        <f t="shared" si="43"/>
        <v>46319</v>
      </c>
      <c r="C1119" s="26">
        <f>I1119+J1119+K1119+L1119+M1119+N1119+O1119+IF(P1119="",0,P1119*サマリー!$B$9)+IF(Q1119="",0,IF(Q1119=200,サマリー!$B$10,IF(Q1119=100,サマリー!$B$11,0)))+IF(R1119="",0,R1119*サマリー!$B$12)</f>
        <v>0</v>
      </c>
      <c r="D1119" s="26">
        <f>S1119+T1119+U1119+V1119+W1119+IF(X1119="",0,X1119*サマリー!$B$9)+IF(Y1119="",0,IF(Y1119=200,サマリー!$B$10,IF(Y1119=100,サマリー!$B$11,0)))+IF(Z1119="",0,Z1119*サマリー!$B$12)</f>
        <v>0</v>
      </c>
      <c r="E1119" s="26">
        <f t="shared" si="42"/>
        <v>0</v>
      </c>
      <c r="I1119" s="29"/>
      <c r="J1119" s="29"/>
      <c r="K1119" s="29"/>
      <c r="L1119" s="29"/>
      <c r="M1119" s="29"/>
      <c r="N1119" s="29"/>
      <c r="O1119" s="29"/>
      <c r="P1119" s="30"/>
      <c r="Q1119" s="30"/>
      <c r="R1119" s="30"/>
      <c r="S1119" s="31"/>
      <c r="T1119" s="31"/>
      <c r="U1119" s="31"/>
      <c r="V1119" s="31"/>
      <c r="W1119" s="31"/>
      <c r="X1119" s="32"/>
      <c r="Y1119" s="32"/>
      <c r="Z1119" s="32"/>
    </row>
    <row r="1120" spans="1:26">
      <c r="A1120" s="28"/>
      <c r="B1120" s="17">
        <f t="shared" si="43"/>
        <v>46319</v>
      </c>
      <c r="C1120" s="26">
        <f>I1120+J1120+K1120+L1120+M1120+N1120+O1120+IF(P1120="",0,P1120*サマリー!$B$9)+IF(Q1120="",0,IF(Q1120=200,サマリー!$B$10,IF(Q1120=100,サマリー!$B$11,0)))+IF(R1120="",0,R1120*サマリー!$B$12)</f>
        <v>0</v>
      </c>
      <c r="D1120" s="26">
        <f>S1120+T1120+U1120+V1120+W1120+IF(X1120="",0,X1120*サマリー!$B$9)+IF(Y1120="",0,IF(Y1120=200,サマリー!$B$10,IF(Y1120=100,サマリー!$B$11,0)))+IF(Z1120="",0,Z1120*サマリー!$B$12)</f>
        <v>0</v>
      </c>
      <c r="E1120" s="26">
        <f t="shared" si="42"/>
        <v>0</v>
      </c>
      <c r="I1120" s="29"/>
      <c r="J1120" s="29"/>
      <c r="K1120" s="29"/>
      <c r="L1120" s="29"/>
      <c r="M1120" s="29"/>
      <c r="N1120" s="29"/>
      <c r="O1120" s="29"/>
      <c r="P1120" s="30"/>
      <c r="Q1120" s="30"/>
      <c r="R1120" s="30"/>
      <c r="S1120" s="31"/>
      <c r="T1120" s="31"/>
      <c r="U1120" s="31"/>
      <c r="V1120" s="31"/>
      <c r="W1120" s="31"/>
      <c r="X1120" s="32"/>
      <c r="Y1120" s="32"/>
      <c r="Z1120" s="32"/>
    </row>
    <row r="1121" spans="1:26">
      <c r="A1121" s="28"/>
      <c r="B1121" s="17">
        <f t="shared" si="43"/>
        <v>46319</v>
      </c>
      <c r="C1121" s="26">
        <f>I1121+J1121+K1121+L1121+M1121+N1121+O1121+IF(P1121="",0,P1121*サマリー!$B$9)+IF(Q1121="",0,IF(Q1121=200,サマリー!$B$10,IF(Q1121=100,サマリー!$B$11,0)))+IF(R1121="",0,R1121*サマリー!$B$12)</f>
        <v>0</v>
      </c>
      <c r="D1121" s="26">
        <f>S1121+T1121+U1121+V1121+W1121+IF(X1121="",0,X1121*サマリー!$B$9)+IF(Y1121="",0,IF(Y1121=200,サマリー!$B$10,IF(Y1121=100,サマリー!$B$11,0)))+IF(Z1121="",0,Z1121*サマリー!$B$12)</f>
        <v>0</v>
      </c>
      <c r="E1121" s="26">
        <f t="shared" si="42"/>
        <v>0</v>
      </c>
      <c r="I1121" s="29"/>
      <c r="J1121" s="29"/>
      <c r="K1121" s="29"/>
      <c r="L1121" s="29"/>
      <c r="M1121" s="29"/>
      <c r="N1121" s="29"/>
      <c r="O1121" s="29"/>
      <c r="P1121" s="30"/>
      <c r="Q1121" s="30"/>
      <c r="R1121" s="30"/>
      <c r="S1121" s="31"/>
      <c r="T1121" s="31"/>
      <c r="U1121" s="31"/>
      <c r="V1121" s="31"/>
      <c r="W1121" s="31"/>
      <c r="X1121" s="32"/>
      <c r="Y1121" s="32"/>
      <c r="Z1121" s="32"/>
    </row>
    <row r="1122" spans="1:26">
      <c r="A1122" s="28"/>
      <c r="B1122" s="17">
        <f t="shared" si="43"/>
        <v>46319</v>
      </c>
      <c r="C1122" s="26">
        <f>I1122+J1122+K1122+L1122+M1122+N1122+O1122+IF(P1122="",0,P1122*サマリー!$B$9)+IF(Q1122="",0,IF(Q1122=200,サマリー!$B$10,IF(Q1122=100,サマリー!$B$11,0)))+IF(R1122="",0,R1122*サマリー!$B$12)</f>
        <v>0</v>
      </c>
      <c r="D1122" s="26">
        <f>S1122+T1122+U1122+V1122+W1122+IF(X1122="",0,X1122*サマリー!$B$9)+IF(Y1122="",0,IF(Y1122=200,サマリー!$B$10,IF(Y1122=100,サマリー!$B$11,0)))+IF(Z1122="",0,Z1122*サマリー!$B$12)</f>
        <v>0</v>
      </c>
      <c r="E1122" s="26">
        <f t="shared" si="42"/>
        <v>0</v>
      </c>
      <c r="I1122" s="29"/>
      <c r="J1122" s="29"/>
      <c r="K1122" s="29"/>
      <c r="L1122" s="29"/>
      <c r="M1122" s="29"/>
      <c r="N1122" s="29"/>
      <c r="O1122" s="29"/>
      <c r="P1122" s="30"/>
      <c r="Q1122" s="30"/>
      <c r="R1122" s="30"/>
      <c r="S1122" s="31"/>
      <c r="T1122" s="31"/>
      <c r="U1122" s="31"/>
      <c r="V1122" s="31"/>
      <c r="W1122" s="31"/>
      <c r="X1122" s="32"/>
      <c r="Y1122" s="32"/>
      <c r="Z1122" s="32"/>
    </row>
    <row r="1123" spans="1:26">
      <c r="A1123" s="28"/>
      <c r="B1123" s="17">
        <f t="shared" si="43"/>
        <v>46319</v>
      </c>
      <c r="C1123" s="26">
        <f>I1123+J1123+K1123+L1123+M1123+N1123+O1123+IF(P1123="",0,P1123*サマリー!$B$9)+IF(Q1123="",0,IF(Q1123=200,サマリー!$B$10,IF(Q1123=100,サマリー!$B$11,0)))+IF(R1123="",0,R1123*サマリー!$B$12)</f>
        <v>0</v>
      </c>
      <c r="D1123" s="26">
        <f>S1123+T1123+U1123+V1123+W1123+IF(X1123="",0,X1123*サマリー!$B$9)+IF(Y1123="",0,IF(Y1123=200,サマリー!$B$10,IF(Y1123=100,サマリー!$B$11,0)))+IF(Z1123="",0,Z1123*サマリー!$B$12)</f>
        <v>0</v>
      </c>
      <c r="E1123" s="26">
        <f t="shared" ref="E1123:E1186" si="44">C1123+D1123</f>
        <v>0</v>
      </c>
      <c r="I1123" s="29"/>
      <c r="J1123" s="29"/>
      <c r="K1123" s="29"/>
      <c r="L1123" s="29"/>
      <c r="M1123" s="29"/>
      <c r="N1123" s="29"/>
      <c r="O1123" s="29"/>
      <c r="P1123" s="30"/>
      <c r="Q1123" s="30"/>
      <c r="R1123" s="30"/>
      <c r="S1123" s="31"/>
      <c r="T1123" s="31"/>
      <c r="U1123" s="31"/>
      <c r="V1123" s="31"/>
      <c r="W1123" s="31"/>
      <c r="X1123" s="32"/>
      <c r="Y1123" s="32"/>
      <c r="Z1123" s="32"/>
    </row>
    <row r="1124" spans="1:26">
      <c r="A1124" s="28"/>
      <c r="B1124" s="17">
        <f t="shared" si="43"/>
        <v>46319</v>
      </c>
      <c r="C1124" s="26">
        <f>I1124+J1124+K1124+L1124+M1124+N1124+O1124+IF(P1124="",0,P1124*サマリー!$B$9)+IF(Q1124="",0,IF(Q1124=200,サマリー!$B$10,IF(Q1124=100,サマリー!$B$11,0)))+IF(R1124="",0,R1124*サマリー!$B$12)</f>
        <v>0</v>
      </c>
      <c r="D1124" s="26">
        <f>S1124+T1124+U1124+V1124+W1124+IF(X1124="",0,X1124*サマリー!$B$9)+IF(Y1124="",0,IF(Y1124=200,サマリー!$B$10,IF(Y1124=100,サマリー!$B$11,0)))+IF(Z1124="",0,Z1124*サマリー!$B$12)</f>
        <v>0</v>
      </c>
      <c r="E1124" s="26">
        <f t="shared" si="44"/>
        <v>0</v>
      </c>
      <c r="I1124" s="29"/>
      <c r="J1124" s="29"/>
      <c r="K1124" s="29"/>
      <c r="L1124" s="29"/>
      <c r="M1124" s="29"/>
      <c r="N1124" s="29"/>
      <c r="O1124" s="29"/>
      <c r="P1124" s="30"/>
      <c r="Q1124" s="30"/>
      <c r="R1124" s="30"/>
      <c r="S1124" s="31"/>
      <c r="T1124" s="31"/>
      <c r="U1124" s="31"/>
      <c r="V1124" s="31"/>
      <c r="W1124" s="31"/>
      <c r="X1124" s="32"/>
      <c r="Y1124" s="32"/>
      <c r="Z1124" s="32"/>
    </row>
    <row r="1125" spans="1:26">
      <c r="A1125" s="28"/>
      <c r="B1125" s="17">
        <f t="shared" si="43"/>
        <v>46319</v>
      </c>
      <c r="C1125" s="26">
        <f>I1125+J1125+K1125+L1125+M1125+N1125+O1125+IF(P1125="",0,P1125*サマリー!$B$9)+IF(Q1125="",0,IF(Q1125=200,サマリー!$B$10,IF(Q1125=100,サマリー!$B$11,0)))+IF(R1125="",0,R1125*サマリー!$B$12)</f>
        <v>0</v>
      </c>
      <c r="D1125" s="26">
        <f>S1125+T1125+U1125+V1125+W1125+IF(X1125="",0,X1125*サマリー!$B$9)+IF(Y1125="",0,IF(Y1125=200,サマリー!$B$10,IF(Y1125=100,サマリー!$B$11,0)))+IF(Z1125="",0,Z1125*サマリー!$B$12)</f>
        <v>0</v>
      </c>
      <c r="E1125" s="26">
        <f t="shared" si="44"/>
        <v>0</v>
      </c>
      <c r="I1125" s="29"/>
      <c r="J1125" s="29"/>
      <c r="K1125" s="29"/>
      <c r="L1125" s="29"/>
      <c r="M1125" s="29"/>
      <c r="N1125" s="29"/>
      <c r="O1125" s="29"/>
      <c r="P1125" s="30"/>
      <c r="Q1125" s="30"/>
      <c r="R1125" s="30"/>
      <c r="S1125" s="31"/>
      <c r="T1125" s="31"/>
      <c r="U1125" s="31"/>
      <c r="V1125" s="31"/>
      <c r="W1125" s="31"/>
      <c r="X1125" s="32"/>
      <c r="Y1125" s="32"/>
      <c r="Z1125" s="32"/>
    </row>
    <row r="1126" spans="1:26">
      <c r="A1126" s="28"/>
      <c r="B1126" s="17">
        <f t="shared" si="43"/>
        <v>46319</v>
      </c>
      <c r="C1126" s="26">
        <f>I1126+J1126+K1126+L1126+M1126+N1126+O1126+IF(P1126="",0,P1126*サマリー!$B$9)+IF(Q1126="",0,IF(Q1126=200,サマリー!$B$10,IF(Q1126=100,サマリー!$B$11,0)))+IF(R1126="",0,R1126*サマリー!$B$12)</f>
        <v>0</v>
      </c>
      <c r="D1126" s="26">
        <f>S1126+T1126+U1126+V1126+W1126+IF(X1126="",0,X1126*サマリー!$B$9)+IF(Y1126="",0,IF(Y1126=200,サマリー!$B$10,IF(Y1126=100,サマリー!$B$11,0)))+IF(Z1126="",0,Z1126*サマリー!$B$12)</f>
        <v>0</v>
      </c>
      <c r="E1126" s="26">
        <f t="shared" si="44"/>
        <v>0</v>
      </c>
      <c r="I1126" s="29"/>
      <c r="J1126" s="29"/>
      <c r="K1126" s="29"/>
      <c r="L1126" s="29"/>
      <c r="M1126" s="29"/>
      <c r="N1126" s="29"/>
      <c r="O1126" s="29"/>
      <c r="P1126" s="30"/>
      <c r="Q1126" s="30"/>
      <c r="R1126" s="30"/>
      <c r="S1126" s="31"/>
      <c r="T1126" s="31"/>
      <c r="U1126" s="31"/>
      <c r="V1126" s="31"/>
      <c r="W1126" s="31"/>
      <c r="X1126" s="32"/>
      <c r="Y1126" s="32"/>
      <c r="Z1126" s="32"/>
    </row>
    <row r="1127" spans="1:26">
      <c r="A1127" s="28"/>
      <c r="B1127" s="17">
        <f t="shared" si="43"/>
        <v>46319</v>
      </c>
      <c r="C1127" s="26">
        <f>I1127+J1127+K1127+L1127+M1127+N1127+O1127+IF(P1127="",0,P1127*サマリー!$B$9)+IF(Q1127="",0,IF(Q1127=200,サマリー!$B$10,IF(Q1127=100,サマリー!$B$11,0)))+IF(R1127="",0,R1127*サマリー!$B$12)</f>
        <v>0</v>
      </c>
      <c r="D1127" s="26">
        <f>S1127+T1127+U1127+V1127+W1127+IF(X1127="",0,X1127*サマリー!$B$9)+IF(Y1127="",0,IF(Y1127=200,サマリー!$B$10,IF(Y1127=100,サマリー!$B$11,0)))+IF(Z1127="",0,Z1127*サマリー!$B$12)</f>
        <v>0</v>
      </c>
      <c r="E1127" s="26">
        <f t="shared" si="44"/>
        <v>0</v>
      </c>
      <c r="I1127" s="29"/>
      <c r="J1127" s="29"/>
      <c r="K1127" s="29"/>
      <c r="L1127" s="29"/>
      <c r="M1127" s="29"/>
      <c r="N1127" s="29"/>
      <c r="O1127" s="29"/>
      <c r="P1127" s="30"/>
      <c r="Q1127" s="30"/>
      <c r="R1127" s="30"/>
      <c r="S1127" s="31"/>
      <c r="T1127" s="31"/>
      <c r="U1127" s="31"/>
      <c r="V1127" s="31"/>
      <c r="W1127" s="31"/>
      <c r="X1127" s="32"/>
      <c r="Y1127" s="32"/>
      <c r="Z1127" s="32"/>
    </row>
    <row r="1128" spans="1:26">
      <c r="A1128" s="28"/>
      <c r="B1128" s="17">
        <f t="shared" si="43"/>
        <v>46319</v>
      </c>
      <c r="C1128" s="26">
        <f>I1128+J1128+K1128+L1128+M1128+N1128+O1128+IF(P1128="",0,P1128*サマリー!$B$9)+IF(Q1128="",0,IF(Q1128=200,サマリー!$B$10,IF(Q1128=100,サマリー!$B$11,0)))+IF(R1128="",0,R1128*サマリー!$B$12)</f>
        <v>0</v>
      </c>
      <c r="D1128" s="26">
        <f>S1128+T1128+U1128+V1128+W1128+IF(X1128="",0,X1128*サマリー!$B$9)+IF(Y1128="",0,IF(Y1128=200,サマリー!$B$10,IF(Y1128=100,サマリー!$B$11,0)))+IF(Z1128="",0,Z1128*サマリー!$B$12)</f>
        <v>0</v>
      </c>
      <c r="E1128" s="26">
        <f t="shared" si="44"/>
        <v>0</v>
      </c>
      <c r="I1128" s="29"/>
      <c r="J1128" s="29"/>
      <c r="K1128" s="29"/>
      <c r="L1128" s="29"/>
      <c r="M1128" s="29"/>
      <c r="N1128" s="29"/>
      <c r="O1128" s="29"/>
      <c r="P1128" s="30"/>
      <c r="Q1128" s="30"/>
      <c r="R1128" s="30"/>
      <c r="S1128" s="31"/>
      <c r="T1128" s="31"/>
      <c r="U1128" s="31"/>
      <c r="V1128" s="31"/>
      <c r="W1128" s="31"/>
      <c r="X1128" s="32"/>
      <c r="Y1128" s="32"/>
      <c r="Z1128" s="32"/>
    </row>
    <row r="1129" spans="1:26">
      <c r="A1129" s="28"/>
      <c r="B1129" s="17">
        <f t="shared" si="43"/>
        <v>46319</v>
      </c>
      <c r="C1129" s="26">
        <f>I1129+J1129+K1129+L1129+M1129+N1129+O1129+IF(P1129="",0,P1129*サマリー!$B$9)+IF(Q1129="",0,IF(Q1129=200,サマリー!$B$10,IF(Q1129=100,サマリー!$B$11,0)))+IF(R1129="",0,R1129*サマリー!$B$12)</f>
        <v>0</v>
      </c>
      <c r="D1129" s="26">
        <f>S1129+T1129+U1129+V1129+W1129+IF(X1129="",0,X1129*サマリー!$B$9)+IF(Y1129="",0,IF(Y1129=200,サマリー!$B$10,IF(Y1129=100,サマリー!$B$11,0)))+IF(Z1129="",0,Z1129*サマリー!$B$12)</f>
        <v>0</v>
      </c>
      <c r="E1129" s="26">
        <f t="shared" si="44"/>
        <v>0</v>
      </c>
      <c r="I1129" s="29"/>
      <c r="J1129" s="29"/>
      <c r="K1129" s="29"/>
      <c r="L1129" s="29"/>
      <c r="M1129" s="29"/>
      <c r="N1129" s="29"/>
      <c r="O1129" s="29"/>
      <c r="P1129" s="30"/>
      <c r="Q1129" s="30"/>
      <c r="R1129" s="30"/>
      <c r="S1129" s="31"/>
      <c r="T1129" s="31"/>
      <c r="U1129" s="31"/>
      <c r="V1129" s="31"/>
      <c r="W1129" s="31"/>
      <c r="X1129" s="32"/>
      <c r="Y1129" s="32"/>
      <c r="Z1129" s="32"/>
    </row>
    <row r="1130" spans="1:26">
      <c r="A1130" s="28"/>
      <c r="B1130" s="17">
        <f t="shared" si="43"/>
        <v>46319</v>
      </c>
      <c r="C1130" s="26">
        <f>I1130+J1130+K1130+L1130+M1130+N1130+O1130+IF(P1130="",0,P1130*サマリー!$B$9)+IF(Q1130="",0,IF(Q1130=200,サマリー!$B$10,IF(Q1130=100,サマリー!$B$11,0)))+IF(R1130="",0,R1130*サマリー!$B$12)</f>
        <v>0</v>
      </c>
      <c r="D1130" s="26">
        <f>S1130+T1130+U1130+V1130+W1130+IF(X1130="",0,X1130*サマリー!$B$9)+IF(Y1130="",0,IF(Y1130=200,サマリー!$B$10,IF(Y1130=100,サマリー!$B$11,0)))+IF(Z1130="",0,Z1130*サマリー!$B$12)</f>
        <v>0</v>
      </c>
      <c r="E1130" s="26">
        <f t="shared" si="44"/>
        <v>0</v>
      </c>
      <c r="I1130" s="29"/>
      <c r="J1130" s="29"/>
      <c r="K1130" s="29"/>
      <c r="L1130" s="29"/>
      <c r="M1130" s="29"/>
      <c r="N1130" s="29"/>
      <c r="O1130" s="29"/>
      <c r="P1130" s="30"/>
      <c r="Q1130" s="30"/>
      <c r="R1130" s="30"/>
      <c r="S1130" s="31"/>
      <c r="T1130" s="31"/>
      <c r="U1130" s="31"/>
      <c r="V1130" s="31"/>
      <c r="W1130" s="31"/>
      <c r="X1130" s="32"/>
      <c r="Y1130" s="32"/>
      <c r="Z1130" s="32"/>
    </row>
    <row r="1131" spans="1:26">
      <c r="A1131" s="28"/>
      <c r="B1131" s="17">
        <f t="shared" si="43"/>
        <v>46319</v>
      </c>
      <c r="C1131" s="26">
        <f>I1131+J1131+K1131+L1131+M1131+N1131+O1131+IF(P1131="",0,P1131*サマリー!$B$9)+IF(Q1131="",0,IF(Q1131=200,サマリー!$B$10,IF(Q1131=100,サマリー!$B$11,0)))+IF(R1131="",0,R1131*サマリー!$B$12)</f>
        <v>0</v>
      </c>
      <c r="D1131" s="26">
        <f>S1131+T1131+U1131+V1131+W1131+IF(X1131="",0,X1131*サマリー!$B$9)+IF(Y1131="",0,IF(Y1131=200,サマリー!$B$10,IF(Y1131=100,サマリー!$B$11,0)))+IF(Z1131="",0,Z1131*サマリー!$B$12)</f>
        <v>0</v>
      </c>
      <c r="E1131" s="26">
        <f t="shared" si="44"/>
        <v>0</v>
      </c>
      <c r="I1131" s="29"/>
      <c r="J1131" s="29"/>
      <c r="K1131" s="29"/>
      <c r="L1131" s="29"/>
      <c r="M1131" s="29"/>
      <c r="N1131" s="29"/>
      <c r="O1131" s="29"/>
      <c r="P1131" s="30"/>
      <c r="Q1131" s="30"/>
      <c r="R1131" s="30"/>
      <c r="S1131" s="31"/>
      <c r="T1131" s="31"/>
      <c r="U1131" s="31"/>
      <c r="V1131" s="31"/>
      <c r="W1131" s="31"/>
      <c r="X1131" s="32"/>
      <c r="Y1131" s="32"/>
      <c r="Z1131" s="32"/>
    </row>
    <row r="1132" spans="1:26">
      <c r="A1132" s="28"/>
      <c r="B1132" s="17">
        <f t="shared" si="43"/>
        <v>46319</v>
      </c>
      <c r="C1132" s="26">
        <f>I1132+J1132+K1132+L1132+M1132+N1132+O1132+IF(P1132="",0,P1132*サマリー!$B$9)+IF(Q1132="",0,IF(Q1132=200,サマリー!$B$10,IF(Q1132=100,サマリー!$B$11,0)))+IF(R1132="",0,R1132*サマリー!$B$12)</f>
        <v>0</v>
      </c>
      <c r="D1132" s="26">
        <f>S1132+T1132+U1132+V1132+W1132+IF(X1132="",0,X1132*サマリー!$B$9)+IF(Y1132="",0,IF(Y1132=200,サマリー!$B$10,IF(Y1132=100,サマリー!$B$11,0)))+IF(Z1132="",0,Z1132*サマリー!$B$12)</f>
        <v>0</v>
      </c>
      <c r="E1132" s="26">
        <f t="shared" si="44"/>
        <v>0</v>
      </c>
      <c r="I1132" s="29"/>
      <c r="J1132" s="29"/>
      <c r="K1132" s="29"/>
      <c r="L1132" s="29"/>
      <c r="M1132" s="29"/>
      <c r="N1132" s="29"/>
      <c r="O1132" s="29"/>
      <c r="P1132" s="30"/>
      <c r="Q1132" s="30"/>
      <c r="R1132" s="30"/>
      <c r="S1132" s="31"/>
      <c r="T1132" s="31"/>
      <c r="U1132" s="31"/>
      <c r="V1132" s="31"/>
      <c r="W1132" s="31"/>
      <c r="X1132" s="32"/>
      <c r="Y1132" s="32"/>
      <c r="Z1132" s="32"/>
    </row>
    <row r="1133" spans="1:26">
      <c r="A1133" s="28"/>
      <c r="B1133" s="17">
        <f t="shared" si="43"/>
        <v>46319</v>
      </c>
      <c r="C1133" s="26">
        <f>I1133+J1133+K1133+L1133+M1133+N1133+O1133+IF(P1133="",0,P1133*サマリー!$B$9)+IF(Q1133="",0,IF(Q1133=200,サマリー!$B$10,IF(Q1133=100,サマリー!$B$11,0)))+IF(R1133="",0,R1133*サマリー!$B$12)</f>
        <v>0</v>
      </c>
      <c r="D1133" s="26">
        <f>S1133+T1133+U1133+V1133+W1133+IF(X1133="",0,X1133*サマリー!$B$9)+IF(Y1133="",0,IF(Y1133=200,サマリー!$B$10,IF(Y1133=100,サマリー!$B$11,0)))+IF(Z1133="",0,Z1133*サマリー!$B$12)</f>
        <v>0</v>
      </c>
      <c r="E1133" s="26">
        <f t="shared" si="44"/>
        <v>0</v>
      </c>
      <c r="I1133" s="29"/>
      <c r="J1133" s="29"/>
      <c r="K1133" s="29"/>
      <c r="L1133" s="29"/>
      <c r="M1133" s="29"/>
      <c r="N1133" s="29"/>
      <c r="O1133" s="29"/>
      <c r="P1133" s="30"/>
      <c r="Q1133" s="30"/>
      <c r="R1133" s="30"/>
      <c r="S1133" s="31"/>
      <c r="T1133" s="31"/>
      <c r="U1133" s="31"/>
      <c r="V1133" s="31"/>
      <c r="W1133" s="31"/>
      <c r="X1133" s="32"/>
      <c r="Y1133" s="32"/>
      <c r="Z1133" s="32"/>
    </row>
    <row r="1134" spans="1:26">
      <c r="A1134" s="28"/>
      <c r="B1134" s="17">
        <f t="shared" si="43"/>
        <v>46319</v>
      </c>
      <c r="C1134" s="26">
        <f>I1134+J1134+K1134+L1134+M1134+N1134+O1134+IF(P1134="",0,P1134*サマリー!$B$9)+IF(Q1134="",0,IF(Q1134=200,サマリー!$B$10,IF(Q1134=100,サマリー!$B$11,0)))+IF(R1134="",0,R1134*サマリー!$B$12)</f>
        <v>0</v>
      </c>
      <c r="D1134" s="26">
        <f>S1134+T1134+U1134+V1134+W1134+IF(X1134="",0,X1134*サマリー!$B$9)+IF(Y1134="",0,IF(Y1134=200,サマリー!$B$10,IF(Y1134=100,サマリー!$B$11,0)))+IF(Z1134="",0,Z1134*サマリー!$B$12)</f>
        <v>0</v>
      </c>
      <c r="E1134" s="26">
        <f t="shared" si="44"/>
        <v>0</v>
      </c>
      <c r="I1134" s="29"/>
      <c r="J1134" s="29"/>
      <c r="K1134" s="29"/>
      <c r="L1134" s="29"/>
      <c r="M1134" s="29"/>
      <c r="N1134" s="29"/>
      <c r="O1134" s="29"/>
      <c r="P1134" s="30"/>
      <c r="Q1134" s="30"/>
      <c r="R1134" s="30"/>
      <c r="S1134" s="31"/>
      <c r="T1134" s="31"/>
      <c r="U1134" s="31"/>
      <c r="V1134" s="31"/>
      <c r="W1134" s="31"/>
      <c r="X1134" s="32"/>
      <c r="Y1134" s="32"/>
      <c r="Z1134" s="32"/>
    </row>
    <row r="1135" spans="1:26">
      <c r="A1135" s="28"/>
      <c r="B1135" s="17">
        <f t="shared" si="43"/>
        <v>46319</v>
      </c>
      <c r="C1135" s="26">
        <f>I1135+J1135+K1135+L1135+M1135+N1135+O1135+IF(P1135="",0,P1135*サマリー!$B$9)+IF(Q1135="",0,IF(Q1135=200,サマリー!$B$10,IF(Q1135=100,サマリー!$B$11,0)))+IF(R1135="",0,R1135*サマリー!$B$12)</f>
        <v>0</v>
      </c>
      <c r="D1135" s="26">
        <f>S1135+T1135+U1135+V1135+W1135+IF(X1135="",0,X1135*サマリー!$B$9)+IF(Y1135="",0,IF(Y1135=200,サマリー!$B$10,IF(Y1135=100,サマリー!$B$11,0)))+IF(Z1135="",0,Z1135*サマリー!$B$12)</f>
        <v>0</v>
      </c>
      <c r="E1135" s="26">
        <f t="shared" si="44"/>
        <v>0</v>
      </c>
      <c r="I1135" s="29"/>
      <c r="J1135" s="29"/>
      <c r="K1135" s="29"/>
      <c r="L1135" s="29"/>
      <c r="M1135" s="29"/>
      <c r="N1135" s="29"/>
      <c r="O1135" s="29"/>
      <c r="P1135" s="30"/>
      <c r="Q1135" s="30"/>
      <c r="R1135" s="30"/>
      <c r="S1135" s="31"/>
      <c r="T1135" s="31"/>
      <c r="U1135" s="31"/>
      <c r="V1135" s="31"/>
      <c r="W1135" s="31"/>
      <c r="X1135" s="32"/>
      <c r="Y1135" s="32"/>
      <c r="Z1135" s="32"/>
    </row>
    <row r="1136" spans="1:26">
      <c r="A1136" s="28"/>
      <c r="B1136" s="17">
        <f t="shared" si="43"/>
        <v>46319</v>
      </c>
      <c r="C1136" s="26">
        <f>I1136+J1136+K1136+L1136+M1136+N1136+O1136+IF(P1136="",0,P1136*サマリー!$B$9)+IF(Q1136="",0,IF(Q1136=200,サマリー!$B$10,IF(Q1136=100,サマリー!$B$11,0)))+IF(R1136="",0,R1136*サマリー!$B$12)</f>
        <v>0</v>
      </c>
      <c r="D1136" s="26">
        <f>S1136+T1136+U1136+V1136+W1136+IF(X1136="",0,X1136*サマリー!$B$9)+IF(Y1136="",0,IF(Y1136=200,サマリー!$B$10,IF(Y1136=100,サマリー!$B$11,0)))+IF(Z1136="",0,Z1136*サマリー!$B$12)</f>
        <v>0</v>
      </c>
      <c r="E1136" s="26">
        <f t="shared" si="44"/>
        <v>0</v>
      </c>
      <c r="I1136" s="29"/>
      <c r="J1136" s="29"/>
      <c r="K1136" s="29"/>
      <c r="L1136" s="29"/>
      <c r="M1136" s="29"/>
      <c r="N1136" s="29"/>
      <c r="O1136" s="29"/>
      <c r="P1136" s="30"/>
      <c r="Q1136" s="30"/>
      <c r="R1136" s="30"/>
      <c r="S1136" s="31"/>
      <c r="T1136" s="31"/>
      <c r="U1136" s="31"/>
      <c r="V1136" s="31"/>
      <c r="W1136" s="31"/>
      <c r="X1136" s="32"/>
      <c r="Y1136" s="32"/>
      <c r="Z1136" s="32"/>
    </row>
    <row r="1137" spans="1:26">
      <c r="A1137" s="28"/>
      <c r="B1137" s="17">
        <f t="shared" si="43"/>
        <v>46319</v>
      </c>
      <c r="C1137" s="26">
        <f>I1137+J1137+K1137+L1137+M1137+N1137+O1137+IF(P1137="",0,P1137*サマリー!$B$9)+IF(Q1137="",0,IF(Q1137=200,サマリー!$B$10,IF(Q1137=100,サマリー!$B$11,0)))+IF(R1137="",0,R1137*サマリー!$B$12)</f>
        <v>0</v>
      </c>
      <c r="D1137" s="26">
        <f>S1137+T1137+U1137+V1137+W1137+IF(X1137="",0,X1137*サマリー!$B$9)+IF(Y1137="",0,IF(Y1137=200,サマリー!$B$10,IF(Y1137=100,サマリー!$B$11,0)))+IF(Z1137="",0,Z1137*サマリー!$B$12)</f>
        <v>0</v>
      </c>
      <c r="E1137" s="26">
        <f t="shared" si="44"/>
        <v>0</v>
      </c>
      <c r="I1137" s="29"/>
      <c r="J1137" s="29"/>
      <c r="K1137" s="29"/>
      <c r="L1137" s="29"/>
      <c r="M1137" s="29"/>
      <c r="N1137" s="29"/>
      <c r="O1137" s="29"/>
      <c r="P1137" s="30"/>
      <c r="Q1137" s="30"/>
      <c r="R1137" s="30"/>
      <c r="S1137" s="31"/>
      <c r="T1137" s="31"/>
      <c r="U1137" s="31"/>
      <c r="V1137" s="31"/>
      <c r="W1137" s="31"/>
      <c r="X1137" s="32"/>
      <c r="Y1137" s="32"/>
      <c r="Z1137" s="32"/>
    </row>
    <row r="1138" spans="1:26">
      <c r="A1138" s="28"/>
      <c r="B1138" s="17">
        <f t="shared" si="43"/>
        <v>46319</v>
      </c>
      <c r="C1138" s="26">
        <f>I1138+J1138+K1138+L1138+M1138+N1138+O1138+IF(P1138="",0,P1138*サマリー!$B$9)+IF(Q1138="",0,IF(Q1138=200,サマリー!$B$10,IF(Q1138=100,サマリー!$B$11,0)))+IF(R1138="",0,R1138*サマリー!$B$12)</f>
        <v>0</v>
      </c>
      <c r="D1138" s="26">
        <f>S1138+T1138+U1138+V1138+W1138+IF(X1138="",0,X1138*サマリー!$B$9)+IF(Y1138="",0,IF(Y1138=200,サマリー!$B$10,IF(Y1138=100,サマリー!$B$11,0)))+IF(Z1138="",0,Z1138*サマリー!$B$12)</f>
        <v>0</v>
      </c>
      <c r="E1138" s="26">
        <f t="shared" si="44"/>
        <v>0</v>
      </c>
      <c r="I1138" s="29"/>
      <c r="J1138" s="29"/>
      <c r="K1138" s="29"/>
      <c r="L1138" s="29"/>
      <c r="M1138" s="29"/>
      <c r="N1138" s="29"/>
      <c r="O1138" s="29"/>
      <c r="P1138" s="30"/>
      <c r="Q1138" s="30"/>
      <c r="R1138" s="30"/>
      <c r="S1138" s="31"/>
      <c r="T1138" s="31"/>
      <c r="U1138" s="31"/>
      <c r="V1138" s="31"/>
      <c r="W1138" s="31"/>
      <c r="X1138" s="32"/>
      <c r="Y1138" s="32"/>
      <c r="Z1138" s="32"/>
    </row>
    <row r="1139" spans="1:26">
      <c r="A1139" s="28"/>
      <c r="B1139" s="17">
        <f t="shared" si="43"/>
        <v>46319</v>
      </c>
      <c r="C1139" s="26">
        <f>I1139+J1139+K1139+L1139+M1139+N1139+O1139+IF(P1139="",0,P1139*サマリー!$B$9)+IF(Q1139="",0,IF(Q1139=200,サマリー!$B$10,IF(Q1139=100,サマリー!$B$11,0)))+IF(R1139="",0,R1139*サマリー!$B$12)</f>
        <v>0</v>
      </c>
      <c r="D1139" s="26">
        <f>S1139+T1139+U1139+V1139+W1139+IF(X1139="",0,X1139*サマリー!$B$9)+IF(Y1139="",0,IF(Y1139=200,サマリー!$B$10,IF(Y1139=100,サマリー!$B$11,0)))+IF(Z1139="",0,Z1139*サマリー!$B$12)</f>
        <v>0</v>
      </c>
      <c r="E1139" s="26">
        <f t="shared" si="44"/>
        <v>0</v>
      </c>
      <c r="I1139" s="29"/>
      <c r="J1139" s="29"/>
      <c r="K1139" s="29"/>
      <c r="L1139" s="29"/>
      <c r="M1139" s="29"/>
      <c r="N1139" s="29"/>
      <c r="O1139" s="29"/>
      <c r="P1139" s="30"/>
      <c r="Q1139" s="30"/>
      <c r="R1139" s="30"/>
      <c r="S1139" s="31"/>
      <c r="T1139" s="31"/>
      <c r="U1139" s="31"/>
      <c r="V1139" s="31"/>
      <c r="W1139" s="31"/>
      <c r="X1139" s="32"/>
      <c r="Y1139" s="32"/>
      <c r="Z1139" s="32"/>
    </row>
    <row r="1140" spans="1:26">
      <c r="A1140" s="28"/>
      <c r="B1140" s="17">
        <f t="shared" si="43"/>
        <v>46319</v>
      </c>
      <c r="C1140" s="26">
        <f>I1140+J1140+K1140+L1140+M1140+N1140+O1140+IF(P1140="",0,P1140*サマリー!$B$9)+IF(Q1140="",0,IF(Q1140=200,サマリー!$B$10,IF(Q1140=100,サマリー!$B$11,0)))+IF(R1140="",0,R1140*サマリー!$B$12)</f>
        <v>0</v>
      </c>
      <c r="D1140" s="26">
        <f>S1140+T1140+U1140+V1140+W1140+IF(X1140="",0,X1140*サマリー!$B$9)+IF(Y1140="",0,IF(Y1140=200,サマリー!$B$10,IF(Y1140=100,サマリー!$B$11,0)))+IF(Z1140="",0,Z1140*サマリー!$B$12)</f>
        <v>0</v>
      </c>
      <c r="E1140" s="26">
        <f t="shared" si="44"/>
        <v>0</v>
      </c>
      <c r="I1140" s="29"/>
      <c r="J1140" s="29"/>
      <c r="K1140" s="29"/>
      <c r="L1140" s="29"/>
      <c r="M1140" s="29"/>
      <c r="N1140" s="29"/>
      <c r="O1140" s="29"/>
      <c r="P1140" s="30"/>
      <c r="Q1140" s="30"/>
      <c r="R1140" s="30"/>
      <c r="S1140" s="31"/>
      <c r="T1140" s="31"/>
      <c r="U1140" s="31"/>
      <c r="V1140" s="31"/>
      <c r="W1140" s="31"/>
      <c r="X1140" s="32"/>
      <c r="Y1140" s="32"/>
      <c r="Z1140" s="32"/>
    </row>
    <row r="1141" spans="1:26">
      <c r="A1141" s="28"/>
      <c r="B1141" s="17">
        <f t="shared" si="43"/>
        <v>46319</v>
      </c>
      <c r="C1141" s="26">
        <f>I1141+J1141+K1141+L1141+M1141+N1141+O1141+IF(P1141="",0,P1141*サマリー!$B$9)+IF(Q1141="",0,IF(Q1141=200,サマリー!$B$10,IF(Q1141=100,サマリー!$B$11,0)))+IF(R1141="",0,R1141*サマリー!$B$12)</f>
        <v>0</v>
      </c>
      <c r="D1141" s="26">
        <f>S1141+T1141+U1141+V1141+W1141+IF(X1141="",0,X1141*サマリー!$B$9)+IF(Y1141="",0,IF(Y1141=200,サマリー!$B$10,IF(Y1141=100,サマリー!$B$11,0)))+IF(Z1141="",0,Z1141*サマリー!$B$12)</f>
        <v>0</v>
      </c>
      <c r="E1141" s="26">
        <f t="shared" si="44"/>
        <v>0</v>
      </c>
      <c r="I1141" s="29"/>
      <c r="J1141" s="29"/>
      <c r="K1141" s="29"/>
      <c r="L1141" s="29"/>
      <c r="M1141" s="29"/>
      <c r="N1141" s="29"/>
      <c r="O1141" s="29"/>
      <c r="P1141" s="30"/>
      <c r="Q1141" s="30"/>
      <c r="R1141" s="30"/>
      <c r="S1141" s="31"/>
      <c r="T1141" s="31"/>
      <c r="U1141" s="31"/>
      <c r="V1141" s="31"/>
      <c r="W1141" s="31"/>
      <c r="X1141" s="32"/>
      <c r="Y1141" s="32"/>
      <c r="Z1141" s="32"/>
    </row>
    <row r="1142" spans="1:26">
      <c r="A1142" s="28"/>
      <c r="B1142" s="17">
        <f t="shared" si="43"/>
        <v>46319</v>
      </c>
      <c r="C1142" s="26">
        <f>I1142+J1142+K1142+L1142+M1142+N1142+O1142+IF(P1142="",0,P1142*サマリー!$B$9)+IF(Q1142="",0,IF(Q1142=200,サマリー!$B$10,IF(Q1142=100,サマリー!$B$11,0)))+IF(R1142="",0,R1142*サマリー!$B$12)</f>
        <v>0</v>
      </c>
      <c r="D1142" s="26">
        <f>S1142+T1142+U1142+V1142+W1142+IF(X1142="",0,X1142*サマリー!$B$9)+IF(Y1142="",0,IF(Y1142=200,サマリー!$B$10,IF(Y1142=100,サマリー!$B$11,0)))+IF(Z1142="",0,Z1142*サマリー!$B$12)</f>
        <v>0</v>
      </c>
      <c r="E1142" s="26">
        <f t="shared" si="44"/>
        <v>0</v>
      </c>
      <c r="I1142" s="29"/>
      <c r="J1142" s="29"/>
      <c r="K1142" s="29"/>
      <c r="L1142" s="29"/>
      <c r="M1142" s="29"/>
      <c r="N1142" s="29"/>
      <c r="O1142" s="29"/>
      <c r="P1142" s="30"/>
      <c r="Q1142" s="30"/>
      <c r="R1142" s="30"/>
      <c r="S1142" s="31"/>
      <c r="T1142" s="31"/>
      <c r="U1142" s="31"/>
      <c r="V1142" s="31"/>
      <c r="W1142" s="31"/>
      <c r="X1142" s="32"/>
      <c r="Y1142" s="32"/>
      <c r="Z1142" s="32"/>
    </row>
    <row r="1143" spans="1:26">
      <c r="A1143" s="28"/>
      <c r="B1143" s="17">
        <f t="shared" si="43"/>
        <v>46319</v>
      </c>
      <c r="C1143" s="26">
        <f>I1143+J1143+K1143+L1143+M1143+N1143+O1143+IF(P1143="",0,P1143*サマリー!$B$9)+IF(Q1143="",0,IF(Q1143=200,サマリー!$B$10,IF(Q1143=100,サマリー!$B$11,0)))+IF(R1143="",0,R1143*サマリー!$B$12)</f>
        <v>0</v>
      </c>
      <c r="D1143" s="26">
        <f>S1143+T1143+U1143+V1143+W1143+IF(X1143="",0,X1143*サマリー!$B$9)+IF(Y1143="",0,IF(Y1143=200,サマリー!$B$10,IF(Y1143=100,サマリー!$B$11,0)))+IF(Z1143="",0,Z1143*サマリー!$B$12)</f>
        <v>0</v>
      </c>
      <c r="E1143" s="26">
        <f t="shared" si="44"/>
        <v>0</v>
      </c>
      <c r="I1143" s="29"/>
      <c r="J1143" s="29"/>
      <c r="K1143" s="29"/>
      <c r="L1143" s="29"/>
      <c r="M1143" s="29"/>
      <c r="N1143" s="29"/>
      <c r="O1143" s="29"/>
      <c r="P1143" s="30"/>
      <c r="Q1143" s="30"/>
      <c r="R1143" s="30"/>
      <c r="S1143" s="31"/>
      <c r="T1143" s="31"/>
      <c r="U1143" s="31"/>
      <c r="V1143" s="31"/>
      <c r="W1143" s="31"/>
      <c r="X1143" s="32"/>
      <c r="Y1143" s="32"/>
      <c r="Z1143" s="32"/>
    </row>
    <row r="1144" spans="1:26">
      <c r="A1144" s="28"/>
      <c r="B1144" s="17">
        <f t="shared" si="43"/>
        <v>46319</v>
      </c>
      <c r="C1144" s="26">
        <f>I1144+J1144+K1144+L1144+M1144+N1144+O1144+IF(P1144="",0,P1144*サマリー!$B$9)+IF(Q1144="",0,IF(Q1144=200,サマリー!$B$10,IF(Q1144=100,サマリー!$B$11,0)))+IF(R1144="",0,R1144*サマリー!$B$12)</f>
        <v>0</v>
      </c>
      <c r="D1144" s="26">
        <f>S1144+T1144+U1144+V1144+W1144+IF(X1144="",0,X1144*サマリー!$B$9)+IF(Y1144="",0,IF(Y1144=200,サマリー!$B$10,IF(Y1144=100,サマリー!$B$11,0)))+IF(Z1144="",0,Z1144*サマリー!$B$12)</f>
        <v>0</v>
      </c>
      <c r="E1144" s="26">
        <f t="shared" si="44"/>
        <v>0</v>
      </c>
      <c r="I1144" s="29"/>
      <c r="J1144" s="29"/>
      <c r="K1144" s="29"/>
      <c r="L1144" s="29"/>
      <c r="M1144" s="29"/>
      <c r="N1144" s="29"/>
      <c r="O1144" s="29"/>
      <c r="P1144" s="30"/>
      <c r="Q1144" s="30"/>
      <c r="R1144" s="30"/>
      <c r="S1144" s="31"/>
      <c r="T1144" s="31"/>
      <c r="U1144" s="31"/>
      <c r="V1144" s="31"/>
      <c r="W1144" s="31"/>
      <c r="X1144" s="32"/>
      <c r="Y1144" s="32"/>
      <c r="Z1144" s="32"/>
    </row>
    <row r="1145" spans="1:26">
      <c r="A1145" s="28"/>
      <c r="B1145" s="17">
        <f t="shared" si="43"/>
        <v>46319</v>
      </c>
      <c r="C1145" s="26">
        <f>I1145+J1145+K1145+L1145+M1145+N1145+O1145+IF(P1145="",0,P1145*サマリー!$B$9)+IF(Q1145="",0,IF(Q1145=200,サマリー!$B$10,IF(Q1145=100,サマリー!$B$11,0)))+IF(R1145="",0,R1145*サマリー!$B$12)</f>
        <v>0</v>
      </c>
      <c r="D1145" s="26">
        <f>S1145+T1145+U1145+V1145+W1145+IF(X1145="",0,X1145*サマリー!$B$9)+IF(Y1145="",0,IF(Y1145=200,サマリー!$B$10,IF(Y1145=100,サマリー!$B$11,0)))+IF(Z1145="",0,Z1145*サマリー!$B$12)</f>
        <v>0</v>
      </c>
      <c r="E1145" s="26">
        <f t="shared" si="44"/>
        <v>0</v>
      </c>
      <c r="I1145" s="29"/>
      <c r="J1145" s="29"/>
      <c r="K1145" s="29"/>
      <c r="L1145" s="29"/>
      <c r="M1145" s="29"/>
      <c r="N1145" s="29"/>
      <c r="O1145" s="29"/>
      <c r="P1145" s="30"/>
      <c r="Q1145" s="30"/>
      <c r="R1145" s="30"/>
      <c r="S1145" s="31"/>
      <c r="T1145" s="31"/>
      <c r="U1145" s="31"/>
      <c r="V1145" s="31"/>
      <c r="W1145" s="31"/>
      <c r="X1145" s="32"/>
      <c r="Y1145" s="32"/>
      <c r="Z1145" s="32"/>
    </row>
    <row r="1146" spans="1:26">
      <c r="A1146" s="28"/>
      <c r="B1146" s="17">
        <f t="shared" si="43"/>
        <v>46319</v>
      </c>
      <c r="C1146" s="26">
        <f>I1146+J1146+K1146+L1146+M1146+N1146+O1146+IF(P1146="",0,P1146*サマリー!$B$9)+IF(Q1146="",0,IF(Q1146=200,サマリー!$B$10,IF(Q1146=100,サマリー!$B$11,0)))+IF(R1146="",0,R1146*サマリー!$B$12)</f>
        <v>0</v>
      </c>
      <c r="D1146" s="26">
        <f>S1146+T1146+U1146+V1146+W1146+IF(X1146="",0,X1146*サマリー!$B$9)+IF(Y1146="",0,IF(Y1146=200,サマリー!$B$10,IF(Y1146=100,サマリー!$B$11,0)))+IF(Z1146="",0,Z1146*サマリー!$B$12)</f>
        <v>0</v>
      </c>
      <c r="E1146" s="26">
        <f t="shared" si="44"/>
        <v>0</v>
      </c>
      <c r="I1146" s="29"/>
      <c r="J1146" s="29"/>
      <c r="K1146" s="29"/>
      <c r="L1146" s="29"/>
      <c r="M1146" s="29"/>
      <c r="N1146" s="29"/>
      <c r="O1146" s="29"/>
      <c r="P1146" s="30"/>
      <c r="Q1146" s="30"/>
      <c r="R1146" s="30"/>
      <c r="S1146" s="31"/>
      <c r="T1146" s="31"/>
      <c r="U1146" s="31"/>
      <c r="V1146" s="31"/>
      <c r="W1146" s="31"/>
      <c r="X1146" s="32"/>
      <c r="Y1146" s="32"/>
      <c r="Z1146" s="32"/>
    </row>
    <row r="1147" spans="1:26">
      <c r="A1147" s="28"/>
      <c r="B1147" s="17">
        <f t="shared" si="43"/>
        <v>46319</v>
      </c>
      <c r="C1147" s="26">
        <f>I1147+J1147+K1147+L1147+M1147+N1147+O1147+IF(P1147="",0,P1147*サマリー!$B$9)+IF(Q1147="",0,IF(Q1147=200,サマリー!$B$10,IF(Q1147=100,サマリー!$B$11,0)))+IF(R1147="",0,R1147*サマリー!$B$12)</f>
        <v>0</v>
      </c>
      <c r="D1147" s="26">
        <f>S1147+T1147+U1147+V1147+W1147+IF(X1147="",0,X1147*サマリー!$B$9)+IF(Y1147="",0,IF(Y1147=200,サマリー!$B$10,IF(Y1147=100,サマリー!$B$11,0)))+IF(Z1147="",0,Z1147*サマリー!$B$12)</f>
        <v>0</v>
      </c>
      <c r="E1147" s="26">
        <f t="shared" si="44"/>
        <v>0</v>
      </c>
      <c r="I1147" s="29"/>
      <c r="J1147" s="29"/>
      <c r="K1147" s="29"/>
      <c r="L1147" s="29"/>
      <c r="M1147" s="29"/>
      <c r="N1147" s="29"/>
      <c r="O1147" s="29"/>
      <c r="P1147" s="30"/>
      <c r="Q1147" s="30"/>
      <c r="R1147" s="30"/>
      <c r="S1147" s="31"/>
      <c r="T1147" s="31"/>
      <c r="U1147" s="31"/>
      <c r="V1147" s="31"/>
      <c r="W1147" s="31"/>
      <c r="X1147" s="32"/>
      <c r="Y1147" s="32"/>
      <c r="Z1147" s="32"/>
    </row>
    <row r="1148" spans="1:26">
      <c r="A1148" s="28"/>
      <c r="B1148" s="17">
        <f t="shared" si="43"/>
        <v>46319</v>
      </c>
      <c r="C1148" s="26">
        <f>I1148+J1148+K1148+L1148+M1148+N1148+O1148+IF(P1148="",0,P1148*サマリー!$B$9)+IF(Q1148="",0,IF(Q1148=200,サマリー!$B$10,IF(Q1148=100,サマリー!$B$11,0)))+IF(R1148="",0,R1148*サマリー!$B$12)</f>
        <v>0</v>
      </c>
      <c r="D1148" s="26">
        <f>S1148+T1148+U1148+V1148+W1148+IF(X1148="",0,X1148*サマリー!$B$9)+IF(Y1148="",0,IF(Y1148=200,サマリー!$B$10,IF(Y1148=100,サマリー!$B$11,0)))+IF(Z1148="",0,Z1148*サマリー!$B$12)</f>
        <v>0</v>
      </c>
      <c r="E1148" s="26">
        <f t="shared" si="44"/>
        <v>0</v>
      </c>
      <c r="I1148" s="29"/>
      <c r="J1148" s="29"/>
      <c r="K1148" s="29"/>
      <c r="L1148" s="29"/>
      <c r="M1148" s="29"/>
      <c r="N1148" s="29"/>
      <c r="O1148" s="29"/>
      <c r="P1148" s="30"/>
      <c r="Q1148" s="30"/>
      <c r="R1148" s="30"/>
      <c r="S1148" s="31"/>
      <c r="T1148" s="31"/>
      <c r="U1148" s="31"/>
      <c r="V1148" s="31"/>
      <c r="W1148" s="31"/>
      <c r="X1148" s="32"/>
      <c r="Y1148" s="32"/>
      <c r="Z1148" s="32"/>
    </row>
    <row r="1149" spans="1:26">
      <c r="A1149" s="28"/>
      <c r="B1149" s="17">
        <f t="shared" si="43"/>
        <v>46319</v>
      </c>
      <c r="C1149" s="26">
        <f>I1149+J1149+K1149+L1149+M1149+N1149+O1149+IF(P1149="",0,P1149*サマリー!$B$9)+IF(Q1149="",0,IF(Q1149=200,サマリー!$B$10,IF(Q1149=100,サマリー!$B$11,0)))+IF(R1149="",0,R1149*サマリー!$B$12)</f>
        <v>0</v>
      </c>
      <c r="D1149" s="26">
        <f>S1149+T1149+U1149+V1149+W1149+IF(X1149="",0,X1149*サマリー!$B$9)+IF(Y1149="",0,IF(Y1149=200,サマリー!$B$10,IF(Y1149=100,サマリー!$B$11,0)))+IF(Z1149="",0,Z1149*サマリー!$B$12)</f>
        <v>0</v>
      </c>
      <c r="E1149" s="26">
        <f t="shared" si="44"/>
        <v>0</v>
      </c>
      <c r="I1149" s="29"/>
      <c r="J1149" s="29"/>
      <c r="K1149" s="29"/>
      <c r="L1149" s="29"/>
      <c r="M1149" s="29"/>
      <c r="N1149" s="29"/>
      <c r="O1149" s="29"/>
      <c r="P1149" s="30"/>
      <c r="Q1149" s="30"/>
      <c r="R1149" s="30"/>
      <c r="S1149" s="31"/>
      <c r="T1149" s="31"/>
      <c r="U1149" s="31"/>
      <c r="V1149" s="31"/>
      <c r="W1149" s="31"/>
      <c r="X1149" s="32"/>
      <c r="Y1149" s="32"/>
      <c r="Z1149" s="32"/>
    </row>
    <row r="1150" spans="1:26">
      <c r="A1150" s="28"/>
      <c r="B1150" s="17">
        <f t="shared" si="43"/>
        <v>46319</v>
      </c>
      <c r="C1150" s="26">
        <f>I1150+J1150+K1150+L1150+M1150+N1150+O1150+IF(P1150="",0,P1150*サマリー!$B$9)+IF(Q1150="",0,IF(Q1150=200,サマリー!$B$10,IF(Q1150=100,サマリー!$B$11,0)))+IF(R1150="",0,R1150*サマリー!$B$12)</f>
        <v>0</v>
      </c>
      <c r="D1150" s="26">
        <f>S1150+T1150+U1150+V1150+W1150+IF(X1150="",0,X1150*サマリー!$B$9)+IF(Y1150="",0,IF(Y1150=200,サマリー!$B$10,IF(Y1150=100,サマリー!$B$11,0)))+IF(Z1150="",0,Z1150*サマリー!$B$12)</f>
        <v>0</v>
      </c>
      <c r="E1150" s="26">
        <f t="shared" si="44"/>
        <v>0</v>
      </c>
      <c r="I1150" s="29"/>
      <c r="J1150" s="29"/>
      <c r="K1150" s="29"/>
      <c r="L1150" s="29"/>
      <c r="M1150" s="29"/>
      <c r="N1150" s="29"/>
      <c r="O1150" s="29"/>
      <c r="P1150" s="30"/>
      <c r="Q1150" s="30"/>
      <c r="R1150" s="30"/>
      <c r="S1150" s="31"/>
      <c r="T1150" s="31"/>
      <c r="U1150" s="31"/>
      <c r="V1150" s="31"/>
      <c r="W1150" s="31"/>
      <c r="X1150" s="32"/>
      <c r="Y1150" s="32"/>
      <c r="Z1150" s="32"/>
    </row>
    <row r="1151" spans="1:26">
      <c r="A1151" s="28"/>
      <c r="B1151" s="17">
        <f t="shared" si="43"/>
        <v>46319</v>
      </c>
      <c r="C1151" s="26">
        <f>I1151+J1151+K1151+L1151+M1151+N1151+O1151+IF(P1151="",0,P1151*サマリー!$B$9)+IF(Q1151="",0,IF(Q1151=200,サマリー!$B$10,IF(Q1151=100,サマリー!$B$11,0)))+IF(R1151="",0,R1151*サマリー!$B$12)</f>
        <v>0</v>
      </c>
      <c r="D1151" s="26">
        <f>S1151+T1151+U1151+V1151+W1151+IF(X1151="",0,X1151*サマリー!$B$9)+IF(Y1151="",0,IF(Y1151=200,サマリー!$B$10,IF(Y1151=100,サマリー!$B$11,0)))+IF(Z1151="",0,Z1151*サマリー!$B$12)</f>
        <v>0</v>
      </c>
      <c r="E1151" s="26">
        <f t="shared" si="44"/>
        <v>0</v>
      </c>
      <c r="I1151" s="29"/>
      <c r="J1151" s="29"/>
      <c r="K1151" s="29"/>
      <c r="L1151" s="29"/>
      <c r="M1151" s="29"/>
      <c r="N1151" s="29"/>
      <c r="O1151" s="29"/>
      <c r="P1151" s="30"/>
      <c r="Q1151" s="30"/>
      <c r="R1151" s="30"/>
      <c r="S1151" s="31"/>
      <c r="T1151" s="31"/>
      <c r="U1151" s="31"/>
      <c r="V1151" s="31"/>
      <c r="W1151" s="31"/>
      <c r="X1151" s="32"/>
      <c r="Y1151" s="32"/>
      <c r="Z1151" s="32"/>
    </row>
    <row r="1152" spans="1:26">
      <c r="A1152" s="28"/>
      <c r="B1152" s="17">
        <f t="shared" si="43"/>
        <v>46319</v>
      </c>
      <c r="C1152" s="26">
        <f>I1152+J1152+K1152+L1152+M1152+N1152+O1152+IF(P1152="",0,P1152*サマリー!$B$9)+IF(Q1152="",0,IF(Q1152=200,サマリー!$B$10,IF(Q1152=100,サマリー!$B$11,0)))+IF(R1152="",0,R1152*サマリー!$B$12)</f>
        <v>0</v>
      </c>
      <c r="D1152" s="26">
        <f>S1152+T1152+U1152+V1152+W1152+IF(X1152="",0,X1152*サマリー!$B$9)+IF(Y1152="",0,IF(Y1152=200,サマリー!$B$10,IF(Y1152=100,サマリー!$B$11,0)))+IF(Z1152="",0,Z1152*サマリー!$B$12)</f>
        <v>0</v>
      </c>
      <c r="E1152" s="26">
        <f t="shared" si="44"/>
        <v>0</v>
      </c>
      <c r="I1152" s="29"/>
      <c r="J1152" s="29"/>
      <c r="K1152" s="29"/>
      <c r="L1152" s="29"/>
      <c r="M1152" s="29"/>
      <c r="N1152" s="29"/>
      <c r="O1152" s="29"/>
      <c r="P1152" s="30"/>
      <c r="Q1152" s="30"/>
      <c r="R1152" s="30"/>
      <c r="S1152" s="31"/>
      <c r="T1152" s="31"/>
      <c r="U1152" s="31"/>
      <c r="V1152" s="31"/>
      <c r="W1152" s="31"/>
      <c r="X1152" s="32"/>
      <c r="Y1152" s="32"/>
      <c r="Z1152" s="32"/>
    </row>
    <row r="1153" spans="1:26">
      <c r="A1153" s="28"/>
      <c r="B1153" s="17">
        <f t="shared" ref="B1153:B1216" si="45">IF(A1153="",B1152,IF(A1153&lt;DAY(B1152),DATE(YEAR(B1152),MONTH(B1152)+1,A1153),DATE(YEAR(B1152),MONTH(B1152),A1153)))</f>
        <v>46319</v>
      </c>
      <c r="C1153" s="26">
        <f>I1153+J1153+K1153+L1153+M1153+N1153+O1153+IF(P1153="",0,P1153*サマリー!$B$9)+IF(Q1153="",0,IF(Q1153=200,サマリー!$B$10,IF(Q1153=100,サマリー!$B$11,0)))+IF(R1153="",0,R1153*サマリー!$B$12)</f>
        <v>0</v>
      </c>
      <c r="D1153" s="26">
        <f>S1153+T1153+U1153+V1153+W1153+IF(X1153="",0,X1153*サマリー!$B$9)+IF(Y1153="",0,IF(Y1153=200,サマリー!$B$10,IF(Y1153=100,サマリー!$B$11,0)))+IF(Z1153="",0,Z1153*サマリー!$B$12)</f>
        <v>0</v>
      </c>
      <c r="E1153" s="26">
        <f t="shared" si="44"/>
        <v>0</v>
      </c>
      <c r="I1153" s="29"/>
      <c r="J1153" s="29"/>
      <c r="K1153" s="29"/>
      <c r="L1153" s="29"/>
      <c r="M1153" s="29"/>
      <c r="N1153" s="29"/>
      <c r="O1153" s="29"/>
      <c r="P1153" s="30"/>
      <c r="Q1153" s="30"/>
      <c r="R1153" s="30"/>
      <c r="S1153" s="31"/>
      <c r="T1153" s="31"/>
      <c r="U1153" s="31"/>
      <c r="V1153" s="31"/>
      <c r="W1153" s="31"/>
      <c r="X1153" s="32"/>
      <c r="Y1153" s="32"/>
      <c r="Z1153" s="32"/>
    </row>
    <row r="1154" spans="1:26">
      <c r="A1154" s="28"/>
      <c r="B1154" s="17">
        <f t="shared" si="45"/>
        <v>46319</v>
      </c>
      <c r="C1154" s="26">
        <f>I1154+J1154+K1154+L1154+M1154+N1154+O1154+IF(P1154="",0,P1154*サマリー!$B$9)+IF(Q1154="",0,IF(Q1154=200,サマリー!$B$10,IF(Q1154=100,サマリー!$B$11,0)))+IF(R1154="",0,R1154*サマリー!$B$12)</f>
        <v>0</v>
      </c>
      <c r="D1154" s="26">
        <f>S1154+T1154+U1154+V1154+W1154+IF(X1154="",0,X1154*サマリー!$B$9)+IF(Y1154="",0,IF(Y1154=200,サマリー!$B$10,IF(Y1154=100,サマリー!$B$11,0)))+IF(Z1154="",0,Z1154*サマリー!$B$12)</f>
        <v>0</v>
      </c>
      <c r="E1154" s="26">
        <f t="shared" si="44"/>
        <v>0</v>
      </c>
      <c r="I1154" s="29"/>
      <c r="J1154" s="29"/>
      <c r="K1154" s="29"/>
      <c r="L1154" s="29"/>
      <c r="M1154" s="29"/>
      <c r="N1154" s="29"/>
      <c r="O1154" s="29"/>
      <c r="P1154" s="30"/>
      <c r="Q1154" s="30"/>
      <c r="R1154" s="30"/>
      <c r="S1154" s="31"/>
      <c r="T1154" s="31"/>
      <c r="U1154" s="31"/>
      <c r="V1154" s="31"/>
      <c r="W1154" s="31"/>
      <c r="X1154" s="32"/>
      <c r="Y1154" s="32"/>
      <c r="Z1154" s="32"/>
    </row>
    <row r="1155" spans="1:26">
      <c r="A1155" s="28"/>
      <c r="B1155" s="17">
        <f t="shared" si="45"/>
        <v>46319</v>
      </c>
      <c r="C1155" s="26">
        <f>I1155+J1155+K1155+L1155+M1155+N1155+O1155+IF(P1155="",0,P1155*サマリー!$B$9)+IF(Q1155="",0,IF(Q1155=200,サマリー!$B$10,IF(Q1155=100,サマリー!$B$11,0)))+IF(R1155="",0,R1155*サマリー!$B$12)</f>
        <v>0</v>
      </c>
      <c r="D1155" s="26">
        <f>S1155+T1155+U1155+V1155+W1155+IF(X1155="",0,X1155*サマリー!$B$9)+IF(Y1155="",0,IF(Y1155=200,サマリー!$B$10,IF(Y1155=100,サマリー!$B$11,0)))+IF(Z1155="",0,Z1155*サマリー!$B$12)</f>
        <v>0</v>
      </c>
      <c r="E1155" s="26">
        <f t="shared" si="44"/>
        <v>0</v>
      </c>
      <c r="I1155" s="29"/>
      <c r="J1155" s="29"/>
      <c r="K1155" s="29"/>
      <c r="L1155" s="29"/>
      <c r="M1155" s="29"/>
      <c r="N1155" s="29"/>
      <c r="O1155" s="29"/>
      <c r="P1155" s="30"/>
      <c r="Q1155" s="30"/>
      <c r="R1155" s="30"/>
      <c r="S1155" s="31"/>
      <c r="T1155" s="31"/>
      <c r="U1155" s="31"/>
      <c r="V1155" s="31"/>
      <c r="W1155" s="31"/>
      <c r="X1155" s="32"/>
      <c r="Y1155" s="32"/>
      <c r="Z1155" s="32"/>
    </row>
    <row r="1156" spans="1:26">
      <c r="A1156" s="28"/>
      <c r="B1156" s="17">
        <f t="shared" si="45"/>
        <v>46319</v>
      </c>
      <c r="C1156" s="26">
        <f>I1156+J1156+K1156+L1156+M1156+N1156+O1156+IF(P1156="",0,P1156*サマリー!$B$9)+IF(Q1156="",0,IF(Q1156=200,サマリー!$B$10,IF(Q1156=100,サマリー!$B$11,0)))+IF(R1156="",0,R1156*サマリー!$B$12)</f>
        <v>0</v>
      </c>
      <c r="D1156" s="26">
        <f>S1156+T1156+U1156+V1156+W1156+IF(X1156="",0,X1156*サマリー!$B$9)+IF(Y1156="",0,IF(Y1156=200,サマリー!$B$10,IF(Y1156=100,サマリー!$B$11,0)))+IF(Z1156="",0,Z1156*サマリー!$B$12)</f>
        <v>0</v>
      </c>
      <c r="E1156" s="26">
        <f t="shared" si="44"/>
        <v>0</v>
      </c>
      <c r="I1156" s="29"/>
      <c r="J1156" s="29"/>
      <c r="K1156" s="29"/>
      <c r="L1156" s="29"/>
      <c r="M1156" s="29"/>
      <c r="N1156" s="29"/>
      <c r="O1156" s="29"/>
      <c r="P1156" s="30"/>
      <c r="Q1156" s="30"/>
      <c r="R1156" s="30"/>
      <c r="S1156" s="31"/>
      <c r="T1156" s="31"/>
      <c r="U1156" s="31"/>
      <c r="V1156" s="31"/>
      <c r="W1156" s="31"/>
      <c r="X1156" s="32"/>
      <c r="Y1156" s="32"/>
      <c r="Z1156" s="32"/>
    </row>
    <row r="1157" spans="1:26">
      <c r="A1157" s="28"/>
      <c r="B1157" s="17">
        <f t="shared" si="45"/>
        <v>46319</v>
      </c>
      <c r="C1157" s="26">
        <f>I1157+J1157+K1157+L1157+M1157+N1157+O1157+IF(P1157="",0,P1157*サマリー!$B$9)+IF(Q1157="",0,IF(Q1157=200,サマリー!$B$10,IF(Q1157=100,サマリー!$B$11,0)))+IF(R1157="",0,R1157*サマリー!$B$12)</f>
        <v>0</v>
      </c>
      <c r="D1157" s="26">
        <f>S1157+T1157+U1157+V1157+W1157+IF(X1157="",0,X1157*サマリー!$B$9)+IF(Y1157="",0,IF(Y1157=200,サマリー!$B$10,IF(Y1157=100,サマリー!$B$11,0)))+IF(Z1157="",0,Z1157*サマリー!$B$12)</f>
        <v>0</v>
      </c>
      <c r="E1157" s="26">
        <f t="shared" si="44"/>
        <v>0</v>
      </c>
      <c r="I1157" s="29"/>
      <c r="J1157" s="29"/>
      <c r="K1157" s="29"/>
      <c r="L1157" s="29"/>
      <c r="M1157" s="29"/>
      <c r="N1157" s="29"/>
      <c r="O1157" s="29"/>
      <c r="P1157" s="30"/>
      <c r="Q1157" s="30"/>
      <c r="R1157" s="30"/>
      <c r="S1157" s="31"/>
      <c r="T1157" s="31"/>
      <c r="U1157" s="31"/>
      <c r="V1157" s="31"/>
      <c r="W1157" s="31"/>
      <c r="X1157" s="32"/>
      <c r="Y1157" s="32"/>
      <c r="Z1157" s="32"/>
    </row>
    <row r="1158" spans="1:26">
      <c r="A1158" s="28"/>
      <c r="B1158" s="17">
        <f t="shared" si="45"/>
        <v>46319</v>
      </c>
      <c r="C1158" s="26">
        <f>I1158+J1158+K1158+L1158+M1158+N1158+O1158+IF(P1158="",0,P1158*サマリー!$B$9)+IF(Q1158="",0,IF(Q1158=200,サマリー!$B$10,IF(Q1158=100,サマリー!$B$11,0)))+IF(R1158="",0,R1158*サマリー!$B$12)</f>
        <v>0</v>
      </c>
      <c r="D1158" s="26">
        <f>S1158+T1158+U1158+V1158+W1158+IF(X1158="",0,X1158*サマリー!$B$9)+IF(Y1158="",0,IF(Y1158=200,サマリー!$B$10,IF(Y1158=100,サマリー!$B$11,0)))+IF(Z1158="",0,Z1158*サマリー!$B$12)</f>
        <v>0</v>
      </c>
      <c r="E1158" s="26">
        <f t="shared" si="44"/>
        <v>0</v>
      </c>
      <c r="I1158" s="29"/>
      <c r="J1158" s="29"/>
      <c r="K1158" s="29"/>
      <c r="L1158" s="29"/>
      <c r="M1158" s="29"/>
      <c r="N1158" s="29"/>
      <c r="O1158" s="29"/>
      <c r="P1158" s="30"/>
      <c r="Q1158" s="30"/>
      <c r="R1158" s="30"/>
      <c r="S1158" s="31"/>
      <c r="T1158" s="31"/>
      <c r="U1158" s="31"/>
      <c r="V1158" s="31"/>
      <c r="W1158" s="31"/>
      <c r="X1158" s="32"/>
      <c r="Y1158" s="32"/>
      <c r="Z1158" s="32"/>
    </row>
    <row r="1159" spans="1:26">
      <c r="A1159" s="28"/>
      <c r="B1159" s="17">
        <f t="shared" si="45"/>
        <v>46319</v>
      </c>
      <c r="C1159" s="26">
        <f>I1159+J1159+K1159+L1159+M1159+N1159+O1159+IF(P1159="",0,P1159*サマリー!$B$9)+IF(Q1159="",0,IF(Q1159=200,サマリー!$B$10,IF(Q1159=100,サマリー!$B$11,0)))+IF(R1159="",0,R1159*サマリー!$B$12)</f>
        <v>0</v>
      </c>
      <c r="D1159" s="26">
        <f>S1159+T1159+U1159+V1159+W1159+IF(X1159="",0,X1159*サマリー!$B$9)+IF(Y1159="",0,IF(Y1159=200,サマリー!$B$10,IF(Y1159=100,サマリー!$B$11,0)))+IF(Z1159="",0,Z1159*サマリー!$B$12)</f>
        <v>0</v>
      </c>
      <c r="E1159" s="26">
        <f t="shared" si="44"/>
        <v>0</v>
      </c>
      <c r="I1159" s="29"/>
      <c r="J1159" s="29"/>
      <c r="K1159" s="29"/>
      <c r="L1159" s="29"/>
      <c r="M1159" s="29"/>
      <c r="N1159" s="29"/>
      <c r="O1159" s="29"/>
      <c r="P1159" s="30"/>
      <c r="Q1159" s="30"/>
      <c r="R1159" s="30"/>
      <c r="S1159" s="31"/>
      <c r="T1159" s="31"/>
      <c r="U1159" s="31"/>
      <c r="V1159" s="31"/>
      <c r="W1159" s="31"/>
      <c r="X1159" s="32"/>
      <c r="Y1159" s="32"/>
      <c r="Z1159" s="32"/>
    </row>
    <row r="1160" spans="1:26">
      <c r="A1160" s="28"/>
      <c r="B1160" s="17">
        <f t="shared" si="45"/>
        <v>46319</v>
      </c>
      <c r="C1160" s="26">
        <f>I1160+J1160+K1160+L1160+M1160+N1160+O1160+IF(P1160="",0,P1160*サマリー!$B$9)+IF(Q1160="",0,IF(Q1160=200,サマリー!$B$10,IF(Q1160=100,サマリー!$B$11,0)))+IF(R1160="",0,R1160*サマリー!$B$12)</f>
        <v>0</v>
      </c>
      <c r="D1160" s="26">
        <f>S1160+T1160+U1160+V1160+W1160+IF(X1160="",0,X1160*サマリー!$B$9)+IF(Y1160="",0,IF(Y1160=200,サマリー!$B$10,IF(Y1160=100,サマリー!$B$11,0)))+IF(Z1160="",0,Z1160*サマリー!$B$12)</f>
        <v>0</v>
      </c>
      <c r="E1160" s="26">
        <f t="shared" si="44"/>
        <v>0</v>
      </c>
      <c r="I1160" s="29"/>
      <c r="J1160" s="29"/>
      <c r="K1160" s="29"/>
      <c r="L1160" s="29"/>
      <c r="M1160" s="29"/>
      <c r="N1160" s="29"/>
      <c r="O1160" s="29"/>
      <c r="P1160" s="30"/>
      <c r="Q1160" s="30"/>
      <c r="R1160" s="30"/>
      <c r="S1160" s="31"/>
      <c r="T1160" s="31"/>
      <c r="U1160" s="31"/>
      <c r="V1160" s="31"/>
      <c r="W1160" s="31"/>
      <c r="X1160" s="32"/>
      <c r="Y1160" s="32"/>
      <c r="Z1160" s="32"/>
    </row>
    <row r="1161" spans="1:26">
      <c r="A1161" s="28"/>
      <c r="B1161" s="17">
        <f t="shared" si="45"/>
        <v>46319</v>
      </c>
      <c r="C1161" s="26">
        <f>I1161+J1161+K1161+L1161+M1161+N1161+O1161+IF(P1161="",0,P1161*サマリー!$B$9)+IF(Q1161="",0,IF(Q1161=200,サマリー!$B$10,IF(Q1161=100,サマリー!$B$11,0)))+IF(R1161="",0,R1161*サマリー!$B$12)</f>
        <v>0</v>
      </c>
      <c r="D1161" s="26">
        <f>S1161+T1161+U1161+V1161+W1161+IF(X1161="",0,X1161*サマリー!$B$9)+IF(Y1161="",0,IF(Y1161=200,サマリー!$B$10,IF(Y1161=100,サマリー!$B$11,0)))+IF(Z1161="",0,Z1161*サマリー!$B$12)</f>
        <v>0</v>
      </c>
      <c r="E1161" s="26">
        <f t="shared" si="44"/>
        <v>0</v>
      </c>
      <c r="I1161" s="29"/>
      <c r="J1161" s="29"/>
      <c r="K1161" s="29"/>
      <c r="L1161" s="29"/>
      <c r="M1161" s="29"/>
      <c r="N1161" s="29"/>
      <c r="O1161" s="29"/>
      <c r="P1161" s="30"/>
      <c r="Q1161" s="30"/>
      <c r="R1161" s="30"/>
      <c r="S1161" s="31"/>
      <c r="T1161" s="31"/>
      <c r="U1161" s="31"/>
      <c r="V1161" s="31"/>
      <c r="W1161" s="31"/>
      <c r="X1161" s="32"/>
      <c r="Y1161" s="32"/>
      <c r="Z1161" s="32"/>
    </row>
    <row r="1162" spans="1:26">
      <c r="A1162" s="28"/>
      <c r="B1162" s="17">
        <f t="shared" si="45"/>
        <v>46319</v>
      </c>
      <c r="C1162" s="26">
        <f>I1162+J1162+K1162+L1162+M1162+N1162+O1162+IF(P1162="",0,P1162*サマリー!$B$9)+IF(Q1162="",0,IF(Q1162=200,サマリー!$B$10,IF(Q1162=100,サマリー!$B$11,0)))+IF(R1162="",0,R1162*サマリー!$B$12)</f>
        <v>0</v>
      </c>
      <c r="D1162" s="26">
        <f>S1162+T1162+U1162+V1162+W1162+IF(X1162="",0,X1162*サマリー!$B$9)+IF(Y1162="",0,IF(Y1162=200,サマリー!$B$10,IF(Y1162=100,サマリー!$B$11,0)))+IF(Z1162="",0,Z1162*サマリー!$B$12)</f>
        <v>0</v>
      </c>
      <c r="E1162" s="26">
        <f t="shared" si="44"/>
        <v>0</v>
      </c>
      <c r="I1162" s="29"/>
      <c r="J1162" s="29"/>
      <c r="K1162" s="29"/>
      <c r="L1162" s="29"/>
      <c r="M1162" s="29"/>
      <c r="N1162" s="29"/>
      <c r="O1162" s="29"/>
      <c r="P1162" s="30"/>
      <c r="Q1162" s="30"/>
      <c r="R1162" s="30"/>
      <c r="S1162" s="31"/>
      <c r="T1162" s="31"/>
      <c r="U1162" s="31"/>
      <c r="V1162" s="31"/>
      <c r="W1162" s="31"/>
      <c r="X1162" s="32"/>
      <c r="Y1162" s="32"/>
      <c r="Z1162" s="32"/>
    </row>
    <row r="1163" spans="1:26">
      <c r="A1163" s="28"/>
      <c r="B1163" s="17">
        <f t="shared" si="45"/>
        <v>46319</v>
      </c>
      <c r="C1163" s="26">
        <f>I1163+J1163+K1163+L1163+M1163+N1163+O1163+IF(P1163="",0,P1163*サマリー!$B$9)+IF(Q1163="",0,IF(Q1163=200,サマリー!$B$10,IF(Q1163=100,サマリー!$B$11,0)))+IF(R1163="",0,R1163*サマリー!$B$12)</f>
        <v>0</v>
      </c>
      <c r="D1163" s="26">
        <f>S1163+T1163+U1163+V1163+W1163+IF(X1163="",0,X1163*サマリー!$B$9)+IF(Y1163="",0,IF(Y1163=200,サマリー!$B$10,IF(Y1163=100,サマリー!$B$11,0)))+IF(Z1163="",0,Z1163*サマリー!$B$12)</f>
        <v>0</v>
      </c>
      <c r="E1163" s="26">
        <f t="shared" si="44"/>
        <v>0</v>
      </c>
      <c r="I1163" s="29"/>
      <c r="J1163" s="29"/>
      <c r="K1163" s="29"/>
      <c r="L1163" s="29"/>
      <c r="M1163" s="29"/>
      <c r="N1163" s="29"/>
      <c r="O1163" s="29"/>
      <c r="P1163" s="30"/>
      <c r="Q1163" s="30"/>
      <c r="R1163" s="30"/>
      <c r="S1163" s="31"/>
      <c r="T1163" s="31"/>
      <c r="U1163" s="31"/>
      <c r="V1163" s="31"/>
      <c r="W1163" s="31"/>
      <c r="X1163" s="32"/>
      <c r="Y1163" s="32"/>
      <c r="Z1163" s="32"/>
    </row>
    <row r="1164" spans="1:26">
      <c r="A1164" s="28"/>
      <c r="B1164" s="17">
        <f t="shared" si="45"/>
        <v>46319</v>
      </c>
      <c r="C1164" s="26">
        <f>I1164+J1164+K1164+L1164+M1164+N1164+O1164+IF(P1164="",0,P1164*サマリー!$B$9)+IF(Q1164="",0,IF(Q1164=200,サマリー!$B$10,IF(Q1164=100,サマリー!$B$11,0)))+IF(R1164="",0,R1164*サマリー!$B$12)</f>
        <v>0</v>
      </c>
      <c r="D1164" s="26">
        <f>S1164+T1164+U1164+V1164+W1164+IF(X1164="",0,X1164*サマリー!$B$9)+IF(Y1164="",0,IF(Y1164=200,サマリー!$B$10,IF(Y1164=100,サマリー!$B$11,0)))+IF(Z1164="",0,Z1164*サマリー!$B$12)</f>
        <v>0</v>
      </c>
      <c r="E1164" s="26">
        <f t="shared" si="44"/>
        <v>0</v>
      </c>
      <c r="I1164" s="29"/>
      <c r="J1164" s="29"/>
      <c r="K1164" s="29"/>
      <c r="L1164" s="29"/>
      <c r="M1164" s="29"/>
      <c r="N1164" s="29"/>
      <c r="O1164" s="29"/>
      <c r="P1164" s="30"/>
      <c r="Q1164" s="30"/>
      <c r="R1164" s="30"/>
      <c r="S1164" s="31"/>
      <c r="T1164" s="31"/>
      <c r="U1164" s="31"/>
      <c r="V1164" s="31"/>
      <c r="W1164" s="31"/>
      <c r="X1164" s="32"/>
      <c r="Y1164" s="32"/>
      <c r="Z1164" s="32"/>
    </row>
    <row r="1165" spans="1:26">
      <c r="A1165" s="28"/>
      <c r="B1165" s="17">
        <f t="shared" si="45"/>
        <v>46319</v>
      </c>
      <c r="C1165" s="26">
        <f>I1165+J1165+K1165+L1165+M1165+N1165+O1165+IF(P1165="",0,P1165*サマリー!$B$9)+IF(Q1165="",0,IF(Q1165=200,サマリー!$B$10,IF(Q1165=100,サマリー!$B$11,0)))+IF(R1165="",0,R1165*サマリー!$B$12)</f>
        <v>0</v>
      </c>
      <c r="D1165" s="26">
        <f>S1165+T1165+U1165+V1165+W1165+IF(X1165="",0,X1165*サマリー!$B$9)+IF(Y1165="",0,IF(Y1165=200,サマリー!$B$10,IF(Y1165=100,サマリー!$B$11,0)))+IF(Z1165="",0,Z1165*サマリー!$B$12)</f>
        <v>0</v>
      </c>
      <c r="E1165" s="26">
        <f t="shared" si="44"/>
        <v>0</v>
      </c>
      <c r="I1165" s="29"/>
      <c r="J1165" s="29"/>
      <c r="K1165" s="29"/>
      <c r="L1165" s="29"/>
      <c r="M1165" s="29"/>
      <c r="N1165" s="29"/>
      <c r="O1165" s="29"/>
      <c r="P1165" s="30"/>
      <c r="Q1165" s="30"/>
      <c r="R1165" s="30"/>
      <c r="S1165" s="31"/>
      <c r="T1165" s="31"/>
      <c r="U1165" s="31"/>
      <c r="V1165" s="31"/>
      <c r="W1165" s="31"/>
      <c r="X1165" s="32"/>
      <c r="Y1165" s="32"/>
      <c r="Z1165" s="32"/>
    </row>
    <row r="1166" spans="1:26">
      <c r="A1166" s="28"/>
      <c r="B1166" s="17">
        <f t="shared" si="45"/>
        <v>46319</v>
      </c>
      <c r="C1166" s="26">
        <f>I1166+J1166+K1166+L1166+M1166+N1166+O1166+IF(P1166="",0,P1166*サマリー!$B$9)+IF(Q1166="",0,IF(Q1166=200,サマリー!$B$10,IF(Q1166=100,サマリー!$B$11,0)))+IF(R1166="",0,R1166*サマリー!$B$12)</f>
        <v>0</v>
      </c>
      <c r="D1166" s="26">
        <f>S1166+T1166+U1166+V1166+W1166+IF(X1166="",0,X1166*サマリー!$B$9)+IF(Y1166="",0,IF(Y1166=200,サマリー!$B$10,IF(Y1166=100,サマリー!$B$11,0)))+IF(Z1166="",0,Z1166*サマリー!$B$12)</f>
        <v>0</v>
      </c>
      <c r="E1166" s="26">
        <f t="shared" si="44"/>
        <v>0</v>
      </c>
      <c r="I1166" s="29"/>
      <c r="J1166" s="29"/>
      <c r="K1166" s="29"/>
      <c r="L1166" s="29"/>
      <c r="M1166" s="29"/>
      <c r="N1166" s="29"/>
      <c r="O1166" s="29"/>
      <c r="P1166" s="30"/>
      <c r="Q1166" s="30"/>
      <c r="R1166" s="30"/>
      <c r="S1166" s="31"/>
      <c r="T1166" s="31"/>
      <c r="U1166" s="31"/>
      <c r="V1166" s="31"/>
      <c r="W1166" s="31"/>
      <c r="X1166" s="32"/>
      <c r="Y1166" s="32"/>
      <c r="Z1166" s="32"/>
    </row>
    <row r="1167" spans="1:26">
      <c r="A1167" s="28"/>
      <c r="B1167" s="17">
        <f t="shared" si="45"/>
        <v>46319</v>
      </c>
      <c r="C1167" s="26">
        <f>I1167+J1167+K1167+L1167+M1167+N1167+O1167+IF(P1167="",0,P1167*サマリー!$B$9)+IF(Q1167="",0,IF(Q1167=200,サマリー!$B$10,IF(Q1167=100,サマリー!$B$11,0)))+IF(R1167="",0,R1167*サマリー!$B$12)</f>
        <v>0</v>
      </c>
      <c r="D1167" s="26">
        <f>S1167+T1167+U1167+V1167+W1167+IF(X1167="",0,X1167*サマリー!$B$9)+IF(Y1167="",0,IF(Y1167=200,サマリー!$B$10,IF(Y1167=100,サマリー!$B$11,0)))+IF(Z1167="",0,Z1167*サマリー!$B$12)</f>
        <v>0</v>
      </c>
      <c r="E1167" s="26">
        <f t="shared" si="44"/>
        <v>0</v>
      </c>
      <c r="I1167" s="29"/>
      <c r="J1167" s="29"/>
      <c r="K1167" s="29"/>
      <c r="L1167" s="29"/>
      <c r="M1167" s="29"/>
      <c r="N1167" s="29"/>
      <c r="O1167" s="29"/>
      <c r="P1167" s="30"/>
      <c r="Q1167" s="30"/>
      <c r="R1167" s="30"/>
      <c r="S1167" s="31"/>
      <c r="T1167" s="31"/>
      <c r="U1167" s="31"/>
      <c r="V1167" s="31"/>
      <c r="W1167" s="31"/>
      <c r="X1167" s="32"/>
      <c r="Y1167" s="32"/>
      <c r="Z1167" s="32"/>
    </row>
    <row r="1168" spans="1:26">
      <c r="A1168" s="28"/>
      <c r="B1168" s="17">
        <f t="shared" si="45"/>
        <v>46319</v>
      </c>
      <c r="C1168" s="26">
        <f>I1168+J1168+K1168+L1168+M1168+N1168+O1168+IF(P1168="",0,P1168*サマリー!$B$9)+IF(Q1168="",0,IF(Q1168=200,サマリー!$B$10,IF(Q1168=100,サマリー!$B$11,0)))+IF(R1168="",0,R1168*サマリー!$B$12)</f>
        <v>0</v>
      </c>
      <c r="D1168" s="26">
        <f>S1168+T1168+U1168+V1168+W1168+IF(X1168="",0,X1168*サマリー!$B$9)+IF(Y1168="",0,IF(Y1168=200,サマリー!$B$10,IF(Y1168=100,サマリー!$B$11,0)))+IF(Z1168="",0,Z1168*サマリー!$B$12)</f>
        <v>0</v>
      </c>
      <c r="E1168" s="26">
        <f t="shared" si="44"/>
        <v>0</v>
      </c>
      <c r="I1168" s="29"/>
      <c r="J1168" s="29"/>
      <c r="K1168" s="29"/>
      <c r="L1168" s="29"/>
      <c r="M1168" s="29"/>
      <c r="N1168" s="29"/>
      <c r="O1168" s="29"/>
      <c r="P1168" s="30"/>
      <c r="Q1168" s="30"/>
      <c r="R1168" s="30"/>
      <c r="S1168" s="31"/>
      <c r="T1168" s="31"/>
      <c r="U1168" s="31"/>
      <c r="V1168" s="31"/>
      <c r="W1168" s="31"/>
      <c r="X1168" s="32"/>
      <c r="Y1168" s="32"/>
      <c r="Z1168" s="32"/>
    </row>
    <row r="1169" spans="1:26">
      <c r="A1169" s="28"/>
      <c r="B1169" s="17">
        <f t="shared" si="45"/>
        <v>46319</v>
      </c>
      <c r="C1169" s="26">
        <f>I1169+J1169+K1169+L1169+M1169+N1169+O1169+IF(P1169="",0,P1169*サマリー!$B$9)+IF(Q1169="",0,IF(Q1169=200,サマリー!$B$10,IF(Q1169=100,サマリー!$B$11,0)))+IF(R1169="",0,R1169*サマリー!$B$12)</f>
        <v>0</v>
      </c>
      <c r="D1169" s="26">
        <f>S1169+T1169+U1169+V1169+W1169+IF(X1169="",0,X1169*サマリー!$B$9)+IF(Y1169="",0,IF(Y1169=200,サマリー!$B$10,IF(Y1169=100,サマリー!$B$11,0)))+IF(Z1169="",0,Z1169*サマリー!$B$12)</f>
        <v>0</v>
      </c>
      <c r="E1169" s="26">
        <f t="shared" si="44"/>
        <v>0</v>
      </c>
      <c r="I1169" s="29"/>
      <c r="J1169" s="29"/>
      <c r="K1169" s="29"/>
      <c r="L1169" s="29"/>
      <c r="M1169" s="29"/>
      <c r="N1169" s="29"/>
      <c r="O1169" s="29"/>
      <c r="P1169" s="30"/>
      <c r="Q1169" s="30"/>
      <c r="R1169" s="30"/>
      <c r="S1169" s="31"/>
      <c r="T1169" s="31"/>
      <c r="U1169" s="31"/>
      <c r="V1169" s="31"/>
      <c r="W1169" s="31"/>
      <c r="X1169" s="32"/>
      <c r="Y1169" s="32"/>
      <c r="Z1169" s="32"/>
    </row>
    <row r="1170" spans="1:26">
      <c r="A1170" s="28"/>
      <c r="B1170" s="17">
        <f t="shared" si="45"/>
        <v>46319</v>
      </c>
      <c r="C1170" s="26">
        <f>I1170+J1170+K1170+L1170+M1170+N1170+O1170+IF(P1170="",0,P1170*サマリー!$B$9)+IF(Q1170="",0,IF(Q1170=200,サマリー!$B$10,IF(Q1170=100,サマリー!$B$11,0)))+IF(R1170="",0,R1170*サマリー!$B$12)</f>
        <v>0</v>
      </c>
      <c r="D1170" s="26">
        <f>S1170+T1170+U1170+V1170+W1170+IF(X1170="",0,X1170*サマリー!$B$9)+IF(Y1170="",0,IF(Y1170=200,サマリー!$B$10,IF(Y1170=100,サマリー!$B$11,0)))+IF(Z1170="",0,Z1170*サマリー!$B$12)</f>
        <v>0</v>
      </c>
      <c r="E1170" s="26">
        <f t="shared" si="44"/>
        <v>0</v>
      </c>
      <c r="I1170" s="29"/>
      <c r="J1170" s="29"/>
      <c r="K1170" s="29"/>
      <c r="L1170" s="29"/>
      <c r="M1170" s="29"/>
      <c r="N1170" s="29"/>
      <c r="O1170" s="29"/>
      <c r="P1170" s="30"/>
      <c r="Q1170" s="30"/>
      <c r="R1170" s="30"/>
      <c r="S1170" s="31"/>
      <c r="T1170" s="31"/>
      <c r="U1170" s="31"/>
      <c r="V1170" s="31"/>
      <c r="W1170" s="31"/>
      <c r="X1170" s="32"/>
      <c r="Y1170" s="32"/>
      <c r="Z1170" s="32"/>
    </row>
    <row r="1171" spans="1:26">
      <c r="A1171" s="28"/>
      <c r="B1171" s="17">
        <f t="shared" si="45"/>
        <v>46319</v>
      </c>
      <c r="C1171" s="26">
        <f>I1171+J1171+K1171+L1171+M1171+N1171+O1171+IF(P1171="",0,P1171*サマリー!$B$9)+IF(Q1171="",0,IF(Q1171=200,サマリー!$B$10,IF(Q1171=100,サマリー!$B$11,0)))+IF(R1171="",0,R1171*サマリー!$B$12)</f>
        <v>0</v>
      </c>
      <c r="D1171" s="26">
        <f>S1171+T1171+U1171+V1171+W1171+IF(X1171="",0,X1171*サマリー!$B$9)+IF(Y1171="",0,IF(Y1171=200,サマリー!$B$10,IF(Y1171=100,サマリー!$B$11,0)))+IF(Z1171="",0,Z1171*サマリー!$B$12)</f>
        <v>0</v>
      </c>
      <c r="E1171" s="26">
        <f t="shared" si="44"/>
        <v>0</v>
      </c>
      <c r="I1171" s="29"/>
      <c r="J1171" s="29"/>
      <c r="K1171" s="29"/>
      <c r="L1171" s="29"/>
      <c r="M1171" s="29"/>
      <c r="N1171" s="29"/>
      <c r="O1171" s="29"/>
      <c r="P1171" s="30"/>
      <c r="Q1171" s="30"/>
      <c r="R1171" s="30"/>
      <c r="S1171" s="31"/>
      <c r="T1171" s="31"/>
      <c r="U1171" s="31"/>
      <c r="V1171" s="31"/>
      <c r="W1171" s="31"/>
      <c r="X1171" s="32"/>
      <c r="Y1171" s="32"/>
      <c r="Z1171" s="32"/>
    </row>
    <row r="1172" spans="1:26">
      <c r="A1172" s="28"/>
      <c r="B1172" s="17">
        <f t="shared" si="45"/>
        <v>46319</v>
      </c>
      <c r="C1172" s="26">
        <f>I1172+J1172+K1172+L1172+M1172+N1172+O1172+IF(P1172="",0,P1172*サマリー!$B$9)+IF(Q1172="",0,IF(Q1172=200,サマリー!$B$10,IF(Q1172=100,サマリー!$B$11,0)))+IF(R1172="",0,R1172*サマリー!$B$12)</f>
        <v>0</v>
      </c>
      <c r="D1172" s="26">
        <f>S1172+T1172+U1172+V1172+W1172+IF(X1172="",0,X1172*サマリー!$B$9)+IF(Y1172="",0,IF(Y1172=200,サマリー!$B$10,IF(Y1172=100,サマリー!$B$11,0)))+IF(Z1172="",0,Z1172*サマリー!$B$12)</f>
        <v>0</v>
      </c>
      <c r="E1172" s="26">
        <f t="shared" si="44"/>
        <v>0</v>
      </c>
      <c r="I1172" s="29"/>
      <c r="J1172" s="29"/>
      <c r="K1172" s="29"/>
      <c r="L1172" s="29"/>
      <c r="M1172" s="29"/>
      <c r="N1172" s="29"/>
      <c r="O1172" s="29"/>
      <c r="P1172" s="30"/>
      <c r="Q1172" s="30"/>
      <c r="R1172" s="30"/>
      <c r="S1172" s="31"/>
      <c r="T1172" s="31"/>
      <c r="U1172" s="31"/>
      <c r="V1172" s="31"/>
      <c r="W1172" s="31"/>
      <c r="X1172" s="32"/>
      <c r="Y1172" s="32"/>
      <c r="Z1172" s="32"/>
    </row>
    <row r="1173" spans="1:26">
      <c r="A1173" s="28"/>
      <c r="B1173" s="17">
        <f t="shared" si="45"/>
        <v>46319</v>
      </c>
      <c r="C1173" s="26">
        <f>I1173+J1173+K1173+L1173+M1173+N1173+O1173+IF(P1173="",0,P1173*サマリー!$B$9)+IF(Q1173="",0,IF(Q1173=200,サマリー!$B$10,IF(Q1173=100,サマリー!$B$11,0)))+IF(R1173="",0,R1173*サマリー!$B$12)</f>
        <v>0</v>
      </c>
      <c r="D1173" s="26">
        <f>S1173+T1173+U1173+V1173+W1173+IF(X1173="",0,X1173*サマリー!$B$9)+IF(Y1173="",0,IF(Y1173=200,サマリー!$B$10,IF(Y1173=100,サマリー!$B$11,0)))+IF(Z1173="",0,Z1173*サマリー!$B$12)</f>
        <v>0</v>
      </c>
      <c r="E1173" s="26">
        <f t="shared" si="44"/>
        <v>0</v>
      </c>
      <c r="I1173" s="29"/>
      <c r="J1173" s="29"/>
      <c r="K1173" s="29"/>
      <c r="L1173" s="29"/>
      <c r="M1173" s="29"/>
      <c r="N1173" s="29"/>
      <c r="O1173" s="29"/>
      <c r="P1173" s="30"/>
      <c r="Q1173" s="30"/>
      <c r="R1173" s="30"/>
      <c r="S1173" s="31"/>
      <c r="T1173" s="31"/>
      <c r="U1173" s="31"/>
      <c r="V1173" s="31"/>
      <c r="W1173" s="31"/>
      <c r="X1173" s="32"/>
      <c r="Y1173" s="32"/>
      <c r="Z1173" s="32"/>
    </row>
    <row r="1174" spans="1:26">
      <c r="A1174" s="28"/>
      <c r="B1174" s="17">
        <f t="shared" si="45"/>
        <v>46319</v>
      </c>
      <c r="C1174" s="26">
        <f>I1174+J1174+K1174+L1174+M1174+N1174+O1174+IF(P1174="",0,P1174*サマリー!$B$9)+IF(Q1174="",0,IF(Q1174=200,サマリー!$B$10,IF(Q1174=100,サマリー!$B$11,0)))+IF(R1174="",0,R1174*サマリー!$B$12)</f>
        <v>0</v>
      </c>
      <c r="D1174" s="26">
        <f>S1174+T1174+U1174+V1174+W1174+IF(X1174="",0,X1174*サマリー!$B$9)+IF(Y1174="",0,IF(Y1174=200,サマリー!$B$10,IF(Y1174=100,サマリー!$B$11,0)))+IF(Z1174="",0,Z1174*サマリー!$B$12)</f>
        <v>0</v>
      </c>
      <c r="E1174" s="26">
        <f t="shared" si="44"/>
        <v>0</v>
      </c>
      <c r="I1174" s="29"/>
      <c r="J1174" s="29"/>
      <c r="K1174" s="29"/>
      <c r="L1174" s="29"/>
      <c r="M1174" s="29"/>
      <c r="N1174" s="29"/>
      <c r="O1174" s="29"/>
      <c r="P1174" s="30"/>
      <c r="Q1174" s="30"/>
      <c r="R1174" s="30"/>
      <c r="S1174" s="31"/>
      <c r="T1174" s="31"/>
      <c r="U1174" s="31"/>
      <c r="V1174" s="31"/>
      <c r="W1174" s="31"/>
      <c r="X1174" s="32"/>
      <c r="Y1174" s="32"/>
      <c r="Z1174" s="32"/>
    </row>
    <row r="1175" spans="1:26">
      <c r="A1175" s="28"/>
      <c r="B1175" s="17">
        <f t="shared" si="45"/>
        <v>46319</v>
      </c>
      <c r="C1175" s="26">
        <f>I1175+J1175+K1175+L1175+M1175+N1175+O1175+IF(P1175="",0,P1175*サマリー!$B$9)+IF(Q1175="",0,IF(Q1175=200,サマリー!$B$10,IF(Q1175=100,サマリー!$B$11,0)))+IF(R1175="",0,R1175*サマリー!$B$12)</f>
        <v>0</v>
      </c>
      <c r="D1175" s="26">
        <f>S1175+T1175+U1175+V1175+W1175+IF(X1175="",0,X1175*サマリー!$B$9)+IF(Y1175="",0,IF(Y1175=200,サマリー!$B$10,IF(Y1175=100,サマリー!$B$11,0)))+IF(Z1175="",0,Z1175*サマリー!$B$12)</f>
        <v>0</v>
      </c>
      <c r="E1175" s="26">
        <f t="shared" si="44"/>
        <v>0</v>
      </c>
      <c r="I1175" s="29"/>
      <c r="J1175" s="29"/>
      <c r="K1175" s="29"/>
      <c r="L1175" s="29"/>
      <c r="M1175" s="29"/>
      <c r="N1175" s="29"/>
      <c r="O1175" s="29"/>
      <c r="P1175" s="30"/>
      <c r="Q1175" s="30"/>
      <c r="R1175" s="30"/>
      <c r="S1175" s="31"/>
      <c r="T1175" s="31"/>
      <c r="U1175" s="31"/>
      <c r="V1175" s="31"/>
      <c r="W1175" s="31"/>
      <c r="X1175" s="32"/>
      <c r="Y1175" s="32"/>
      <c r="Z1175" s="32"/>
    </row>
    <row r="1176" spans="1:26">
      <c r="A1176" s="28"/>
      <c r="B1176" s="17">
        <f t="shared" si="45"/>
        <v>46319</v>
      </c>
      <c r="C1176" s="26">
        <f>I1176+J1176+K1176+L1176+M1176+N1176+O1176+IF(P1176="",0,P1176*サマリー!$B$9)+IF(Q1176="",0,IF(Q1176=200,サマリー!$B$10,IF(Q1176=100,サマリー!$B$11,0)))+IF(R1176="",0,R1176*サマリー!$B$12)</f>
        <v>0</v>
      </c>
      <c r="D1176" s="26">
        <f>S1176+T1176+U1176+V1176+W1176+IF(X1176="",0,X1176*サマリー!$B$9)+IF(Y1176="",0,IF(Y1176=200,サマリー!$B$10,IF(Y1176=100,サマリー!$B$11,0)))+IF(Z1176="",0,Z1176*サマリー!$B$12)</f>
        <v>0</v>
      </c>
      <c r="E1176" s="26">
        <f t="shared" si="44"/>
        <v>0</v>
      </c>
      <c r="I1176" s="29"/>
      <c r="J1176" s="29"/>
      <c r="K1176" s="29"/>
      <c r="L1176" s="29"/>
      <c r="M1176" s="29"/>
      <c r="N1176" s="29"/>
      <c r="O1176" s="29"/>
      <c r="P1176" s="30"/>
      <c r="Q1176" s="30"/>
      <c r="R1176" s="30"/>
      <c r="S1176" s="31"/>
      <c r="T1176" s="31"/>
      <c r="U1176" s="31"/>
      <c r="V1176" s="31"/>
      <c r="W1176" s="31"/>
      <c r="X1176" s="32"/>
      <c r="Y1176" s="32"/>
      <c r="Z1176" s="32"/>
    </row>
    <row r="1177" spans="1:26">
      <c r="A1177" s="28"/>
      <c r="B1177" s="17">
        <f t="shared" si="45"/>
        <v>46319</v>
      </c>
      <c r="C1177" s="26">
        <f>I1177+J1177+K1177+L1177+M1177+N1177+O1177+IF(P1177="",0,P1177*サマリー!$B$9)+IF(Q1177="",0,IF(Q1177=200,サマリー!$B$10,IF(Q1177=100,サマリー!$B$11,0)))+IF(R1177="",0,R1177*サマリー!$B$12)</f>
        <v>0</v>
      </c>
      <c r="D1177" s="26">
        <f>S1177+T1177+U1177+V1177+W1177+IF(X1177="",0,X1177*サマリー!$B$9)+IF(Y1177="",0,IF(Y1177=200,サマリー!$B$10,IF(Y1177=100,サマリー!$B$11,0)))+IF(Z1177="",0,Z1177*サマリー!$B$12)</f>
        <v>0</v>
      </c>
      <c r="E1177" s="26">
        <f t="shared" si="44"/>
        <v>0</v>
      </c>
      <c r="I1177" s="29"/>
      <c r="J1177" s="29"/>
      <c r="K1177" s="29"/>
      <c r="L1177" s="29"/>
      <c r="M1177" s="29"/>
      <c r="N1177" s="29"/>
      <c r="O1177" s="29"/>
      <c r="P1177" s="30"/>
      <c r="Q1177" s="30"/>
      <c r="R1177" s="30"/>
      <c r="S1177" s="31"/>
      <c r="T1177" s="31"/>
      <c r="U1177" s="31"/>
      <c r="V1177" s="31"/>
      <c r="W1177" s="31"/>
      <c r="X1177" s="32"/>
      <c r="Y1177" s="32"/>
      <c r="Z1177" s="32"/>
    </row>
    <row r="1178" spans="1:26">
      <c r="A1178" s="28"/>
      <c r="B1178" s="17">
        <f t="shared" si="45"/>
        <v>46319</v>
      </c>
      <c r="C1178" s="26">
        <f>I1178+J1178+K1178+L1178+M1178+N1178+O1178+IF(P1178="",0,P1178*サマリー!$B$9)+IF(Q1178="",0,IF(Q1178=200,サマリー!$B$10,IF(Q1178=100,サマリー!$B$11,0)))+IF(R1178="",0,R1178*サマリー!$B$12)</f>
        <v>0</v>
      </c>
      <c r="D1178" s="26">
        <f>S1178+T1178+U1178+V1178+W1178+IF(X1178="",0,X1178*サマリー!$B$9)+IF(Y1178="",0,IF(Y1178=200,サマリー!$B$10,IF(Y1178=100,サマリー!$B$11,0)))+IF(Z1178="",0,Z1178*サマリー!$B$12)</f>
        <v>0</v>
      </c>
      <c r="E1178" s="26">
        <f t="shared" si="44"/>
        <v>0</v>
      </c>
      <c r="I1178" s="29"/>
      <c r="J1178" s="29"/>
      <c r="K1178" s="29"/>
      <c r="L1178" s="29"/>
      <c r="M1178" s="29"/>
      <c r="N1178" s="29"/>
      <c r="O1178" s="29"/>
      <c r="P1178" s="30"/>
      <c r="Q1178" s="30"/>
      <c r="R1178" s="30"/>
      <c r="S1178" s="31"/>
      <c r="T1178" s="31"/>
      <c r="U1178" s="31"/>
      <c r="V1178" s="31"/>
      <c r="W1178" s="31"/>
      <c r="X1178" s="32"/>
      <c r="Y1178" s="32"/>
      <c r="Z1178" s="32"/>
    </row>
    <row r="1179" spans="1:26">
      <c r="A1179" s="28"/>
      <c r="B1179" s="17">
        <f t="shared" si="45"/>
        <v>46319</v>
      </c>
      <c r="C1179" s="26">
        <f>I1179+J1179+K1179+L1179+M1179+N1179+O1179+IF(P1179="",0,P1179*サマリー!$B$9)+IF(Q1179="",0,IF(Q1179=200,サマリー!$B$10,IF(Q1179=100,サマリー!$B$11,0)))+IF(R1179="",0,R1179*サマリー!$B$12)</f>
        <v>0</v>
      </c>
      <c r="D1179" s="26">
        <f>S1179+T1179+U1179+V1179+W1179+IF(X1179="",0,X1179*サマリー!$B$9)+IF(Y1179="",0,IF(Y1179=200,サマリー!$B$10,IF(Y1179=100,サマリー!$B$11,0)))+IF(Z1179="",0,Z1179*サマリー!$B$12)</f>
        <v>0</v>
      </c>
      <c r="E1179" s="26">
        <f t="shared" si="44"/>
        <v>0</v>
      </c>
      <c r="I1179" s="29"/>
      <c r="J1179" s="29"/>
      <c r="K1179" s="29"/>
      <c r="L1179" s="29"/>
      <c r="M1179" s="29"/>
      <c r="N1179" s="29"/>
      <c r="O1179" s="29"/>
      <c r="P1179" s="30"/>
      <c r="Q1179" s="30"/>
      <c r="R1179" s="30"/>
      <c r="S1179" s="31"/>
      <c r="T1179" s="31"/>
      <c r="U1179" s="31"/>
      <c r="V1179" s="31"/>
      <c r="W1179" s="31"/>
      <c r="X1179" s="32"/>
      <c r="Y1179" s="32"/>
      <c r="Z1179" s="32"/>
    </row>
    <row r="1180" spans="1:26">
      <c r="A1180" s="28"/>
      <c r="B1180" s="17">
        <f t="shared" si="45"/>
        <v>46319</v>
      </c>
      <c r="C1180" s="26">
        <f>I1180+J1180+K1180+L1180+M1180+N1180+O1180+IF(P1180="",0,P1180*サマリー!$B$9)+IF(Q1180="",0,IF(Q1180=200,サマリー!$B$10,IF(Q1180=100,サマリー!$B$11,0)))+IF(R1180="",0,R1180*サマリー!$B$12)</f>
        <v>0</v>
      </c>
      <c r="D1180" s="26">
        <f>S1180+T1180+U1180+V1180+W1180+IF(X1180="",0,X1180*サマリー!$B$9)+IF(Y1180="",0,IF(Y1180=200,サマリー!$B$10,IF(Y1180=100,サマリー!$B$11,0)))+IF(Z1180="",0,Z1180*サマリー!$B$12)</f>
        <v>0</v>
      </c>
      <c r="E1180" s="26">
        <f t="shared" si="44"/>
        <v>0</v>
      </c>
      <c r="I1180" s="29"/>
      <c r="J1180" s="29"/>
      <c r="K1180" s="29"/>
      <c r="L1180" s="29"/>
      <c r="M1180" s="29"/>
      <c r="N1180" s="29"/>
      <c r="O1180" s="29"/>
      <c r="P1180" s="30"/>
      <c r="Q1180" s="30"/>
      <c r="R1180" s="30"/>
      <c r="S1180" s="31"/>
      <c r="T1180" s="31"/>
      <c r="U1180" s="31"/>
      <c r="V1180" s="31"/>
      <c r="W1180" s="31"/>
      <c r="X1180" s="32"/>
      <c r="Y1180" s="32"/>
      <c r="Z1180" s="32"/>
    </row>
    <row r="1181" spans="1:26">
      <c r="A1181" s="28"/>
      <c r="B1181" s="17">
        <f t="shared" si="45"/>
        <v>46319</v>
      </c>
      <c r="C1181" s="26">
        <f>I1181+J1181+K1181+L1181+M1181+N1181+O1181+IF(P1181="",0,P1181*サマリー!$B$9)+IF(Q1181="",0,IF(Q1181=200,サマリー!$B$10,IF(Q1181=100,サマリー!$B$11,0)))+IF(R1181="",0,R1181*サマリー!$B$12)</f>
        <v>0</v>
      </c>
      <c r="D1181" s="26">
        <f>S1181+T1181+U1181+V1181+W1181+IF(X1181="",0,X1181*サマリー!$B$9)+IF(Y1181="",0,IF(Y1181=200,サマリー!$B$10,IF(Y1181=100,サマリー!$B$11,0)))+IF(Z1181="",0,Z1181*サマリー!$B$12)</f>
        <v>0</v>
      </c>
      <c r="E1181" s="26">
        <f t="shared" si="44"/>
        <v>0</v>
      </c>
      <c r="I1181" s="29"/>
      <c r="J1181" s="29"/>
      <c r="K1181" s="29"/>
      <c r="L1181" s="29"/>
      <c r="M1181" s="29"/>
      <c r="N1181" s="29"/>
      <c r="O1181" s="29"/>
      <c r="P1181" s="30"/>
      <c r="Q1181" s="30"/>
      <c r="R1181" s="30"/>
      <c r="S1181" s="31"/>
      <c r="T1181" s="31"/>
      <c r="U1181" s="31"/>
      <c r="V1181" s="31"/>
      <c r="W1181" s="31"/>
      <c r="X1181" s="32"/>
      <c r="Y1181" s="32"/>
      <c r="Z1181" s="32"/>
    </row>
    <row r="1182" spans="1:26">
      <c r="A1182" s="28"/>
      <c r="B1182" s="17">
        <f t="shared" si="45"/>
        <v>46319</v>
      </c>
      <c r="C1182" s="26">
        <f>I1182+J1182+K1182+L1182+M1182+N1182+O1182+IF(P1182="",0,P1182*サマリー!$B$9)+IF(Q1182="",0,IF(Q1182=200,サマリー!$B$10,IF(Q1182=100,サマリー!$B$11,0)))+IF(R1182="",0,R1182*サマリー!$B$12)</f>
        <v>0</v>
      </c>
      <c r="D1182" s="26">
        <f>S1182+T1182+U1182+V1182+W1182+IF(X1182="",0,X1182*サマリー!$B$9)+IF(Y1182="",0,IF(Y1182=200,サマリー!$B$10,IF(Y1182=100,サマリー!$B$11,0)))+IF(Z1182="",0,Z1182*サマリー!$B$12)</f>
        <v>0</v>
      </c>
      <c r="E1182" s="26">
        <f t="shared" si="44"/>
        <v>0</v>
      </c>
      <c r="I1182" s="29"/>
      <c r="J1182" s="29"/>
      <c r="K1182" s="29"/>
      <c r="L1182" s="29"/>
      <c r="M1182" s="29"/>
      <c r="N1182" s="29"/>
      <c r="O1182" s="29"/>
      <c r="P1182" s="30"/>
      <c r="Q1182" s="30"/>
      <c r="R1182" s="30"/>
      <c r="S1182" s="31"/>
      <c r="T1182" s="31"/>
      <c r="U1182" s="31"/>
      <c r="V1182" s="31"/>
      <c r="W1182" s="31"/>
      <c r="X1182" s="32"/>
      <c r="Y1182" s="32"/>
      <c r="Z1182" s="32"/>
    </row>
    <row r="1183" spans="1:26">
      <c r="A1183" s="28"/>
      <c r="B1183" s="17">
        <f t="shared" si="45"/>
        <v>46319</v>
      </c>
      <c r="C1183" s="26">
        <f>I1183+J1183+K1183+L1183+M1183+N1183+O1183+IF(P1183="",0,P1183*サマリー!$B$9)+IF(Q1183="",0,IF(Q1183=200,サマリー!$B$10,IF(Q1183=100,サマリー!$B$11,0)))+IF(R1183="",0,R1183*サマリー!$B$12)</f>
        <v>0</v>
      </c>
      <c r="D1183" s="26">
        <f>S1183+T1183+U1183+V1183+W1183+IF(X1183="",0,X1183*サマリー!$B$9)+IF(Y1183="",0,IF(Y1183=200,サマリー!$B$10,IF(Y1183=100,サマリー!$B$11,0)))+IF(Z1183="",0,Z1183*サマリー!$B$12)</f>
        <v>0</v>
      </c>
      <c r="E1183" s="26">
        <f t="shared" si="44"/>
        <v>0</v>
      </c>
      <c r="I1183" s="29"/>
      <c r="J1183" s="29"/>
      <c r="K1183" s="29"/>
      <c r="L1183" s="29"/>
      <c r="M1183" s="29"/>
      <c r="N1183" s="29"/>
      <c r="O1183" s="29"/>
      <c r="P1183" s="30"/>
      <c r="Q1183" s="30"/>
      <c r="R1183" s="30"/>
      <c r="S1183" s="31"/>
      <c r="T1183" s="31"/>
      <c r="U1183" s="31"/>
      <c r="V1183" s="31"/>
      <c r="W1183" s="31"/>
      <c r="X1183" s="32"/>
      <c r="Y1183" s="32"/>
      <c r="Z1183" s="32"/>
    </row>
    <row r="1184" spans="1:26">
      <c r="A1184" s="28"/>
      <c r="B1184" s="17">
        <f t="shared" si="45"/>
        <v>46319</v>
      </c>
      <c r="C1184" s="26">
        <f>I1184+J1184+K1184+L1184+M1184+N1184+O1184+IF(P1184="",0,P1184*サマリー!$B$9)+IF(Q1184="",0,IF(Q1184=200,サマリー!$B$10,IF(Q1184=100,サマリー!$B$11,0)))+IF(R1184="",0,R1184*サマリー!$B$12)</f>
        <v>0</v>
      </c>
      <c r="D1184" s="26">
        <f>S1184+T1184+U1184+V1184+W1184+IF(X1184="",0,X1184*サマリー!$B$9)+IF(Y1184="",0,IF(Y1184=200,サマリー!$B$10,IF(Y1184=100,サマリー!$B$11,0)))+IF(Z1184="",0,Z1184*サマリー!$B$12)</f>
        <v>0</v>
      </c>
      <c r="E1184" s="26">
        <f t="shared" si="44"/>
        <v>0</v>
      </c>
      <c r="I1184" s="29"/>
      <c r="J1184" s="29"/>
      <c r="K1184" s="29"/>
      <c r="L1184" s="29"/>
      <c r="M1184" s="29"/>
      <c r="N1184" s="29"/>
      <c r="O1184" s="29"/>
      <c r="P1184" s="30"/>
      <c r="Q1184" s="30"/>
      <c r="R1184" s="30"/>
      <c r="S1184" s="31"/>
      <c r="T1184" s="31"/>
      <c r="U1184" s="31"/>
      <c r="V1184" s="31"/>
      <c r="W1184" s="31"/>
      <c r="X1184" s="32"/>
      <c r="Y1184" s="32"/>
      <c r="Z1184" s="32"/>
    </row>
    <row r="1185" spans="1:26">
      <c r="A1185" s="28"/>
      <c r="B1185" s="17">
        <f t="shared" si="45"/>
        <v>46319</v>
      </c>
      <c r="C1185" s="26">
        <f>I1185+J1185+K1185+L1185+M1185+N1185+O1185+IF(P1185="",0,P1185*サマリー!$B$9)+IF(Q1185="",0,IF(Q1185=200,サマリー!$B$10,IF(Q1185=100,サマリー!$B$11,0)))+IF(R1185="",0,R1185*サマリー!$B$12)</f>
        <v>0</v>
      </c>
      <c r="D1185" s="26">
        <f>S1185+T1185+U1185+V1185+W1185+IF(X1185="",0,X1185*サマリー!$B$9)+IF(Y1185="",0,IF(Y1185=200,サマリー!$B$10,IF(Y1185=100,サマリー!$B$11,0)))+IF(Z1185="",0,Z1185*サマリー!$B$12)</f>
        <v>0</v>
      </c>
      <c r="E1185" s="26">
        <f t="shared" si="44"/>
        <v>0</v>
      </c>
      <c r="I1185" s="29"/>
      <c r="J1185" s="29"/>
      <c r="K1185" s="29"/>
      <c r="L1185" s="29"/>
      <c r="M1185" s="29"/>
      <c r="N1185" s="29"/>
      <c r="O1185" s="29"/>
      <c r="P1185" s="30"/>
      <c r="Q1185" s="30"/>
      <c r="R1185" s="30"/>
      <c r="S1185" s="31"/>
      <c r="T1185" s="31"/>
      <c r="U1185" s="31"/>
      <c r="V1185" s="31"/>
      <c r="W1185" s="31"/>
      <c r="X1185" s="32"/>
      <c r="Y1185" s="32"/>
      <c r="Z1185" s="32"/>
    </row>
    <row r="1186" spans="1:26">
      <c r="A1186" s="28"/>
      <c r="B1186" s="17">
        <f t="shared" si="45"/>
        <v>46319</v>
      </c>
      <c r="C1186" s="26">
        <f>I1186+J1186+K1186+L1186+M1186+N1186+O1186+IF(P1186="",0,P1186*サマリー!$B$9)+IF(Q1186="",0,IF(Q1186=200,サマリー!$B$10,IF(Q1186=100,サマリー!$B$11,0)))+IF(R1186="",0,R1186*サマリー!$B$12)</f>
        <v>0</v>
      </c>
      <c r="D1186" s="26">
        <f>S1186+T1186+U1186+V1186+W1186+IF(X1186="",0,X1186*サマリー!$B$9)+IF(Y1186="",0,IF(Y1186=200,サマリー!$B$10,IF(Y1186=100,サマリー!$B$11,0)))+IF(Z1186="",0,Z1186*サマリー!$B$12)</f>
        <v>0</v>
      </c>
      <c r="E1186" s="26">
        <f t="shared" si="44"/>
        <v>0</v>
      </c>
      <c r="I1186" s="29"/>
      <c r="J1186" s="29"/>
      <c r="K1186" s="29"/>
      <c r="L1186" s="29"/>
      <c r="M1186" s="29"/>
      <c r="N1186" s="29"/>
      <c r="O1186" s="29"/>
      <c r="P1186" s="30"/>
      <c r="Q1186" s="30"/>
      <c r="R1186" s="30"/>
      <c r="S1186" s="31"/>
      <c r="T1186" s="31"/>
      <c r="U1186" s="31"/>
      <c r="V1186" s="31"/>
      <c r="W1186" s="31"/>
      <c r="X1186" s="32"/>
      <c r="Y1186" s="32"/>
      <c r="Z1186" s="32"/>
    </row>
    <row r="1187" spans="1:26">
      <c r="A1187" s="28"/>
      <c r="B1187" s="17">
        <f t="shared" si="45"/>
        <v>46319</v>
      </c>
      <c r="C1187" s="26">
        <f>I1187+J1187+K1187+L1187+M1187+N1187+O1187+IF(P1187="",0,P1187*サマリー!$B$9)+IF(Q1187="",0,IF(Q1187=200,サマリー!$B$10,IF(Q1187=100,サマリー!$B$11,0)))+IF(R1187="",0,R1187*サマリー!$B$12)</f>
        <v>0</v>
      </c>
      <c r="D1187" s="26">
        <f>S1187+T1187+U1187+V1187+W1187+IF(X1187="",0,X1187*サマリー!$B$9)+IF(Y1187="",0,IF(Y1187=200,サマリー!$B$10,IF(Y1187=100,サマリー!$B$11,0)))+IF(Z1187="",0,Z1187*サマリー!$B$12)</f>
        <v>0</v>
      </c>
      <c r="E1187" s="26">
        <f t="shared" ref="E1187:E1250" si="46">C1187+D1187</f>
        <v>0</v>
      </c>
      <c r="I1187" s="29"/>
      <c r="J1187" s="29"/>
      <c r="K1187" s="29"/>
      <c r="L1187" s="29"/>
      <c r="M1187" s="29"/>
      <c r="N1187" s="29"/>
      <c r="O1187" s="29"/>
      <c r="P1187" s="30"/>
      <c r="Q1187" s="30"/>
      <c r="R1187" s="30"/>
      <c r="S1187" s="31"/>
      <c r="T1187" s="31"/>
      <c r="U1187" s="31"/>
      <c r="V1187" s="31"/>
      <c r="W1187" s="31"/>
      <c r="X1187" s="32"/>
      <c r="Y1187" s="32"/>
      <c r="Z1187" s="32"/>
    </row>
    <row r="1188" spans="1:26">
      <c r="A1188" s="28"/>
      <c r="B1188" s="17">
        <f t="shared" si="45"/>
        <v>46319</v>
      </c>
      <c r="C1188" s="26">
        <f>I1188+J1188+K1188+L1188+M1188+N1188+O1188+IF(P1188="",0,P1188*サマリー!$B$9)+IF(Q1188="",0,IF(Q1188=200,サマリー!$B$10,IF(Q1188=100,サマリー!$B$11,0)))+IF(R1188="",0,R1188*サマリー!$B$12)</f>
        <v>0</v>
      </c>
      <c r="D1188" s="26">
        <f>S1188+T1188+U1188+V1188+W1188+IF(X1188="",0,X1188*サマリー!$B$9)+IF(Y1188="",0,IF(Y1188=200,サマリー!$B$10,IF(Y1188=100,サマリー!$B$11,0)))+IF(Z1188="",0,Z1188*サマリー!$B$12)</f>
        <v>0</v>
      </c>
      <c r="E1188" s="26">
        <f t="shared" si="46"/>
        <v>0</v>
      </c>
      <c r="I1188" s="29"/>
      <c r="J1188" s="29"/>
      <c r="K1188" s="29"/>
      <c r="L1188" s="29"/>
      <c r="M1188" s="29"/>
      <c r="N1188" s="29"/>
      <c r="O1188" s="29"/>
      <c r="P1188" s="30"/>
      <c r="Q1188" s="30"/>
      <c r="R1188" s="30"/>
      <c r="S1188" s="31"/>
      <c r="T1188" s="31"/>
      <c r="U1188" s="31"/>
      <c r="V1188" s="31"/>
      <c r="W1188" s="31"/>
      <c r="X1188" s="32"/>
      <c r="Y1188" s="32"/>
      <c r="Z1188" s="32"/>
    </row>
    <row r="1189" spans="1:26">
      <c r="A1189" s="28"/>
      <c r="B1189" s="17">
        <f t="shared" si="45"/>
        <v>46319</v>
      </c>
      <c r="C1189" s="26">
        <f>I1189+J1189+K1189+L1189+M1189+N1189+O1189+IF(P1189="",0,P1189*サマリー!$B$9)+IF(Q1189="",0,IF(Q1189=200,サマリー!$B$10,IF(Q1189=100,サマリー!$B$11,0)))+IF(R1189="",0,R1189*サマリー!$B$12)</f>
        <v>0</v>
      </c>
      <c r="D1189" s="26">
        <f>S1189+T1189+U1189+V1189+W1189+IF(X1189="",0,X1189*サマリー!$B$9)+IF(Y1189="",0,IF(Y1189=200,サマリー!$B$10,IF(Y1189=100,サマリー!$B$11,0)))+IF(Z1189="",0,Z1189*サマリー!$B$12)</f>
        <v>0</v>
      </c>
      <c r="E1189" s="26">
        <f t="shared" si="46"/>
        <v>0</v>
      </c>
      <c r="I1189" s="29"/>
      <c r="J1189" s="29"/>
      <c r="K1189" s="29"/>
      <c r="L1189" s="29"/>
      <c r="M1189" s="29"/>
      <c r="N1189" s="29"/>
      <c r="O1189" s="29"/>
      <c r="P1189" s="30"/>
      <c r="Q1189" s="30"/>
      <c r="R1189" s="30"/>
      <c r="S1189" s="31"/>
      <c r="T1189" s="31"/>
      <c r="U1189" s="31"/>
      <c r="V1189" s="31"/>
      <c r="W1189" s="31"/>
      <c r="X1189" s="32"/>
      <c r="Y1189" s="32"/>
      <c r="Z1189" s="32"/>
    </row>
    <row r="1190" spans="1:26">
      <c r="A1190" s="28"/>
      <c r="B1190" s="17">
        <f t="shared" si="45"/>
        <v>46319</v>
      </c>
      <c r="C1190" s="26">
        <f>I1190+J1190+K1190+L1190+M1190+N1190+O1190+IF(P1190="",0,P1190*サマリー!$B$9)+IF(Q1190="",0,IF(Q1190=200,サマリー!$B$10,IF(Q1190=100,サマリー!$B$11,0)))+IF(R1190="",0,R1190*サマリー!$B$12)</f>
        <v>0</v>
      </c>
      <c r="D1190" s="26">
        <f>S1190+T1190+U1190+V1190+W1190+IF(X1190="",0,X1190*サマリー!$B$9)+IF(Y1190="",0,IF(Y1190=200,サマリー!$B$10,IF(Y1190=100,サマリー!$B$11,0)))+IF(Z1190="",0,Z1190*サマリー!$B$12)</f>
        <v>0</v>
      </c>
      <c r="E1190" s="26">
        <f t="shared" si="46"/>
        <v>0</v>
      </c>
      <c r="I1190" s="29"/>
      <c r="J1190" s="29"/>
      <c r="K1190" s="29"/>
      <c r="L1190" s="29"/>
      <c r="M1190" s="29"/>
      <c r="N1190" s="29"/>
      <c r="O1190" s="29"/>
      <c r="P1190" s="30"/>
      <c r="Q1190" s="30"/>
      <c r="R1190" s="30"/>
      <c r="S1190" s="31"/>
      <c r="T1190" s="31"/>
      <c r="U1190" s="31"/>
      <c r="V1190" s="31"/>
      <c r="W1190" s="31"/>
      <c r="X1190" s="32"/>
      <c r="Y1190" s="32"/>
      <c r="Z1190" s="32"/>
    </row>
    <row r="1191" spans="1:26">
      <c r="A1191" s="28"/>
      <c r="B1191" s="17">
        <f t="shared" si="45"/>
        <v>46319</v>
      </c>
      <c r="C1191" s="26">
        <f>I1191+J1191+K1191+L1191+M1191+N1191+O1191+IF(P1191="",0,P1191*サマリー!$B$9)+IF(Q1191="",0,IF(Q1191=200,サマリー!$B$10,IF(Q1191=100,サマリー!$B$11,0)))+IF(R1191="",0,R1191*サマリー!$B$12)</f>
        <v>0</v>
      </c>
      <c r="D1191" s="26">
        <f>S1191+T1191+U1191+V1191+W1191+IF(X1191="",0,X1191*サマリー!$B$9)+IF(Y1191="",0,IF(Y1191=200,サマリー!$B$10,IF(Y1191=100,サマリー!$B$11,0)))+IF(Z1191="",0,Z1191*サマリー!$B$12)</f>
        <v>0</v>
      </c>
      <c r="E1191" s="26">
        <f t="shared" si="46"/>
        <v>0</v>
      </c>
      <c r="I1191" s="29"/>
      <c r="J1191" s="29"/>
      <c r="K1191" s="29"/>
      <c r="L1191" s="29"/>
      <c r="M1191" s="29"/>
      <c r="N1191" s="29"/>
      <c r="O1191" s="29"/>
      <c r="P1191" s="30"/>
      <c r="Q1191" s="30"/>
      <c r="R1191" s="30"/>
      <c r="S1191" s="31"/>
      <c r="T1191" s="31"/>
      <c r="U1191" s="31"/>
      <c r="V1191" s="31"/>
      <c r="W1191" s="31"/>
      <c r="X1191" s="32"/>
      <c r="Y1191" s="32"/>
      <c r="Z1191" s="32"/>
    </row>
    <row r="1192" spans="1:26">
      <c r="A1192" s="28"/>
      <c r="B1192" s="17">
        <f t="shared" si="45"/>
        <v>46319</v>
      </c>
      <c r="C1192" s="26">
        <f>I1192+J1192+K1192+L1192+M1192+N1192+O1192+IF(P1192="",0,P1192*サマリー!$B$9)+IF(Q1192="",0,IF(Q1192=200,サマリー!$B$10,IF(Q1192=100,サマリー!$B$11,0)))+IF(R1192="",0,R1192*サマリー!$B$12)</f>
        <v>0</v>
      </c>
      <c r="D1192" s="26">
        <f>S1192+T1192+U1192+V1192+W1192+IF(X1192="",0,X1192*サマリー!$B$9)+IF(Y1192="",0,IF(Y1192=200,サマリー!$B$10,IF(Y1192=100,サマリー!$B$11,0)))+IF(Z1192="",0,Z1192*サマリー!$B$12)</f>
        <v>0</v>
      </c>
      <c r="E1192" s="26">
        <f t="shared" si="46"/>
        <v>0</v>
      </c>
      <c r="I1192" s="29"/>
      <c r="J1192" s="29"/>
      <c r="K1192" s="29"/>
      <c r="L1192" s="29"/>
      <c r="M1192" s="29"/>
      <c r="N1192" s="29"/>
      <c r="O1192" s="29"/>
      <c r="P1192" s="30"/>
      <c r="Q1192" s="30"/>
      <c r="R1192" s="30"/>
      <c r="S1192" s="31"/>
      <c r="T1192" s="31"/>
      <c r="U1192" s="31"/>
      <c r="V1192" s="31"/>
      <c r="W1192" s="31"/>
      <c r="X1192" s="32"/>
      <c r="Y1192" s="32"/>
      <c r="Z1192" s="32"/>
    </row>
    <row r="1193" spans="1:26">
      <c r="A1193" s="28"/>
      <c r="B1193" s="17">
        <f t="shared" si="45"/>
        <v>46319</v>
      </c>
      <c r="C1193" s="26">
        <f>I1193+J1193+K1193+L1193+M1193+N1193+O1193+IF(P1193="",0,P1193*サマリー!$B$9)+IF(Q1193="",0,IF(Q1193=200,サマリー!$B$10,IF(Q1193=100,サマリー!$B$11,0)))+IF(R1193="",0,R1193*サマリー!$B$12)</f>
        <v>0</v>
      </c>
      <c r="D1193" s="26">
        <f>S1193+T1193+U1193+V1193+W1193+IF(X1193="",0,X1193*サマリー!$B$9)+IF(Y1193="",0,IF(Y1193=200,サマリー!$B$10,IF(Y1193=100,サマリー!$B$11,0)))+IF(Z1193="",0,Z1193*サマリー!$B$12)</f>
        <v>0</v>
      </c>
      <c r="E1193" s="26">
        <f t="shared" si="46"/>
        <v>0</v>
      </c>
      <c r="I1193" s="29"/>
      <c r="J1193" s="29"/>
      <c r="K1193" s="29"/>
      <c r="L1193" s="29"/>
      <c r="M1193" s="29"/>
      <c r="N1193" s="29"/>
      <c r="O1193" s="29"/>
      <c r="P1193" s="30"/>
      <c r="Q1193" s="30"/>
      <c r="R1193" s="30"/>
      <c r="S1193" s="31"/>
      <c r="T1193" s="31"/>
      <c r="U1193" s="31"/>
      <c r="V1193" s="31"/>
      <c r="W1193" s="31"/>
      <c r="X1193" s="32"/>
      <c r="Y1193" s="32"/>
      <c r="Z1193" s="32"/>
    </row>
    <row r="1194" spans="1:26">
      <c r="A1194" s="28"/>
      <c r="B1194" s="17">
        <f t="shared" si="45"/>
        <v>46319</v>
      </c>
      <c r="C1194" s="26">
        <f>I1194+J1194+K1194+L1194+M1194+N1194+O1194+IF(P1194="",0,P1194*サマリー!$B$9)+IF(Q1194="",0,IF(Q1194=200,サマリー!$B$10,IF(Q1194=100,サマリー!$B$11,0)))+IF(R1194="",0,R1194*サマリー!$B$12)</f>
        <v>0</v>
      </c>
      <c r="D1194" s="26">
        <f>S1194+T1194+U1194+V1194+W1194+IF(X1194="",0,X1194*サマリー!$B$9)+IF(Y1194="",0,IF(Y1194=200,サマリー!$B$10,IF(Y1194=100,サマリー!$B$11,0)))+IF(Z1194="",0,Z1194*サマリー!$B$12)</f>
        <v>0</v>
      </c>
      <c r="E1194" s="26">
        <f t="shared" si="46"/>
        <v>0</v>
      </c>
      <c r="I1194" s="29"/>
      <c r="J1194" s="29"/>
      <c r="K1194" s="29"/>
      <c r="L1194" s="29"/>
      <c r="M1194" s="29"/>
      <c r="N1194" s="29"/>
      <c r="O1194" s="29"/>
      <c r="P1194" s="30"/>
      <c r="Q1194" s="30"/>
      <c r="R1194" s="30"/>
      <c r="S1194" s="31"/>
      <c r="T1194" s="31"/>
      <c r="U1194" s="31"/>
      <c r="V1194" s="31"/>
      <c r="W1194" s="31"/>
      <c r="X1194" s="32"/>
      <c r="Y1194" s="32"/>
      <c r="Z1194" s="32"/>
    </row>
    <row r="1195" spans="1:26">
      <c r="A1195" s="28"/>
      <c r="B1195" s="17">
        <f t="shared" si="45"/>
        <v>46319</v>
      </c>
      <c r="C1195" s="26">
        <f>I1195+J1195+K1195+L1195+M1195+N1195+O1195+IF(P1195="",0,P1195*サマリー!$B$9)+IF(Q1195="",0,IF(Q1195=200,サマリー!$B$10,IF(Q1195=100,サマリー!$B$11,0)))+IF(R1195="",0,R1195*サマリー!$B$12)</f>
        <v>0</v>
      </c>
      <c r="D1195" s="26">
        <f>S1195+T1195+U1195+V1195+W1195+IF(X1195="",0,X1195*サマリー!$B$9)+IF(Y1195="",0,IF(Y1195=200,サマリー!$B$10,IF(Y1195=100,サマリー!$B$11,0)))+IF(Z1195="",0,Z1195*サマリー!$B$12)</f>
        <v>0</v>
      </c>
      <c r="E1195" s="26">
        <f t="shared" si="46"/>
        <v>0</v>
      </c>
      <c r="I1195" s="29"/>
      <c r="J1195" s="29"/>
      <c r="K1195" s="29"/>
      <c r="L1195" s="29"/>
      <c r="M1195" s="29"/>
      <c r="N1195" s="29"/>
      <c r="O1195" s="29"/>
      <c r="P1195" s="30"/>
      <c r="Q1195" s="30"/>
      <c r="R1195" s="30"/>
      <c r="S1195" s="31"/>
      <c r="T1195" s="31"/>
      <c r="U1195" s="31"/>
      <c r="V1195" s="31"/>
      <c r="W1195" s="31"/>
      <c r="X1195" s="32"/>
      <c r="Y1195" s="32"/>
      <c r="Z1195" s="32"/>
    </row>
    <row r="1196" spans="1:26">
      <c r="A1196" s="28"/>
      <c r="B1196" s="17">
        <f t="shared" si="45"/>
        <v>46319</v>
      </c>
      <c r="C1196" s="26">
        <f>I1196+J1196+K1196+L1196+M1196+N1196+O1196+IF(P1196="",0,P1196*サマリー!$B$9)+IF(Q1196="",0,IF(Q1196=200,サマリー!$B$10,IF(Q1196=100,サマリー!$B$11,0)))+IF(R1196="",0,R1196*サマリー!$B$12)</f>
        <v>0</v>
      </c>
      <c r="D1196" s="26">
        <f>S1196+T1196+U1196+V1196+W1196+IF(X1196="",0,X1196*サマリー!$B$9)+IF(Y1196="",0,IF(Y1196=200,サマリー!$B$10,IF(Y1196=100,サマリー!$B$11,0)))+IF(Z1196="",0,Z1196*サマリー!$B$12)</f>
        <v>0</v>
      </c>
      <c r="E1196" s="26">
        <f t="shared" si="46"/>
        <v>0</v>
      </c>
      <c r="I1196" s="29"/>
      <c r="J1196" s="29"/>
      <c r="K1196" s="29"/>
      <c r="L1196" s="29"/>
      <c r="M1196" s="29"/>
      <c r="N1196" s="29"/>
      <c r="O1196" s="29"/>
      <c r="P1196" s="30"/>
      <c r="Q1196" s="30"/>
      <c r="R1196" s="30"/>
      <c r="S1196" s="31"/>
      <c r="T1196" s="31"/>
      <c r="U1196" s="31"/>
      <c r="V1196" s="31"/>
      <c r="W1196" s="31"/>
      <c r="X1196" s="32"/>
      <c r="Y1196" s="32"/>
      <c r="Z1196" s="32"/>
    </row>
    <row r="1197" spans="1:26">
      <c r="A1197" s="28"/>
      <c r="B1197" s="17">
        <f t="shared" si="45"/>
        <v>46319</v>
      </c>
      <c r="C1197" s="26">
        <f>I1197+J1197+K1197+L1197+M1197+N1197+O1197+IF(P1197="",0,P1197*サマリー!$B$9)+IF(Q1197="",0,IF(Q1197=200,サマリー!$B$10,IF(Q1197=100,サマリー!$B$11,0)))+IF(R1197="",0,R1197*サマリー!$B$12)</f>
        <v>0</v>
      </c>
      <c r="D1197" s="26">
        <f>S1197+T1197+U1197+V1197+W1197+IF(X1197="",0,X1197*サマリー!$B$9)+IF(Y1197="",0,IF(Y1197=200,サマリー!$B$10,IF(Y1197=100,サマリー!$B$11,0)))+IF(Z1197="",0,Z1197*サマリー!$B$12)</f>
        <v>0</v>
      </c>
      <c r="E1197" s="26">
        <f t="shared" si="46"/>
        <v>0</v>
      </c>
      <c r="I1197" s="29"/>
      <c r="J1197" s="29"/>
      <c r="K1197" s="29"/>
      <c r="L1197" s="29"/>
      <c r="M1197" s="29"/>
      <c r="N1197" s="29"/>
      <c r="O1197" s="29"/>
      <c r="P1197" s="30"/>
      <c r="Q1197" s="30"/>
      <c r="R1197" s="30"/>
      <c r="S1197" s="31"/>
      <c r="T1197" s="31"/>
      <c r="U1197" s="31"/>
      <c r="V1197" s="31"/>
      <c r="W1197" s="31"/>
      <c r="X1197" s="32"/>
      <c r="Y1197" s="32"/>
      <c r="Z1197" s="32"/>
    </row>
    <row r="1198" spans="1:26">
      <c r="A1198" s="28"/>
      <c r="B1198" s="17">
        <f t="shared" si="45"/>
        <v>46319</v>
      </c>
      <c r="C1198" s="26">
        <f>I1198+J1198+K1198+L1198+M1198+N1198+O1198+IF(P1198="",0,P1198*サマリー!$B$9)+IF(Q1198="",0,IF(Q1198=200,サマリー!$B$10,IF(Q1198=100,サマリー!$B$11,0)))+IF(R1198="",0,R1198*サマリー!$B$12)</f>
        <v>0</v>
      </c>
      <c r="D1198" s="26">
        <f>S1198+T1198+U1198+V1198+W1198+IF(X1198="",0,X1198*サマリー!$B$9)+IF(Y1198="",0,IF(Y1198=200,サマリー!$B$10,IF(Y1198=100,サマリー!$B$11,0)))+IF(Z1198="",0,Z1198*サマリー!$B$12)</f>
        <v>0</v>
      </c>
      <c r="E1198" s="26">
        <f t="shared" si="46"/>
        <v>0</v>
      </c>
      <c r="I1198" s="29"/>
      <c r="J1198" s="29"/>
      <c r="K1198" s="29"/>
      <c r="L1198" s="29"/>
      <c r="M1198" s="29"/>
      <c r="N1198" s="29"/>
      <c r="O1198" s="29"/>
      <c r="P1198" s="30"/>
      <c r="Q1198" s="30"/>
      <c r="R1198" s="30"/>
      <c r="S1198" s="31"/>
      <c r="T1198" s="31"/>
      <c r="U1198" s="31"/>
      <c r="V1198" s="31"/>
      <c r="W1198" s="31"/>
      <c r="X1198" s="32"/>
      <c r="Y1198" s="32"/>
      <c r="Z1198" s="32"/>
    </row>
    <row r="1199" spans="1:26">
      <c r="A1199" s="28"/>
      <c r="B1199" s="17">
        <f t="shared" si="45"/>
        <v>46319</v>
      </c>
      <c r="C1199" s="26">
        <f>I1199+J1199+K1199+L1199+M1199+N1199+O1199+IF(P1199="",0,P1199*サマリー!$B$9)+IF(Q1199="",0,IF(Q1199=200,サマリー!$B$10,IF(Q1199=100,サマリー!$B$11,0)))+IF(R1199="",0,R1199*サマリー!$B$12)</f>
        <v>0</v>
      </c>
      <c r="D1199" s="26">
        <f>S1199+T1199+U1199+V1199+W1199+IF(X1199="",0,X1199*サマリー!$B$9)+IF(Y1199="",0,IF(Y1199=200,サマリー!$B$10,IF(Y1199=100,サマリー!$B$11,0)))+IF(Z1199="",0,Z1199*サマリー!$B$12)</f>
        <v>0</v>
      </c>
      <c r="E1199" s="26">
        <f t="shared" si="46"/>
        <v>0</v>
      </c>
      <c r="I1199" s="29"/>
      <c r="J1199" s="29"/>
      <c r="K1199" s="29"/>
      <c r="L1199" s="29"/>
      <c r="M1199" s="29"/>
      <c r="N1199" s="29"/>
      <c r="O1199" s="29"/>
      <c r="P1199" s="30"/>
      <c r="Q1199" s="30"/>
      <c r="R1199" s="30"/>
      <c r="S1199" s="31"/>
      <c r="T1199" s="31"/>
      <c r="U1199" s="31"/>
      <c r="V1199" s="31"/>
      <c r="W1199" s="31"/>
      <c r="X1199" s="32"/>
      <c r="Y1199" s="32"/>
      <c r="Z1199" s="32"/>
    </row>
    <row r="1200" spans="1:26">
      <c r="A1200" s="28"/>
      <c r="B1200" s="17">
        <f t="shared" si="45"/>
        <v>46319</v>
      </c>
      <c r="C1200" s="26">
        <f>I1200+J1200+K1200+L1200+M1200+N1200+O1200+IF(P1200="",0,P1200*サマリー!$B$9)+IF(Q1200="",0,IF(Q1200=200,サマリー!$B$10,IF(Q1200=100,サマリー!$B$11,0)))+IF(R1200="",0,R1200*サマリー!$B$12)</f>
        <v>0</v>
      </c>
      <c r="D1200" s="26">
        <f>S1200+T1200+U1200+V1200+W1200+IF(X1200="",0,X1200*サマリー!$B$9)+IF(Y1200="",0,IF(Y1200=200,サマリー!$B$10,IF(Y1200=100,サマリー!$B$11,0)))+IF(Z1200="",0,Z1200*サマリー!$B$12)</f>
        <v>0</v>
      </c>
      <c r="E1200" s="26">
        <f t="shared" si="46"/>
        <v>0</v>
      </c>
      <c r="I1200" s="29"/>
      <c r="J1200" s="29"/>
      <c r="K1200" s="29"/>
      <c r="L1200" s="29"/>
      <c r="M1200" s="29"/>
      <c r="N1200" s="29"/>
      <c r="O1200" s="29"/>
      <c r="P1200" s="30"/>
      <c r="Q1200" s="30"/>
      <c r="R1200" s="30"/>
      <c r="S1200" s="31"/>
      <c r="T1200" s="31"/>
      <c r="U1200" s="31"/>
      <c r="V1200" s="31"/>
      <c r="W1200" s="31"/>
      <c r="X1200" s="32"/>
      <c r="Y1200" s="32"/>
      <c r="Z1200" s="32"/>
    </row>
    <row r="1201" spans="1:26">
      <c r="A1201" s="28"/>
      <c r="B1201" s="17">
        <f t="shared" si="45"/>
        <v>46319</v>
      </c>
      <c r="C1201" s="26">
        <f>I1201+J1201+K1201+L1201+M1201+N1201+O1201+IF(P1201="",0,P1201*サマリー!$B$9)+IF(Q1201="",0,IF(Q1201=200,サマリー!$B$10,IF(Q1201=100,サマリー!$B$11,0)))+IF(R1201="",0,R1201*サマリー!$B$12)</f>
        <v>0</v>
      </c>
      <c r="D1201" s="26">
        <f>S1201+T1201+U1201+V1201+W1201+IF(X1201="",0,X1201*サマリー!$B$9)+IF(Y1201="",0,IF(Y1201=200,サマリー!$B$10,IF(Y1201=100,サマリー!$B$11,0)))+IF(Z1201="",0,Z1201*サマリー!$B$12)</f>
        <v>0</v>
      </c>
      <c r="E1201" s="26">
        <f t="shared" si="46"/>
        <v>0</v>
      </c>
      <c r="I1201" s="29"/>
      <c r="J1201" s="29"/>
      <c r="K1201" s="29"/>
      <c r="L1201" s="29"/>
      <c r="M1201" s="29"/>
      <c r="N1201" s="29"/>
      <c r="O1201" s="29"/>
      <c r="P1201" s="30"/>
      <c r="Q1201" s="30"/>
      <c r="R1201" s="30"/>
      <c r="S1201" s="31"/>
      <c r="T1201" s="31"/>
      <c r="U1201" s="31"/>
      <c r="V1201" s="31"/>
      <c r="W1201" s="31"/>
      <c r="X1201" s="32"/>
      <c r="Y1201" s="32"/>
      <c r="Z1201" s="32"/>
    </row>
    <row r="1202" spans="1:26">
      <c r="A1202" s="28"/>
      <c r="B1202" s="17">
        <f t="shared" si="45"/>
        <v>46319</v>
      </c>
      <c r="C1202" s="26">
        <f>I1202+J1202+K1202+L1202+M1202+N1202+O1202+IF(P1202="",0,P1202*サマリー!$B$9)+IF(Q1202="",0,IF(Q1202=200,サマリー!$B$10,IF(Q1202=100,サマリー!$B$11,0)))+IF(R1202="",0,R1202*サマリー!$B$12)</f>
        <v>0</v>
      </c>
      <c r="D1202" s="26">
        <f>S1202+T1202+U1202+V1202+W1202+IF(X1202="",0,X1202*サマリー!$B$9)+IF(Y1202="",0,IF(Y1202=200,サマリー!$B$10,IF(Y1202=100,サマリー!$B$11,0)))+IF(Z1202="",0,Z1202*サマリー!$B$12)</f>
        <v>0</v>
      </c>
      <c r="E1202" s="26">
        <f t="shared" si="46"/>
        <v>0</v>
      </c>
      <c r="I1202" s="29"/>
      <c r="J1202" s="29"/>
      <c r="K1202" s="29"/>
      <c r="L1202" s="29"/>
      <c r="M1202" s="29"/>
      <c r="N1202" s="29"/>
      <c r="O1202" s="29"/>
      <c r="P1202" s="30"/>
      <c r="Q1202" s="30"/>
      <c r="R1202" s="30"/>
      <c r="S1202" s="31"/>
      <c r="T1202" s="31"/>
      <c r="U1202" s="31"/>
      <c r="V1202" s="31"/>
      <c r="W1202" s="31"/>
      <c r="X1202" s="32"/>
      <c r="Y1202" s="32"/>
      <c r="Z1202" s="32"/>
    </row>
    <row r="1203" spans="1:26">
      <c r="A1203" s="28"/>
      <c r="B1203" s="17">
        <f t="shared" si="45"/>
        <v>46319</v>
      </c>
      <c r="C1203" s="26">
        <f>I1203+J1203+K1203+L1203+M1203+N1203+O1203+IF(P1203="",0,P1203*サマリー!$B$9)+IF(Q1203="",0,IF(Q1203=200,サマリー!$B$10,IF(Q1203=100,サマリー!$B$11,0)))+IF(R1203="",0,R1203*サマリー!$B$12)</f>
        <v>0</v>
      </c>
      <c r="D1203" s="26">
        <f>S1203+T1203+U1203+V1203+W1203+IF(X1203="",0,X1203*サマリー!$B$9)+IF(Y1203="",0,IF(Y1203=200,サマリー!$B$10,IF(Y1203=100,サマリー!$B$11,0)))+IF(Z1203="",0,Z1203*サマリー!$B$12)</f>
        <v>0</v>
      </c>
      <c r="E1203" s="26">
        <f t="shared" si="46"/>
        <v>0</v>
      </c>
      <c r="I1203" s="29"/>
      <c r="J1203" s="29"/>
      <c r="K1203" s="29"/>
      <c r="L1203" s="29"/>
      <c r="M1203" s="29"/>
      <c r="N1203" s="29"/>
      <c r="O1203" s="29"/>
      <c r="P1203" s="30"/>
      <c r="Q1203" s="30"/>
      <c r="R1203" s="30"/>
      <c r="S1203" s="31"/>
      <c r="T1203" s="31"/>
      <c r="U1203" s="31"/>
      <c r="V1203" s="31"/>
      <c r="W1203" s="31"/>
      <c r="X1203" s="32"/>
      <c r="Y1203" s="32"/>
      <c r="Z1203" s="32"/>
    </row>
    <row r="1204" spans="1:26">
      <c r="A1204" s="28"/>
      <c r="B1204" s="17">
        <f t="shared" si="45"/>
        <v>46319</v>
      </c>
      <c r="C1204" s="26">
        <f>I1204+J1204+K1204+L1204+M1204+N1204+O1204+IF(P1204="",0,P1204*サマリー!$B$9)+IF(Q1204="",0,IF(Q1204=200,サマリー!$B$10,IF(Q1204=100,サマリー!$B$11,0)))+IF(R1204="",0,R1204*サマリー!$B$12)</f>
        <v>0</v>
      </c>
      <c r="D1204" s="26">
        <f>S1204+T1204+U1204+V1204+W1204+IF(X1204="",0,X1204*サマリー!$B$9)+IF(Y1204="",0,IF(Y1204=200,サマリー!$B$10,IF(Y1204=100,サマリー!$B$11,0)))+IF(Z1204="",0,Z1204*サマリー!$B$12)</f>
        <v>0</v>
      </c>
      <c r="E1204" s="26">
        <f t="shared" si="46"/>
        <v>0</v>
      </c>
      <c r="I1204" s="29"/>
      <c r="J1204" s="29"/>
      <c r="K1204" s="29"/>
      <c r="L1204" s="29"/>
      <c r="M1204" s="29"/>
      <c r="N1204" s="29"/>
      <c r="O1204" s="29"/>
      <c r="P1204" s="30"/>
      <c r="Q1204" s="30"/>
      <c r="R1204" s="30"/>
      <c r="S1204" s="31"/>
      <c r="T1204" s="31"/>
      <c r="U1204" s="31"/>
      <c r="V1204" s="31"/>
      <c r="W1204" s="31"/>
      <c r="X1204" s="32"/>
      <c r="Y1204" s="32"/>
      <c r="Z1204" s="32"/>
    </row>
    <row r="1205" spans="1:26">
      <c r="A1205" s="28"/>
      <c r="B1205" s="17">
        <f t="shared" si="45"/>
        <v>46319</v>
      </c>
      <c r="C1205" s="26">
        <f>I1205+J1205+K1205+L1205+M1205+N1205+O1205+IF(P1205="",0,P1205*サマリー!$B$9)+IF(Q1205="",0,IF(Q1205=200,サマリー!$B$10,IF(Q1205=100,サマリー!$B$11,0)))+IF(R1205="",0,R1205*サマリー!$B$12)</f>
        <v>0</v>
      </c>
      <c r="D1205" s="26">
        <f>S1205+T1205+U1205+V1205+W1205+IF(X1205="",0,X1205*サマリー!$B$9)+IF(Y1205="",0,IF(Y1205=200,サマリー!$B$10,IF(Y1205=100,サマリー!$B$11,0)))+IF(Z1205="",0,Z1205*サマリー!$B$12)</f>
        <v>0</v>
      </c>
      <c r="E1205" s="26">
        <f t="shared" si="46"/>
        <v>0</v>
      </c>
      <c r="I1205" s="29"/>
      <c r="J1205" s="29"/>
      <c r="K1205" s="29"/>
      <c r="L1205" s="29"/>
      <c r="M1205" s="29"/>
      <c r="N1205" s="29"/>
      <c r="O1205" s="29"/>
      <c r="P1205" s="30"/>
      <c r="Q1205" s="30"/>
      <c r="R1205" s="30"/>
      <c r="S1205" s="31"/>
      <c r="T1205" s="31"/>
      <c r="U1205" s="31"/>
      <c r="V1205" s="31"/>
      <c r="W1205" s="31"/>
      <c r="X1205" s="32"/>
      <c r="Y1205" s="32"/>
      <c r="Z1205" s="32"/>
    </row>
    <row r="1206" spans="1:26">
      <c r="A1206" s="28"/>
      <c r="B1206" s="17">
        <f t="shared" si="45"/>
        <v>46319</v>
      </c>
      <c r="C1206" s="26">
        <f>I1206+J1206+K1206+L1206+M1206+N1206+O1206+IF(P1206="",0,P1206*サマリー!$B$9)+IF(Q1206="",0,IF(Q1206=200,サマリー!$B$10,IF(Q1206=100,サマリー!$B$11,0)))+IF(R1206="",0,R1206*サマリー!$B$12)</f>
        <v>0</v>
      </c>
      <c r="D1206" s="26">
        <f>S1206+T1206+U1206+V1206+W1206+IF(X1206="",0,X1206*サマリー!$B$9)+IF(Y1206="",0,IF(Y1206=200,サマリー!$B$10,IF(Y1206=100,サマリー!$B$11,0)))+IF(Z1206="",0,Z1206*サマリー!$B$12)</f>
        <v>0</v>
      </c>
      <c r="E1206" s="26">
        <f t="shared" si="46"/>
        <v>0</v>
      </c>
      <c r="I1206" s="29"/>
      <c r="J1206" s="29"/>
      <c r="K1206" s="29"/>
      <c r="L1206" s="29"/>
      <c r="M1206" s="29"/>
      <c r="N1206" s="29"/>
      <c r="O1206" s="29"/>
      <c r="P1206" s="30"/>
      <c r="Q1206" s="30"/>
      <c r="R1206" s="30"/>
      <c r="S1206" s="31"/>
      <c r="T1206" s="31"/>
      <c r="U1206" s="31"/>
      <c r="V1206" s="31"/>
      <c r="W1206" s="31"/>
      <c r="X1206" s="32"/>
      <c r="Y1206" s="32"/>
      <c r="Z1206" s="32"/>
    </row>
    <row r="1207" spans="1:26">
      <c r="A1207" s="28"/>
      <c r="B1207" s="17">
        <f t="shared" si="45"/>
        <v>46319</v>
      </c>
      <c r="C1207" s="26">
        <f>I1207+J1207+K1207+L1207+M1207+N1207+O1207+IF(P1207="",0,P1207*サマリー!$B$9)+IF(Q1207="",0,IF(Q1207=200,サマリー!$B$10,IF(Q1207=100,サマリー!$B$11,0)))+IF(R1207="",0,R1207*サマリー!$B$12)</f>
        <v>0</v>
      </c>
      <c r="D1207" s="26">
        <f>S1207+T1207+U1207+V1207+W1207+IF(X1207="",0,X1207*サマリー!$B$9)+IF(Y1207="",0,IF(Y1207=200,サマリー!$B$10,IF(Y1207=100,サマリー!$B$11,0)))+IF(Z1207="",0,Z1207*サマリー!$B$12)</f>
        <v>0</v>
      </c>
      <c r="E1207" s="26">
        <f t="shared" si="46"/>
        <v>0</v>
      </c>
      <c r="I1207" s="29"/>
      <c r="J1207" s="29"/>
      <c r="K1207" s="29"/>
      <c r="L1207" s="29"/>
      <c r="M1207" s="29"/>
      <c r="N1207" s="29"/>
      <c r="O1207" s="29"/>
      <c r="P1207" s="30"/>
      <c r="Q1207" s="30"/>
      <c r="R1207" s="30"/>
      <c r="S1207" s="31"/>
      <c r="T1207" s="31"/>
      <c r="U1207" s="31"/>
      <c r="V1207" s="31"/>
      <c r="W1207" s="31"/>
      <c r="X1207" s="32"/>
      <c r="Y1207" s="32"/>
      <c r="Z1207" s="32"/>
    </row>
    <row r="1208" spans="1:26">
      <c r="A1208" s="28"/>
      <c r="B1208" s="17">
        <f t="shared" si="45"/>
        <v>46319</v>
      </c>
      <c r="C1208" s="26">
        <f>I1208+J1208+K1208+L1208+M1208+N1208+O1208+IF(P1208="",0,P1208*サマリー!$B$9)+IF(Q1208="",0,IF(Q1208=200,サマリー!$B$10,IF(Q1208=100,サマリー!$B$11,0)))+IF(R1208="",0,R1208*サマリー!$B$12)</f>
        <v>0</v>
      </c>
      <c r="D1208" s="26">
        <f>S1208+T1208+U1208+V1208+W1208+IF(X1208="",0,X1208*サマリー!$B$9)+IF(Y1208="",0,IF(Y1208=200,サマリー!$B$10,IF(Y1208=100,サマリー!$B$11,0)))+IF(Z1208="",0,Z1208*サマリー!$B$12)</f>
        <v>0</v>
      </c>
      <c r="E1208" s="26">
        <f t="shared" si="46"/>
        <v>0</v>
      </c>
      <c r="I1208" s="29"/>
      <c r="J1208" s="29"/>
      <c r="K1208" s="29"/>
      <c r="L1208" s="29"/>
      <c r="M1208" s="29"/>
      <c r="N1208" s="29"/>
      <c r="O1208" s="29"/>
      <c r="P1208" s="30"/>
      <c r="Q1208" s="30"/>
      <c r="R1208" s="30"/>
      <c r="S1208" s="31"/>
      <c r="T1208" s="31"/>
      <c r="U1208" s="31"/>
      <c r="V1208" s="31"/>
      <c r="W1208" s="31"/>
      <c r="X1208" s="32"/>
      <c r="Y1208" s="32"/>
      <c r="Z1208" s="32"/>
    </row>
    <row r="1209" spans="1:26">
      <c r="A1209" s="28"/>
      <c r="B1209" s="17">
        <f t="shared" si="45"/>
        <v>46319</v>
      </c>
      <c r="C1209" s="26">
        <f>I1209+J1209+K1209+L1209+M1209+N1209+O1209+IF(P1209="",0,P1209*サマリー!$B$9)+IF(Q1209="",0,IF(Q1209=200,サマリー!$B$10,IF(Q1209=100,サマリー!$B$11,0)))+IF(R1209="",0,R1209*サマリー!$B$12)</f>
        <v>0</v>
      </c>
      <c r="D1209" s="26">
        <f>S1209+T1209+U1209+V1209+W1209+IF(X1209="",0,X1209*サマリー!$B$9)+IF(Y1209="",0,IF(Y1209=200,サマリー!$B$10,IF(Y1209=100,サマリー!$B$11,0)))+IF(Z1209="",0,Z1209*サマリー!$B$12)</f>
        <v>0</v>
      </c>
      <c r="E1209" s="26">
        <f t="shared" si="46"/>
        <v>0</v>
      </c>
      <c r="I1209" s="29"/>
      <c r="J1209" s="29"/>
      <c r="K1209" s="29"/>
      <c r="L1209" s="29"/>
      <c r="M1209" s="29"/>
      <c r="N1209" s="29"/>
      <c r="O1209" s="29"/>
      <c r="P1209" s="30"/>
      <c r="Q1209" s="30"/>
      <c r="R1209" s="30"/>
      <c r="S1209" s="31"/>
      <c r="T1209" s="31"/>
      <c r="U1209" s="31"/>
      <c r="V1209" s="31"/>
      <c r="W1209" s="31"/>
      <c r="X1209" s="32"/>
      <c r="Y1209" s="32"/>
      <c r="Z1209" s="32"/>
    </row>
    <row r="1210" spans="1:26">
      <c r="A1210" s="28"/>
      <c r="B1210" s="17">
        <f t="shared" si="45"/>
        <v>46319</v>
      </c>
      <c r="C1210" s="26">
        <f>I1210+J1210+K1210+L1210+M1210+N1210+O1210+IF(P1210="",0,P1210*サマリー!$B$9)+IF(Q1210="",0,IF(Q1210=200,サマリー!$B$10,IF(Q1210=100,サマリー!$B$11,0)))+IF(R1210="",0,R1210*サマリー!$B$12)</f>
        <v>0</v>
      </c>
      <c r="D1210" s="26">
        <f>S1210+T1210+U1210+V1210+W1210+IF(X1210="",0,X1210*サマリー!$B$9)+IF(Y1210="",0,IF(Y1210=200,サマリー!$B$10,IF(Y1210=100,サマリー!$B$11,0)))+IF(Z1210="",0,Z1210*サマリー!$B$12)</f>
        <v>0</v>
      </c>
      <c r="E1210" s="26">
        <f t="shared" si="46"/>
        <v>0</v>
      </c>
      <c r="I1210" s="29"/>
      <c r="J1210" s="29"/>
      <c r="K1210" s="29"/>
      <c r="L1210" s="29"/>
      <c r="M1210" s="29"/>
      <c r="N1210" s="29"/>
      <c r="O1210" s="29"/>
      <c r="P1210" s="30"/>
      <c r="Q1210" s="30"/>
      <c r="R1210" s="30"/>
      <c r="S1210" s="31"/>
      <c r="T1210" s="31"/>
      <c r="U1210" s="31"/>
      <c r="V1210" s="31"/>
      <c r="W1210" s="31"/>
      <c r="X1210" s="32"/>
      <c r="Y1210" s="32"/>
      <c r="Z1210" s="32"/>
    </row>
    <row r="1211" spans="1:26">
      <c r="A1211" s="28"/>
      <c r="B1211" s="17">
        <f t="shared" si="45"/>
        <v>46319</v>
      </c>
      <c r="C1211" s="26">
        <f>I1211+J1211+K1211+L1211+M1211+N1211+O1211+IF(P1211="",0,P1211*サマリー!$B$9)+IF(Q1211="",0,IF(Q1211=200,サマリー!$B$10,IF(Q1211=100,サマリー!$B$11,0)))+IF(R1211="",0,R1211*サマリー!$B$12)</f>
        <v>0</v>
      </c>
      <c r="D1211" s="26">
        <f>S1211+T1211+U1211+V1211+W1211+IF(X1211="",0,X1211*サマリー!$B$9)+IF(Y1211="",0,IF(Y1211=200,サマリー!$B$10,IF(Y1211=100,サマリー!$B$11,0)))+IF(Z1211="",0,Z1211*サマリー!$B$12)</f>
        <v>0</v>
      </c>
      <c r="E1211" s="26">
        <f t="shared" si="46"/>
        <v>0</v>
      </c>
      <c r="I1211" s="29"/>
      <c r="J1211" s="29"/>
      <c r="K1211" s="29"/>
      <c r="L1211" s="29"/>
      <c r="M1211" s="29"/>
      <c r="N1211" s="29"/>
      <c r="O1211" s="29"/>
      <c r="P1211" s="30"/>
      <c r="Q1211" s="30"/>
      <c r="R1211" s="30"/>
      <c r="S1211" s="31"/>
      <c r="T1211" s="31"/>
      <c r="U1211" s="31"/>
      <c r="V1211" s="31"/>
      <c r="W1211" s="31"/>
      <c r="X1211" s="32"/>
      <c r="Y1211" s="32"/>
      <c r="Z1211" s="32"/>
    </row>
    <row r="1212" spans="1:26">
      <c r="A1212" s="28"/>
      <c r="B1212" s="17">
        <f t="shared" si="45"/>
        <v>46319</v>
      </c>
      <c r="C1212" s="26">
        <f>I1212+J1212+K1212+L1212+M1212+N1212+O1212+IF(P1212="",0,P1212*サマリー!$B$9)+IF(Q1212="",0,IF(Q1212=200,サマリー!$B$10,IF(Q1212=100,サマリー!$B$11,0)))+IF(R1212="",0,R1212*サマリー!$B$12)</f>
        <v>0</v>
      </c>
      <c r="D1212" s="26">
        <f>S1212+T1212+U1212+V1212+W1212+IF(X1212="",0,X1212*サマリー!$B$9)+IF(Y1212="",0,IF(Y1212=200,サマリー!$B$10,IF(Y1212=100,サマリー!$B$11,0)))+IF(Z1212="",0,Z1212*サマリー!$B$12)</f>
        <v>0</v>
      </c>
      <c r="E1212" s="26">
        <f t="shared" si="46"/>
        <v>0</v>
      </c>
      <c r="I1212" s="29"/>
      <c r="J1212" s="29"/>
      <c r="K1212" s="29"/>
      <c r="L1212" s="29"/>
      <c r="M1212" s="29"/>
      <c r="N1212" s="29"/>
      <c r="O1212" s="29"/>
      <c r="P1212" s="30"/>
      <c r="Q1212" s="30"/>
      <c r="R1212" s="30"/>
      <c r="S1212" s="31"/>
      <c r="T1212" s="31"/>
      <c r="U1212" s="31"/>
      <c r="V1212" s="31"/>
      <c r="W1212" s="31"/>
      <c r="X1212" s="32"/>
      <c r="Y1212" s="32"/>
      <c r="Z1212" s="32"/>
    </row>
    <row r="1213" spans="1:26">
      <c r="A1213" s="28"/>
      <c r="B1213" s="17">
        <f t="shared" si="45"/>
        <v>46319</v>
      </c>
      <c r="C1213" s="26">
        <f>I1213+J1213+K1213+L1213+M1213+N1213+O1213+IF(P1213="",0,P1213*サマリー!$B$9)+IF(Q1213="",0,IF(Q1213=200,サマリー!$B$10,IF(Q1213=100,サマリー!$B$11,0)))+IF(R1213="",0,R1213*サマリー!$B$12)</f>
        <v>0</v>
      </c>
      <c r="D1213" s="26">
        <f>S1213+T1213+U1213+V1213+W1213+IF(X1213="",0,X1213*サマリー!$B$9)+IF(Y1213="",0,IF(Y1213=200,サマリー!$B$10,IF(Y1213=100,サマリー!$B$11,0)))+IF(Z1213="",0,Z1213*サマリー!$B$12)</f>
        <v>0</v>
      </c>
      <c r="E1213" s="26">
        <f t="shared" si="46"/>
        <v>0</v>
      </c>
      <c r="I1213" s="29"/>
      <c r="J1213" s="29"/>
      <c r="K1213" s="29"/>
      <c r="L1213" s="29"/>
      <c r="M1213" s="29"/>
      <c r="N1213" s="29"/>
      <c r="O1213" s="29"/>
      <c r="P1213" s="30"/>
      <c r="Q1213" s="30"/>
      <c r="R1213" s="30"/>
      <c r="S1213" s="31"/>
      <c r="T1213" s="31"/>
      <c r="U1213" s="31"/>
      <c r="V1213" s="31"/>
      <c r="W1213" s="31"/>
      <c r="X1213" s="32"/>
      <c r="Y1213" s="32"/>
      <c r="Z1213" s="32"/>
    </row>
    <row r="1214" spans="1:26">
      <c r="A1214" s="28"/>
      <c r="B1214" s="17">
        <f t="shared" si="45"/>
        <v>46319</v>
      </c>
      <c r="C1214" s="26">
        <f>I1214+J1214+K1214+L1214+M1214+N1214+O1214+IF(P1214="",0,P1214*サマリー!$B$9)+IF(Q1214="",0,IF(Q1214=200,サマリー!$B$10,IF(Q1214=100,サマリー!$B$11,0)))+IF(R1214="",0,R1214*サマリー!$B$12)</f>
        <v>0</v>
      </c>
      <c r="D1214" s="26">
        <f>S1214+T1214+U1214+V1214+W1214+IF(X1214="",0,X1214*サマリー!$B$9)+IF(Y1214="",0,IF(Y1214=200,サマリー!$B$10,IF(Y1214=100,サマリー!$B$11,0)))+IF(Z1214="",0,Z1214*サマリー!$B$12)</f>
        <v>0</v>
      </c>
      <c r="E1214" s="26">
        <f t="shared" si="46"/>
        <v>0</v>
      </c>
      <c r="I1214" s="29"/>
      <c r="J1214" s="29"/>
      <c r="K1214" s="29"/>
      <c r="L1214" s="29"/>
      <c r="M1214" s="29"/>
      <c r="N1214" s="29"/>
      <c r="O1214" s="29"/>
      <c r="P1214" s="30"/>
      <c r="Q1214" s="30"/>
      <c r="R1214" s="30"/>
      <c r="S1214" s="31"/>
      <c r="T1214" s="31"/>
      <c r="U1214" s="31"/>
      <c r="V1214" s="31"/>
      <c r="W1214" s="31"/>
      <c r="X1214" s="32"/>
      <c r="Y1214" s="32"/>
      <c r="Z1214" s="32"/>
    </row>
    <row r="1215" spans="1:26">
      <c r="A1215" s="28"/>
      <c r="B1215" s="17">
        <f t="shared" si="45"/>
        <v>46319</v>
      </c>
      <c r="C1215" s="26">
        <f>I1215+J1215+K1215+L1215+M1215+N1215+O1215+IF(P1215="",0,P1215*サマリー!$B$9)+IF(Q1215="",0,IF(Q1215=200,サマリー!$B$10,IF(Q1215=100,サマリー!$B$11,0)))+IF(R1215="",0,R1215*サマリー!$B$12)</f>
        <v>0</v>
      </c>
      <c r="D1215" s="26">
        <f>S1215+T1215+U1215+V1215+W1215+IF(X1215="",0,X1215*サマリー!$B$9)+IF(Y1215="",0,IF(Y1215=200,サマリー!$B$10,IF(Y1215=100,サマリー!$B$11,0)))+IF(Z1215="",0,Z1215*サマリー!$B$12)</f>
        <v>0</v>
      </c>
      <c r="E1215" s="26">
        <f t="shared" si="46"/>
        <v>0</v>
      </c>
      <c r="I1215" s="29"/>
      <c r="J1215" s="29"/>
      <c r="K1215" s="29"/>
      <c r="L1215" s="29"/>
      <c r="M1215" s="29"/>
      <c r="N1215" s="29"/>
      <c r="O1215" s="29"/>
      <c r="P1215" s="30"/>
      <c r="Q1215" s="30"/>
      <c r="R1215" s="30"/>
      <c r="S1215" s="31"/>
      <c r="T1215" s="31"/>
      <c r="U1215" s="31"/>
      <c r="V1215" s="31"/>
      <c r="W1215" s="31"/>
      <c r="X1215" s="32"/>
      <c r="Y1215" s="32"/>
      <c r="Z1215" s="32"/>
    </row>
    <row r="1216" spans="1:26">
      <c r="A1216" s="28"/>
      <c r="B1216" s="17">
        <f t="shared" si="45"/>
        <v>46319</v>
      </c>
      <c r="C1216" s="26">
        <f>I1216+J1216+K1216+L1216+M1216+N1216+O1216+IF(P1216="",0,P1216*サマリー!$B$9)+IF(Q1216="",0,IF(Q1216=200,サマリー!$B$10,IF(Q1216=100,サマリー!$B$11,0)))+IF(R1216="",0,R1216*サマリー!$B$12)</f>
        <v>0</v>
      </c>
      <c r="D1216" s="26">
        <f>S1216+T1216+U1216+V1216+W1216+IF(X1216="",0,X1216*サマリー!$B$9)+IF(Y1216="",0,IF(Y1216=200,サマリー!$B$10,IF(Y1216=100,サマリー!$B$11,0)))+IF(Z1216="",0,Z1216*サマリー!$B$12)</f>
        <v>0</v>
      </c>
      <c r="E1216" s="26">
        <f t="shared" si="46"/>
        <v>0</v>
      </c>
      <c r="I1216" s="29"/>
      <c r="J1216" s="29"/>
      <c r="K1216" s="29"/>
      <c r="L1216" s="29"/>
      <c r="M1216" s="29"/>
      <c r="N1216" s="29"/>
      <c r="O1216" s="29"/>
      <c r="P1216" s="30"/>
      <c r="Q1216" s="30"/>
      <c r="R1216" s="30"/>
      <c r="S1216" s="31"/>
      <c r="T1216" s="31"/>
      <c r="U1216" s="31"/>
      <c r="V1216" s="31"/>
      <c r="W1216" s="31"/>
      <c r="X1216" s="32"/>
      <c r="Y1216" s="32"/>
      <c r="Z1216" s="32"/>
    </row>
    <row r="1217" spans="1:26">
      <c r="A1217" s="28"/>
      <c r="B1217" s="17">
        <f t="shared" ref="B1217:B1280" si="47">IF(A1217="",B1216,IF(A1217&lt;DAY(B1216),DATE(YEAR(B1216),MONTH(B1216)+1,A1217),DATE(YEAR(B1216),MONTH(B1216),A1217)))</f>
        <v>46319</v>
      </c>
      <c r="C1217" s="26">
        <f>I1217+J1217+K1217+L1217+M1217+N1217+O1217+IF(P1217="",0,P1217*サマリー!$B$9)+IF(Q1217="",0,IF(Q1217=200,サマリー!$B$10,IF(Q1217=100,サマリー!$B$11,0)))+IF(R1217="",0,R1217*サマリー!$B$12)</f>
        <v>0</v>
      </c>
      <c r="D1217" s="26">
        <f>S1217+T1217+U1217+V1217+W1217+IF(X1217="",0,X1217*サマリー!$B$9)+IF(Y1217="",0,IF(Y1217=200,サマリー!$B$10,IF(Y1217=100,サマリー!$B$11,0)))+IF(Z1217="",0,Z1217*サマリー!$B$12)</f>
        <v>0</v>
      </c>
      <c r="E1217" s="26">
        <f t="shared" si="46"/>
        <v>0</v>
      </c>
      <c r="I1217" s="29"/>
      <c r="J1217" s="29"/>
      <c r="K1217" s="29"/>
      <c r="L1217" s="29"/>
      <c r="M1217" s="29"/>
      <c r="N1217" s="29"/>
      <c r="O1217" s="29"/>
      <c r="P1217" s="30"/>
      <c r="Q1217" s="30"/>
      <c r="R1217" s="30"/>
      <c r="S1217" s="31"/>
      <c r="T1217" s="31"/>
      <c r="U1217" s="31"/>
      <c r="V1217" s="31"/>
      <c r="W1217" s="31"/>
      <c r="X1217" s="32"/>
      <c r="Y1217" s="32"/>
      <c r="Z1217" s="32"/>
    </row>
    <row r="1218" spans="1:26">
      <c r="A1218" s="28"/>
      <c r="B1218" s="17">
        <f t="shared" si="47"/>
        <v>46319</v>
      </c>
      <c r="C1218" s="26">
        <f>I1218+J1218+K1218+L1218+M1218+N1218+O1218+IF(P1218="",0,P1218*サマリー!$B$9)+IF(Q1218="",0,IF(Q1218=200,サマリー!$B$10,IF(Q1218=100,サマリー!$B$11,0)))+IF(R1218="",0,R1218*サマリー!$B$12)</f>
        <v>0</v>
      </c>
      <c r="D1218" s="26">
        <f>S1218+T1218+U1218+V1218+W1218+IF(X1218="",0,X1218*サマリー!$B$9)+IF(Y1218="",0,IF(Y1218=200,サマリー!$B$10,IF(Y1218=100,サマリー!$B$11,0)))+IF(Z1218="",0,Z1218*サマリー!$B$12)</f>
        <v>0</v>
      </c>
      <c r="E1218" s="26">
        <f t="shared" si="46"/>
        <v>0</v>
      </c>
      <c r="I1218" s="29"/>
      <c r="J1218" s="29"/>
      <c r="K1218" s="29"/>
      <c r="L1218" s="29"/>
      <c r="M1218" s="29"/>
      <c r="N1218" s="29"/>
      <c r="O1218" s="29"/>
      <c r="P1218" s="30"/>
      <c r="Q1218" s="30"/>
      <c r="R1218" s="30"/>
      <c r="S1218" s="31"/>
      <c r="T1218" s="31"/>
      <c r="U1218" s="31"/>
      <c r="V1218" s="31"/>
      <c r="W1218" s="31"/>
      <c r="X1218" s="32"/>
      <c r="Y1218" s="32"/>
      <c r="Z1218" s="32"/>
    </row>
    <row r="1219" spans="1:26">
      <c r="A1219" s="28"/>
      <c r="B1219" s="17">
        <f t="shared" si="47"/>
        <v>46319</v>
      </c>
      <c r="C1219" s="26">
        <f>I1219+J1219+K1219+L1219+M1219+N1219+O1219+IF(P1219="",0,P1219*サマリー!$B$9)+IF(Q1219="",0,IF(Q1219=200,サマリー!$B$10,IF(Q1219=100,サマリー!$B$11,0)))+IF(R1219="",0,R1219*サマリー!$B$12)</f>
        <v>0</v>
      </c>
      <c r="D1219" s="26">
        <f>S1219+T1219+U1219+V1219+W1219+IF(X1219="",0,X1219*サマリー!$B$9)+IF(Y1219="",0,IF(Y1219=200,サマリー!$B$10,IF(Y1219=100,サマリー!$B$11,0)))+IF(Z1219="",0,Z1219*サマリー!$B$12)</f>
        <v>0</v>
      </c>
      <c r="E1219" s="26">
        <f t="shared" si="46"/>
        <v>0</v>
      </c>
      <c r="I1219" s="29"/>
      <c r="J1219" s="29"/>
      <c r="K1219" s="29"/>
      <c r="L1219" s="29"/>
      <c r="M1219" s="29"/>
      <c r="N1219" s="29"/>
      <c r="O1219" s="29"/>
      <c r="P1219" s="30"/>
      <c r="Q1219" s="30"/>
      <c r="R1219" s="30"/>
      <c r="S1219" s="31"/>
      <c r="T1219" s="31"/>
      <c r="U1219" s="31"/>
      <c r="V1219" s="31"/>
      <c r="W1219" s="31"/>
      <c r="X1219" s="32"/>
      <c r="Y1219" s="32"/>
      <c r="Z1219" s="32"/>
    </row>
    <row r="1220" spans="1:26">
      <c r="A1220" s="28"/>
      <c r="B1220" s="17">
        <f t="shared" si="47"/>
        <v>46319</v>
      </c>
      <c r="C1220" s="26">
        <f>I1220+J1220+K1220+L1220+M1220+N1220+O1220+IF(P1220="",0,P1220*サマリー!$B$9)+IF(Q1220="",0,IF(Q1220=200,サマリー!$B$10,IF(Q1220=100,サマリー!$B$11,0)))+IF(R1220="",0,R1220*サマリー!$B$12)</f>
        <v>0</v>
      </c>
      <c r="D1220" s="26">
        <f>S1220+T1220+U1220+V1220+W1220+IF(X1220="",0,X1220*サマリー!$B$9)+IF(Y1220="",0,IF(Y1220=200,サマリー!$B$10,IF(Y1220=100,サマリー!$B$11,0)))+IF(Z1220="",0,Z1220*サマリー!$B$12)</f>
        <v>0</v>
      </c>
      <c r="E1220" s="26">
        <f t="shared" si="46"/>
        <v>0</v>
      </c>
      <c r="I1220" s="29"/>
      <c r="J1220" s="29"/>
      <c r="K1220" s="29"/>
      <c r="L1220" s="29"/>
      <c r="M1220" s="29"/>
      <c r="N1220" s="29"/>
      <c r="O1220" s="29"/>
      <c r="P1220" s="30"/>
      <c r="Q1220" s="30"/>
      <c r="R1220" s="30"/>
      <c r="S1220" s="31"/>
      <c r="T1220" s="31"/>
      <c r="U1220" s="31"/>
      <c r="V1220" s="31"/>
      <c r="W1220" s="31"/>
      <c r="X1220" s="32"/>
      <c r="Y1220" s="32"/>
      <c r="Z1220" s="32"/>
    </row>
    <row r="1221" spans="1:26">
      <c r="A1221" s="28"/>
      <c r="B1221" s="17">
        <f t="shared" si="47"/>
        <v>46319</v>
      </c>
      <c r="C1221" s="26">
        <f>I1221+J1221+K1221+L1221+M1221+N1221+O1221+IF(P1221="",0,P1221*サマリー!$B$9)+IF(Q1221="",0,IF(Q1221=200,サマリー!$B$10,IF(Q1221=100,サマリー!$B$11,0)))+IF(R1221="",0,R1221*サマリー!$B$12)</f>
        <v>0</v>
      </c>
      <c r="D1221" s="26">
        <f>S1221+T1221+U1221+V1221+W1221+IF(X1221="",0,X1221*サマリー!$B$9)+IF(Y1221="",0,IF(Y1221=200,サマリー!$B$10,IF(Y1221=100,サマリー!$B$11,0)))+IF(Z1221="",0,Z1221*サマリー!$B$12)</f>
        <v>0</v>
      </c>
      <c r="E1221" s="26">
        <f t="shared" si="46"/>
        <v>0</v>
      </c>
      <c r="I1221" s="29"/>
      <c r="J1221" s="29"/>
      <c r="K1221" s="29"/>
      <c r="L1221" s="29"/>
      <c r="M1221" s="29"/>
      <c r="N1221" s="29"/>
      <c r="O1221" s="29"/>
      <c r="P1221" s="30"/>
      <c r="Q1221" s="30"/>
      <c r="R1221" s="30"/>
      <c r="S1221" s="31"/>
      <c r="T1221" s="31"/>
      <c r="U1221" s="31"/>
      <c r="V1221" s="31"/>
      <c r="W1221" s="31"/>
      <c r="X1221" s="32"/>
      <c r="Y1221" s="32"/>
      <c r="Z1221" s="32"/>
    </row>
    <row r="1222" spans="1:26">
      <c r="A1222" s="28"/>
      <c r="B1222" s="17">
        <f t="shared" si="47"/>
        <v>46319</v>
      </c>
      <c r="C1222" s="26">
        <f>I1222+J1222+K1222+L1222+M1222+N1222+O1222+IF(P1222="",0,P1222*サマリー!$B$9)+IF(Q1222="",0,IF(Q1222=200,サマリー!$B$10,IF(Q1222=100,サマリー!$B$11,0)))+IF(R1222="",0,R1222*サマリー!$B$12)</f>
        <v>0</v>
      </c>
      <c r="D1222" s="26">
        <f>S1222+T1222+U1222+V1222+W1222+IF(X1222="",0,X1222*サマリー!$B$9)+IF(Y1222="",0,IF(Y1222=200,サマリー!$B$10,IF(Y1222=100,サマリー!$B$11,0)))+IF(Z1222="",0,Z1222*サマリー!$B$12)</f>
        <v>0</v>
      </c>
      <c r="E1222" s="26">
        <f t="shared" si="46"/>
        <v>0</v>
      </c>
      <c r="I1222" s="29"/>
      <c r="J1222" s="29"/>
      <c r="K1222" s="29"/>
      <c r="L1222" s="29"/>
      <c r="M1222" s="29"/>
      <c r="N1222" s="29"/>
      <c r="O1222" s="29"/>
      <c r="P1222" s="30"/>
      <c r="Q1222" s="30"/>
      <c r="R1222" s="30"/>
      <c r="S1222" s="31"/>
      <c r="T1222" s="31"/>
      <c r="U1222" s="31"/>
      <c r="V1222" s="31"/>
      <c r="W1222" s="31"/>
      <c r="X1222" s="32"/>
      <c r="Y1222" s="32"/>
      <c r="Z1222" s="32"/>
    </row>
    <row r="1223" spans="1:26">
      <c r="A1223" s="28"/>
      <c r="B1223" s="17">
        <f t="shared" si="47"/>
        <v>46319</v>
      </c>
      <c r="C1223" s="26">
        <f>I1223+J1223+K1223+L1223+M1223+N1223+O1223+IF(P1223="",0,P1223*サマリー!$B$9)+IF(Q1223="",0,IF(Q1223=200,サマリー!$B$10,IF(Q1223=100,サマリー!$B$11,0)))+IF(R1223="",0,R1223*サマリー!$B$12)</f>
        <v>0</v>
      </c>
      <c r="D1223" s="26">
        <f>S1223+T1223+U1223+V1223+W1223+IF(X1223="",0,X1223*サマリー!$B$9)+IF(Y1223="",0,IF(Y1223=200,サマリー!$B$10,IF(Y1223=100,サマリー!$B$11,0)))+IF(Z1223="",0,Z1223*サマリー!$B$12)</f>
        <v>0</v>
      </c>
      <c r="E1223" s="26">
        <f t="shared" si="46"/>
        <v>0</v>
      </c>
      <c r="I1223" s="29"/>
      <c r="J1223" s="29"/>
      <c r="K1223" s="29"/>
      <c r="L1223" s="29"/>
      <c r="M1223" s="29"/>
      <c r="N1223" s="29"/>
      <c r="O1223" s="29"/>
      <c r="P1223" s="30"/>
      <c r="Q1223" s="30"/>
      <c r="R1223" s="30"/>
      <c r="S1223" s="31"/>
      <c r="T1223" s="31"/>
      <c r="U1223" s="31"/>
      <c r="V1223" s="31"/>
      <c r="W1223" s="31"/>
      <c r="X1223" s="32"/>
      <c r="Y1223" s="32"/>
      <c r="Z1223" s="32"/>
    </row>
    <row r="1224" spans="1:26">
      <c r="A1224" s="28"/>
      <c r="B1224" s="17">
        <f t="shared" si="47"/>
        <v>46319</v>
      </c>
      <c r="C1224" s="26">
        <f>I1224+J1224+K1224+L1224+M1224+N1224+O1224+IF(P1224="",0,P1224*サマリー!$B$9)+IF(Q1224="",0,IF(Q1224=200,サマリー!$B$10,IF(Q1224=100,サマリー!$B$11,0)))+IF(R1224="",0,R1224*サマリー!$B$12)</f>
        <v>0</v>
      </c>
      <c r="D1224" s="26">
        <f>S1224+T1224+U1224+V1224+W1224+IF(X1224="",0,X1224*サマリー!$B$9)+IF(Y1224="",0,IF(Y1224=200,サマリー!$B$10,IF(Y1224=100,サマリー!$B$11,0)))+IF(Z1224="",0,Z1224*サマリー!$B$12)</f>
        <v>0</v>
      </c>
      <c r="E1224" s="26">
        <f t="shared" si="46"/>
        <v>0</v>
      </c>
      <c r="I1224" s="29"/>
      <c r="J1224" s="29"/>
      <c r="K1224" s="29"/>
      <c r="L1224" s="29"/>
      <c r="M1224" s="29"/>
      <c r="N1224" s="29"/>
      <c r="O1224" s="29"/>
      <c r="P1224" s="30"/>
      <c r="Q1224" s="30"/>
      <c r="R1224" s="30"/>
      <c r="S1224" s="31"/>
      <c r="T1224" s="31"/>
      <c r="U1224" s="31"/>
      <c r="V1224" s="31"/>
      <c r="W1224" s="31"/>
      <c r="X1224" s="32"/>
      <c r="Y1224" s="32"/>
      <c r="Z1224" s="32"/>
    </row>
    <row r="1225" spans="1:26">
      <c r="A1225" s="28"/>
      <c r="B1225" s="17">
        <f t="shared" si="47"/>
        <v>46319</v>
      </c>
      <c r="C1225" s="26">
        <f>I1225+J1225+K1225+L1225+M1225+N1225+O1225+IF(P1225="",0,P1225*サマリー!$B$9)+IF(Q1225="",0,IF(Q1225=200,サマリー!$B$10,IF(Q1225=100,サマリー!$B$11,0)))+IF(R1225="",0,R1225*サマリー!$B$12)</f>
        <v>0</v>
      </c>
      <c r="D1225" s="26">
        <f>S1225+T1225+U1225+V1225+W1225+IF(X1225="",0,X1225*サマリー!$B$9)+IF(Y1225="",0,IF(Y1225=200,サマリー!$B$10,IF(Y1225=100,サマリー!$B$11,0)))+IF(Z1225="",0,Z1225*サマリー!$B$12)</f>
        <v>0</v>
      </c>
      <c r="E1225" s="26">
        <f t="shared" si="46"/>
        <v>0</v>
      </c>
      <c r="I1225" s="29"/>
      <c r="J1225" s="29"/>
      <c r="K1225" s="29"/>
      <c r="L1225" s="29"/>
      <c r="M1225" s="29"/>
      <c r="N1225" s="29"/>
      <c r="O1225" s="29"/>
      <c r="P1225" s="30"/>
      <c r="Q1225" s="30"/>
      <c r="R1225" s="30"/>
      <c r="S1225" s="31"/>
      <c r="T1225" s="31"/>
      <c r="U1225" s="31"/>
      <c r="V1225" s="31"/>
      <c r="W1225" s="31"/>
      <c r="X1225" s="32"/>
      <c r="Y1225" s="32"/>
      <c r="Z1225" s="32"/>
    </row>
    <row r="1226" spans="1:26">
      <c r="A1226" s="28"/>
      <c r="B1226" s="17">
        <f t="shared" si="47"/>
        <v>46319</v>
      </c>
      <c r="C1226" s="26">
        <f>I1226+J1226+K1226+L1226+M1226+N1226+O1226+IF(P1226="",0,P1226*サマリー!$B$9)+IF(Q1226="",0,IF(Q1226=200,サマリー!$B$10,IF(Q1226=100,サマリー!$B$11,0)))+IF(R1226="",0,R1226*サマリー!$B$12)</f>
        <v>0</v>
      </c>
      <c r="D1226" s="26">
        <f>S1226+T1226+U1226+V1226+W1226+IF(X1226="",0,X1226*サマリー!$B$9)+IF(Y1226="",0,IF(Y1226=200,サマリー!$B$10,IF(Y1226=100,サマリー!$B$11,0)))+IF(Z1226="",0,Z1226*サマリー!$B$12)</f>
        <v>0</v>
      </c>
      <c r="E1226" s="26">
        <f t="shared" si="46"/>
        <v>0</v>
      </c>
      <c r="I1226" s="29"/>
      <c r="J1226" s="29"/>
      <c r="K1226" s="29"/>
      <c r="L1226" s="29"/>
      <c r="M1226" s="29"/>
      <c r="N1226" s="29"/>
      <c r="O1226" s="29"/>
      <c r="P1226" s="30"/>
      <c r="Q1226" s="30"/>
      <c r="R1226" s="30"/>
      <c r="S1226" s="31"/>
      <c r="T1226" s="31"/>
      <c r="U1226" s="31"/>
      <c r="V1226" s="31"/>
      <c r="W1226" s="31"/>
      <c r="X1226" s="32"/>
      <c r="Y1226" s="32"/>
      <c r="Z1226" s="32"/>
    </row>
    <row r="1227" spans="1:26">
      <c r="A1227" s="28"/>
      <c r="B1227" s="17">
        <f t="shared" si="47"/>
        <v>46319</v>
      </c>
      <c r="C1227" s="26">
        <f>I1227+J1227+K1227+L1227+M1227+N1227+O1227+IF(P1227="",0,P1227*サマリー!$B$9)+IF(Q1227="",0,IF(Q1227=200,サマリー!$B$10,IF(Q1227=100,サマリー!$B$11,0)))+IF(R1227="",0,R1227*サマリー!$B$12)</f>
        <v>0</v>
      </c>
      <c r="D1227" s="26">
        <f>S1227+T1227+U1227+V1227+W1227+IF(X1227="",0,X1227*サマリー!$B$9)+IF(Y1227="",0,IF(Y1227=200,サマリー!$B$10,IF(Y1227=100,サマリー!$B$11,0)))+IF(Z1227="",0,Z1227*サマリー!$B$12)</f>
        <v>0</v>
      </c>
      <c r="E1227" s="26">
        <f t="shared" si="46"/>
        <v>0</v>
      </c>
      <c r="I1227" s="29"/>
      <c r="J1227" s="29"/>
      <c r="K1227" s="29"/>
      <c r="L1227" s="29"/>
      <c r="M1227" s="29"/>
      <c r="N1227" s="29"/>
      <c r="O1227" s="29"/>
      <c r="P1227" s="30"/>
      <c r="Q1227" s="30"/>
      <c r="R1227" s="30"/>
      <c r="S1227" s="31"/>
      <c r="T1227" s="31"/>
      <c r="U1227" s="31"/>
      <c r="V1227" s="31"/>
      <c r="W1227" s="31"/>
      <c r="X1227" s="32"/>
      <c r="Y1227" s="32"/>
      <c r="Z1227" s="32"/>
    </row>
    <row r="1228" spans="1:26">
      <c r="A1228" s="28"/>
      <c r="B1228" s="17">
        <f t="shared" si="47"/>
        <v>46319</v>
      </c>
      <c r="C1228" s="26">
        <f>I1228+J1228+K1228+L1228+M1228+N1228+O1228+IF(P1228="",0,P1228*サマリー!$B$9)+IF(Q1228="",0,IF(Q1228=200,サマリー!$B$10,IF(Q1228=100,サマリー!$B$11,0)))+IF(R1228="",0,R1228*サマリー!$B$12)</f>
        <v>0</v>
      </c>
      <c r="D1228" s="26">
        <f>S1228+T1228+U1228+V1228+W1228+IF(X1228="",0,X1228*サマリー!$B$9)+IF(Y1228="",0,IF(Y1228=200,サマリー!$B$10,IF(Y1228=100,サマリー!$B$11,0)))+IF(Z1228="",0,Z1228*サマリー!$B$12)</f>
        <v>0</v>
      </c>
      <c r="E1228" s="26">
        <f t="shared" si="46"/>
        <v>0</v>
      </c>
      <c r="I1228" s="29"/>
      <c r="J1228" s="29"/>
      <c r="K1228" s="29"/>
      <c r="L1228" s="29"/>
      <c r="M1228" s="29"/>
      <c r="N1228" s="29"/>
      <c r="O1228" s="29"/>
      <c r="P1228" s="30"/>
      <c r="Q1228" s="30"/>
      <c r="R1228" s="30"/>
      <c r="S1228" s="31"/>
      <c r="T1228" s="31"/>
      <c r="U1228" s="31"/>
      <c r="V1228" s="31"/>
      <c r="W1228" s="31"/>
      <c r="X1228" s="32"/>
      <c r="Y1228" s="32"/>
      <c r="Z1228" s="32"/>
    </row>
    <row r="1229" spans="1:26">
      <c r="A1229" s="28"/>
      <c r="B1229" s="17">
        <f t="shared" si="47"/>
        <v>46319</v>
      </c>
      <c r="C1229" s="26">
        <f>I1229+J1229+K1229+L1229+M1229+N1229+O1229+IF(P1229="",0,P1229*サマリー!$B$9)+IF(Q1229="",0,IF(Q1229=200,サマリー!$B$10,IF(Q1229=100,サマリー!$B$11,0)))+IF(R1229="",0,R1229*サマリー!$B$12)</f>
        <v>0</v>
      </c>
      <c r="D1229" s="26">
        <f>S1229+T1229+U1229+V1229+W1229+IF(X1229="",0,X1229*サマリー!$B$9)+IF(Y1229="",0,IF(Y1229=200,サマリー!$B$10,IF(Y1229=100,サマリー!$B$11,0)))+IF(Z1229="",0,Z1229*サマリー!$B$12)</f>
        <v>0</v>
      </c>
      <c r="E1229" s="26">
        <f t="shared" si="46"/>
        <v>0</v>
      </c>
      <c r="I1229" s="29"/>
      <c r="J1229" s="29"/>
      <c r="K1229" s="29"/>
      <c r="L1229" s="29"/>
      <c r="M1229" s="29"/>
      <c r="N1229" s="29"/>
      <c r="O1229" s="29"/>
      <c r="P1229" s="30"/>
      <c r="Q1229" s="30"/>
      <c r="R1229" s="30"/>
      <c r="S1229" s="31"/>
      <c r="T1229" s="31"/>
      <c r="U1229" s="31"/>
      <c r="V1229" s="31"/>
      <c r="W1229" s="31"/>
      <c r="X1229" s="32"/>
      <c r="Y1229" s="32"/>
      <c r="Z1229" s="32"/>
    </row>
    <row r="1230" spans="1:26">
      <c r="A1230" s="28"/>
      <c r="B1230" s="17">
        <f t="shared" si="47"/>
        <v>46319</v>
      </c>
      <c r="C1230" s="26">
        <f>I1230+J1230+K1230+L1230+M1230+N1230+O1230+IF(P1230="",0,P1230*サマリー!$B$9)+IF(Q1230="",0,IF(Q1230=200,サマリー!$B$10,IF(Q1230=100,サマリー!$B$11,0)))+IF(R1230="",0,R1230*サマリー!$B$12)</f>
        <v>0</v>
      </c>
      <c r="D1230" s="26">
        <f>S1230+T1230+U1230+V1230+W1230+IF(X1230="",0,X1230*サマリー!$B$9)+IF(Y1230="",0,IF(Y1230=200,サマリー!$B$10,IF(Y1230=100,サマリー!$B$11,0)))+IF(Z1230="",0,Z1230*サマリー!$B$12)</f>
        <v>0</v>
      </c>
      <c r="E1230" s="26">
        <f t="shared" si="46"/>
        <v>0</v>
      </c>
      <c r="I1230" s="29"/>
      <c r="J1230" s="29"/>
      <c r="K1230" s="29"/>
      <c r="L1230" s="29"/>
      <c r="M1230" s="29"/>
      <c r="N1230" s="29"/>
      <c r="O1230" s="29"/>
      <c r="P1230" s="30"/>
      <c r="Q1230" s="30"/>
      <c r="R1230" s="30"/>
      <c r="S1230" s="31"/>
      <c r="T1230" s="31"/>
      <c r="U1230" s="31"/>
      <c r="V1230" s="31"/>
      <c r="W1230" s="31"/>
      <c r="X1230" s="32"/>
      <c r="Y1230" s="32"/>
      <c r="Z1230" s="32"/>
    </row>
    <row r="1231" spans="1:26">
      <c r="A1231" s="28"/>
      <c r="B1231" s="17">
        <f t="shared" si="47"/>
        <v>46319</v>
      </c>
      <c r="C1231" s="26">
        <f>I1231+J1231+K1231+L1231+M1231+N1231+O1231+IF(P1231="",0,P1231*サマリー!$B$9)+IF(Q1231="",0,IF(Q1231=200,サマリー!$B$10,IF(Q1231=100,サマリー!$B$11,0)))+IF(R1231="",0,R1231*サマリー!$B$12)</f>
        <v>0</v>
      </c>
      <c r="D1231" s="26">
        <f>S1231+T1231+U1231+V1231+W1231+IF(X1231="",0,X1231*サマリー!$B$9)+IF(Y1231="",0,IF(Y1231=200,サマリー!$B$10,IF(Y1231=100,サマリー!$B$11,0)))+IF(Z1231="",0,Z1231*サマリー!$B$12)</f>
        <v>0</v>
      </c>
      <c r="E1231" s="26">
        <f t="shared" si="46"/>
        <v>0</v>
      </c>
      <c r="I1231" s="29"/>
      <c r="J1231" s="29"/>
      <c r="K1231" s="29"/>
      <c r="L1231" s="29"/>
      <c r="M1231" s="29"/>
      <c r="N1231" s="29"/>
      <c r="O1231" s="29"/>
      <c r="P1231" s="30"/>
      <c r="Q1231" s="30"/>
      <c r="R1231" s="30"/>
      <c r="S1231" s="31"/>
      <c r="T1231" s="31"/>
      <c r="U1231" s="31"/>
      <c r="V1231" s="31"/>
      <c r="W1231" s="31"/>
      <c r="X1231" s="32"/>
      <c r="Y1231" s="32"/>
      <c r="Z1231" s="32"/>
    </row>
    <row r="1232" spans="1:26">
      <c r="A1232" s="28"/>
      <c r="B1232" s="17">
        <f t="shared" si="47"/>
        <v>46319</v>
      </c>
      <c r="C1232" s="26">
        <f>I1232+J1232+K1232+L1232+M1232+N1232+O1232+IF(P1232="",0,P1232*サマリー!$B$9)+IF(Q1232="",0,IF(Q1232=200,サマリー!$B$10,IF(Q1232=100,サマリー!$B$11,0)))+IF(R1232="",0,R1232*サマリー!$B$12)</f>
        <v>0</v>
      </c>
      <c r="D1232" s="26">
        <f>S1232+T1232+U1232+V1232+W1232+IF(X1232="",0,X1232*サマリー!$B$9)+IF(Y1232="",0,IF(Y1232=200,サマリー!$B$10,IF(Y1232=100,サマリー!$B$11,0)))+IF(Z1232="",0,Z1232*サマリー!$B$12)</f>
        <v>0</v>
      </c>
      <c r="E1232" s="26">
        <f t="shared" si="46"/>
        <v>0</v>
      </c>
      <c r="I1232" s="29"/>
      <c r="J1232" s="29"/>
      <c r="K1232" s="29"/>
      <c r="L1232" s="29"/>
      <c r="M1232" s="29"/>
      <c r="N1232" s="29"/>
      <c r="O1232" s="29"/>
      <c r="P1232" s="30"/>
      <c r="Q1232" s="30"/>
      <c r="R1232" s="30"/>
      <c r="S1232" s="31"/>
      <c r="T1232" s="31"/>
      <c r="U1232" s="31"/>
      <c r="V1232" s="31"/>
      <c r="W1232" s="31"/>
      <c r="X1232" s="32"/>
      <c r="Y1232" s="32"/>
      <c r="Z1232" s="32"/>
    </row>
    <row r="1233" spans="1:26">
      <c r="A1233" s="28"/>
      <c r="B1233" s="17">
        <f t="shared" si="47"/>
        <v>46319</v>
      </c>
      <c r="C1233" s="26">
        <f>I1233+J1233+K1233+L1233+M1233+N1233+O1233+IF(P1233="",0,P1233*サマリー!$B$9)+IF(Q1233="",0,IF(Q1233=200,サマリー!$B$10,IF(Q1233=100,サマリー!$B$11,0)))+IF(R1233="",0,R1233*サマリー!$B$12)</f>
        <v>0</v>
      </c>
      <c r="D1233" s="26">
        <f>S1233+T1233+U1233+V1233+W1233+IF(X1233="",0,X1233*サマリー!$B$9)+IF(Y1233="",0,IF(Y1233=200,サマリー!$B$10,IF(Y1233=100,サマリー!$B$11,0)))+IF(Z1233="",0,Z1233*サマリー!$B$12)</f>
        <v>0</v>
      </c>
      <c r="E1233" s="26">
        <f t="shared" si="46"/>
        <v>0</v>
      </c>
      <c r="I1233" s="29"/>
      <c r="J1233" s="29"/>
      <c r="K1233" s="29"/>
      <c r="L1233" s="29"/>
      <c r="M1233" s="29"/>
      <c r="N1233" s="29"/>
      <c r="O1233" s="29"/>
      <c r="P1233" s="30"/>
      <c r="Q1233" s="30"/>
      <c r="R1233" s="30"/>
      <c r="S1233" s="31"/>
      <c r="T1233" s="31"/>
      <c r="U1233" s="31"/>
      <c r="V1233" s="31"/>
      <c r="W1233" s="31"/>
      <c r="X1233" s="32"/>
      <c r="Y1233" s="32"/>
      <c r="Z1233" s="32"/>
    </row>
    <row r="1234" spans="1:26">
      <c r="A1234" s="28"/>
      <c r="B1234" s="17">
        <f t="shared" si="47"/>
        <v>46319</v>
      </c>
      <c r="C1234" s="26">
        <f>I1234+J1234+K1234+L1234+M1234+N1234+O1234+IF(P1234="",0,P1234*サマリー!$B$9)+IF(Q1234="",0,IF(Q1234=200,サマリー!$B$10,IF(Q1234=100,サマリー!$B$11,0)))+IF(R1234="",0,R1234*サマリー!$B$12)</f>
        <v>0</v>
      </c>
      <c r="D1234" s="26">
        <f>S1234+T1234+U1234+V1234+W1234+IF(X1234="",0,X1234*サマリー!$B$9)+IF(Y1234="",0,IF(Y1234=200,サマリー!$B$10,IF(Y1234=100,サマリー!$B$11,0)))+IF(Z1234="",0,Z1234*サマリー!$B$12)</f>
        <v>0</v>
      </c>
      <c r="E1234" s="26">
        <f t="shared" si="46"/>
        <v>0</v>
      </c>
      <c r="I1234" s="29"/>
      <c r="J1234" s="29"/>
      <c r="K1234" s="29"/>
      <c r="L1234" s="29"/>
      <c r="M1234" s="29"/>
      <c r="N1234" s="29"/>
      <c r="O1234" s="29"/>
      <c r="P1234" s="30"/>
      <c r="Q1234" s="30"/>
      <c r="R1234" s="30"/>
      <c r="S1234" s="31"/>
      <c r="T1234" s="31"/>
      <c r="U1234" s="31"/>
      <c r="V1234" s="31"/>
      <c r="W1234" s="31"/>
      <c r="X1234" s="32"/>
      <c r="Y1234" s="32"/>
      <c r="Z1234" s="32"/>
    </row>
    <row r="1235" spans="1:26">
      <c r="A1235" s="28"/>
      <c r="B1235" s="17">
        <f t="shared" si="47"/>
        <v>46319</v>
      </c>
      <c r="C1235" s="26">
        <f>I1235+J1235+K1235+L1235+M1235+N1235+O1235+IF(P1235="",0,P1235*サマリー!$B$9)+IF(Q1235="",0,IF(Q1235=200,サマリー!$B$10,IF(Q1235=100,サマリー!$B$11,0)))+IF(R1235="",0,R1235*サマリー!$B$12)</f>
        <v>0</v>
      </c>
      <c r="D1235" s="26">
        <f>S1235+T1235+U1235+V1235+W1235+IF(X1235="",0,X1235*サマリー!$B$9)+IF(Y1235="",0,IF(Y1235=200,サマリー!$B$10,IF(Y1235=100,サマリー!$B$11,0)))+IF(Z1235="",0,Z1235*サマリー!$B$12)</f>
        <v>0</v>
      </c>
      <c r="E1235" s="26">
        <f t="shared" si="46"/>
        <v>0</v>
      </c>
      <c r="I1235" s="29"/>
      <c r="J1235" s="29"/>
      <c r="K1235" s="29"/>
      <c r="L1235" s="29"/>
      <c r="M1235" s="29"/>
      <c r="N1235" s="29"/>
      <c r="O1235" s="29"/>
      <c r="P1235" s="30"/>
      <c r="Q1235" s="30"/>
      <c r="R1235" s="30"/>
      <c r="S1235" s="31"/>
      <c r="T1235" s="31"/>
      <c r="U1235" s="31"/>
      <c r="V1235" s="31"/>
      <c r="W1235" s="31"/>
      <c r="X1235" s="32"/>
      <c r="Y1235" s="32"/>
      <c r="Z1235" s="32"/>
    </row>
    <row r="1236" spans="1:26">
      <c r="A1236" s="28"/>
      <c r="B1236" s="17">
        <f t="shared" si="47"/>
        <v>46319</v>
      </c>
      <c r="C1236" s="26">
        <f>I1236+J1236+K1236+L1236+M1236+N1236+O1236+IF(P1236="",0,P1236*サマリー!$B$9)+IF(Q1236="",0,IF(Q1236=200,サマリー!$B$10,IF(Q1236=100,サマリー!$B$11,0)))+IF(R1236="",0,R1236*サマリー!$B$12)</f>
        <v>0</v>
      </c>
      <c r="D1236" s="26">
        <f>S1236+T1236+U1236+V1236+W1236+IF(X1236="",0,X1236*サマリー!$B$9)+IF(Y1236="",0,IF(Y1236=200,サマリー!$B$10,IF(Y1236=100,サマリー!$B$11,0)))+IF(Z1236="",0,Z1236*サマリー!$B$12)</f>
        <v>0</v>
      </c>
      <c r="E1236" s="26">
        <f t="shared" si="46"/>
        <v>0</v>
      </c>
      <c r="I1236" s="29"/>
      <c r="J1236" s="29"/>
      <c r="K1236" s="29"/>
      <c r="L1236" s="29"/>
      <c r="M1236" s="29"/>
      <c r="N1236" s="29"/>
      <c r="O1236" s="29"/>
      <c r="P1236" s="30"/>
      <c r="Q1236" s="30"/>
      <c r="R1236" s="30"/>
      <c r="S1236" s="31"/>
      <c r="T1236" s="31"/>
      <c r="U1236" s="31"/>
      <c r="V1236" s="31"/>
      <c r="W1236" s="31"/>
      <c r="X1236" s="32"/>
      <c r="Y1236" s="32"/>
      <c r="Z1236" s="32"/>
    </row>
    <row r="1237" spans="1:26">
      <c r="A1237" s="28"/>
      <c r="B1237" s="17">
        <f t="shared" si="47"/>
        <v>46319</v>
      </c>
      <c r="C1237" s="26">
        <f>I1237+J1237+K1237+L1237+M1237+N1237+O1237+IF(P1237="",0,P1237*サマリー!$B$9)+IF(Q1237="",0,IF(Q1237=200,サマリー!$B$10,IF(Q1237=100,サマリー!$B$11,0)))+IF(R1237="",0,R1237*サマリー!$B$12)</f>
        <v>0</v>
      </c>
      <c r="D1237" s="26">
        <f>S1237+T1237+U1237+V1237+W1237+IF(X1237="",0,X1237*サマリー!$B$9)+IF(Y1237="",0,IF(Y1237=200,サマリー!$B$10,IF(Y1237=100,サマリー!$B$11,0)))+IF(Z1237="",0,Z1237*サマリー!$B$12)</f>
        <v>0</v>
      </c>
      <c r="E1237" s="26">
        <f t="shared" si="46"/>
        <v>0</v>
      </c>
      <c r="I1237" s="29"/>
      <c r="J1237" s="29"/>
      <c r="K1237" s="29"/>
      <c r="L1237" s="29"/>
      <c r="M1237" s="29"/>
      <c r="N1237" s="29"/>
      <c r="O1237" s="29"/>
      <c r="P1237" s="30"/>
      <c r="Q1237" s="30"/>
      <c r="R1237" s="30"/>
      <c r="S1237" s="31"/>
      <c r="T1237" s="31"/>
      <c r="U1237" s="31"/>
      <c r="V1237" s="31"/>
      <c r="W1237" s="31"/>
      <c r="X1237" s="32"/>
      <c r="Y1237" s="32"/>
      <c r="Z1237" s="32"/>
    </row>
    <row r="1238" spans="1:26">
      <c r="A1238" s="28"/>
      <c r="B1238" s="17">
        <f t="shared" si="47"/>
        <v>46319</v>
      </c>
      <c r="C1238" s="26">
        <f>I1238+J1238+K1238+L1238+M1238+N1238+O1238+IF(P1238="",0,P1238*サマリー!$B$9)+IF(Q1238="",0,IF(Q1238=200,サマリー!$B$10,IF(Q1238=100,サマリー!$B$11,0)))+IF(R1238="",0,R1238*サマリー!$B$12)</f>
        <v>0</v>
      </c>
      <c r="D1238" s="26">
        <f>S1238+T1238+U1238+V1238+W1238+IF(X1238="",0,X1238*サマリー!$B$9)+IF(Y1238="",0,IF(Y1238=200,サマリー!$B$10,IF(Y1238=100,サマリー!$B$11,0)))+IF(Z1238="",0,Z1238*サマリー!$B$12)</f>
        <v>0</v>
      </c>
      <c r="E1238" s="26">
        <f t="shared" si="46"/>
        <v>0</v>
      </c>
      <c r="I1238" s="29"/>
      <c r="J1238" s="29"/>
      <c r="K1238" s="29"/>
      <c r="L1238" s="29"/>
      <c r="M1238" s="29"/>
      <c r="N1238" s="29"/>
      <c r="O1238" s="29"/>
      <c r="P1238" s="30"/>
      <c r="Q1238" s="30"/>
      <c r="R1238" s="30"/>
      <c r="S1238" s="31"/>
      <c r="T1238" s="31"/>
      <c r="U1238" s="31"/>
      <c r="V1238" s="31"/>
      <c r="W1238" s="31"/>
      <c r="X1238" s="32"/>
      <c r="Y1238" s="32"/>
      <c r="Z1238" s="32"/>
    </row>
    <row r="1239" spans="1:26">
      <c r="A1239" s="28"/>
      <c r="B1239" s="17">
        <f t="shared" si="47"/>
        <v>46319</v>
      </c>
      <c r="C1239" s="26">
        <f>I1239+J1239+K1239+L1239+M1239+N1239+O1239+IF(P1239="",0,P1239*サマリー!$B$9)+IF(Q1239="",0,IF(Q1239=200,サマリー!$B$10,IF(Q1239=100,サマリー!$B$11,0)))+IF(R1239="",0,R1239*サマリー!$B$12)</f>
        <v>0</v>
      </c>
      <c r="D1239" s="26">
        <f>S1239+T1239+U1239+V1239+W1239+IF(X1239="",0,X1239*サマリー!$B$9)+IF(Y1239="",0,IF(Y1239=200,サマリー!$B$10,IF(Y1239=100,サマリー!$B$11,0)))+IF(Z1239="",0,Z1239*サマリー!$B$12)</f>
        <v>0</v>
      </c>
      <c r="E1239" s="26">
        <f t="shared" si="46"/>
        <v>0</v>
      </c>
      <c r="I1239" s="29"/>
      <c r="J1239" s="29"/>
      <c r="K1239" s="29"/>
      <c r="L1239" s="29"/>
      <c r="M1239" s="29"/>
      <c r="N1239" s="29"/>
      <c r="O1239" s="29"/>
      <c r="P1239" s="30"/>
      <c r="Q1239" s="30"/>
      <c r="R1239" s="30"/>
      <c r="S1239" s="31"/>
      <c r="T1239" s="31"/>
      <c r="U1239" s="31"/>
      <c r="V1239" s="31"/>
      <c r="W1239" s="31"/>
      <c r="X1239" s="32"/>
      <c r="Y1239" s="32"/>
      <c r="Z1239" s="32"/>
    </row>
    <row r="1240" spans="1:26">
      <c r="A1240" s="28"/>
      <c r="B1240" s="17">
        <f t="shared" si="47"/>
        <v>46319</v>
      </c>
      <c r="C1240" s="26">
        <f>I1240+J1240+K1240+L1240+M1240+N1240+O1240+IF(P1240="",0,P1240*サマリー!$B$9)+IF(Q1240="",0,IF(Q1240=200,サマリー!$B$10,IF(Q1240=100,サマリー!$B$11,0)))+IF(R1240="",0,R1240*サマリー!$B$12)</f>
        <v>0</v>
      </c>
      <c r="D1240" s="26">
        <f>S1240+T1240+U1240+V1240+W1240+IF(X1240="",0,X1240*サマリー!$B$9)+IF(Y1240="",0,IF(Y1240=200,サマリー!$B$10,IF(Y1240=100,サマリー!$B$11,0)))+IF(Z1240="",0,Z1240*サマリー!$B$12)</f>
        <v>0</v>
      </c>
      <c r="E1240" s="26">
        <f t="shared" si="46"/>
        <v>0</v>
      </c>
      <c r="I1240" s="29"/>
      <c r="J1240" s="29"/>
      <c r="K1240" s="29"/>
      <c r="L1240" s="29"/>
      <c r="M1240" s="29"/>
      <c r="N1240" s="29"/>
      <c r="O1240" s="29"/>
      <c r="P1240" s="30"/>
      <c r="Q1240" s="30"/>
      <c r="R1240" s="30"/>
      <c r="S1240" s="31"/>
      <c r="T1240" s="31"/>
      <c r="U1240" s="31"/>
      <c r="V1240" s="31"/>
      <c r="W1240" s="31"/>
      <c r="X1240" s="32"/>
      <c r="Y1240" s="32"/>
      <c r="Z1240" s="32"/>
    </row>
    <row r="1241" spans="1:26">
      <c r="A1241" s="28"/>
      <c r="B1241" s="17">
        <f t="shared" si="47"/>
        <v>46319</v>
      </c>
      <c r="C1241" s="26">
        <f>I1241+J1241+K1241+L1241+M1241+N1241+O1241+IF(P1241="",0,P1241*サマリー!$B$9)+IF(Q1241="",0,IF(Q1241=200,サマリー!$B$10,IF(Q1241=100,サマリー!$B$11,0)))+IF(R1241="",0,R1241*サマリー!$B$12)</f>
        <v>0</v>
      </c>
      <c r="D1241" s="26">
        <f>S1241+T1241+U1241+V1241+W1241+IF(X1241="",0,X1241*サマリー!$B$9)+IF(Y1241="",0,IF(Y1241=200,サマリー!$B$10,IF(Y1241=100,サマリー!$B$11,0)))+IF(Z1241="",0,Z1241*サマリー!$B$12)</f>
        <v>0</v>
      </c>
      <c r="E1241" s="26">
        <f t="shared" si="46"/>
        <v>0</v>
      </c>
      <c r="I1241" s="29"/>
      <c r="J1241" s="29"/>
      <c r="K1241" s="29"/>
      <c r="L1241" s="29"/>
      <c r="M1241" s="29"/>
      <c r="N1241" s="29"/>
      <c r="O1241" s="29"/>
      <c r="P1241" s="30"/>
      <c r="Q1241" s="30"/>
      <c r="R1241" s="30"/>
      <c r="S1241" s="31"/>
      <c r="T1241" s="31"/>
      <c r="U1241" s="31"/>
      <c r="V1241" s="31"/>
      <c r="W1241" s="31"/>
      <c r="X1241" s="32"/>
      <c r="Y1241" s="32"/>
      <c r="Z1241" s="32"/>
    </row>
    <row r="1242" spans="1:26">
      <c r="A1242" s="28"/>
      <c r="B1242" s="17">
        <f t="shared" si="47"/>
        <v>46319</v>
      </c>
      <c r="C1242" s="26">
        <f>I1242+J1242+K1242+L1242+M1242+N1242+O1242+IF(P1242="",0,P1242*サマリー!$B$9)+IF(Q1242="",0,IF(Q1242=200,サマリー!$B$10,IF(Q1242=100,サマリー!$B$11,0)))+IF(R1242="",0,R1242*サマリー!$B$12)</f>
        <v>0</v>
      </c>
      <c r="D1242" s="26">
        <f>S1242+T1242+U1242+V1242+W1242+IF(X1242="",0,X1242*サマリー!$B$9)+IF(Y1242="",0,IF(Y1242=200,サマリー!$B$10,IF(Y1242=100,サマリー!$B$11,0)))+IF(Z1242="",0,Z1242*サマリー!$B$12)</f>
        <v>0</v>
      </c>
      <c r="E1242" s="26">
        <f t="shared" si="46"/>
        <v>0</v>
      </c>
      <c r="I1242" s="29"/>
      <c r="J1242" s="29"/>
      <c r="K1242" s="29"/>
      <c r="L1242" s="29"/>
      <c r="M1242" s="29"/>
      <c r="N1242" s="29"/>
      <c r="O1242" s="29"/>
      <c r="P1242" s="30"/>
      <c r="Q1242" s="30"/>
      <c r="R1242" s="30"/>
      <c r="S1242" s="31"/>
      <c r="T1242" s="31"/>
      <c r="U1242" s="31"/>
      <c r="V1242" s="31"/>
      <c r="W1242" s="31"/>
      <c r="X1242" s="32"/>
      <c r="Y1242" s="32"/>
      <c r="Z1242" s="32"/>
    </row>
    <row r="1243" spans="1:26">
      <c r="A1243" s="28"/>
      <c r="B1243" s="17">
        <f t="shared" si="47"/>
        <v>46319</v>
      </c>
      <c r="C1243" s="26">
        <f>I1243+J1243+K1243+L1243+M1243+N1243+O1243+IF(P1243="",0,P1243*サマリー!$B$9)+IF(Q1243="",0,IF(Q1243=200,サマリー!$B$10,IF(Q1243=100,サマリー!$B$11,0)))+IF(R1243="",0,R1243*サマリー!$B$12)</f>
        <v>0</v>
      </c>
      <c r="D1243" s="26">
        <f>S1243+T1243+U1243+V1243+W1243+IF(X1243="",0,X1243*サマリー!$B$9)+IF(Y1243="",0,IF(Y1243=200,サマリー!$B$10,IF(Y1243=100,サマリー!$B$11,0)))+IF(Z1243="",0,Z1243*サマリー!$B$12)</f>
        <v>0</v>
      </c>
      <c r="E1243" s="26">
        <f t="shared" si="46"/>
        <v>0</v>
      </c>
      <c r="I1243" s="29"/>
      <c r="J1243" s="29"/>
      <c r="K1243" s="29"/>
      <c r="L1243" s="29"/>
      <c r="M1243" s="29"/>
      <c r="N1243" s="29"/>
      <c r="O1243" s="29"/>
      <c r="P1243" s="30"/>
      <c r="Q1243" s="30"/>
      <c r="R1243" s="30"/>
      <c r="S1243" s="31"/>
      <c r="T1243" s="31"/>
      <c r="U1243" s="31"/>
      <c r="V1243" s="31"/>
      <c r="W1243" s="31"/>
      <c r="X1243" s="32"/>
      <c r="Y1243" s="32"/>
      <c r="Z1243" s="32"/>
    </row>
    <row r="1244" spans="1:26">
      <c r="A1244" s="28"/>
      <c r="B1244" s="17">
        <f t="shared" si="47"/>
        <v>46319</v>
      </c>
      <c r="C1244" s="26">
        <f>I1244+J1244+K1244+L1244+M1244+N1244+O1244+IF(P1244="",0,P1244*サマリー!$B$9)+IF(Q1244="",0,IF(Q1244=200,サマリー!$B$10,IF(Q1244=100,サマリー!$B$11,0)))+IF(R1244="",0,R1244*サマリー!$B$12)</f>
        <v>0</v>
      </c>
      <c r="D1244" s="26">
        <f>S1244+T1244+U1244+V1244+W1244+IF(X1244="",0,X1244*サマリー!$B$9)+IF(Y1244="",0,IF(Y1244=200,サマリー!$B$10,IF(Y1244=100,サマリー!$B$11,0)))+IF(Z1244="",0,Z1244*サマリー!$B$12)</f>
        <v>0</v>
      </c>
      <c r="E1244" s="26">
        <f t="shared" si="46"/>
        <v>0</v>
      </c>
      <c r="I1244" s="29"/>
      <c r="J1244" s="29"/>
      <c r="K1244" s="29"/>
      <c r="L1244" s="29"/>
      <c r="M1244" s="29"/>
      <c r="N1244" s="29"/>
      <c r="O1244" s="29"/>
      <c r="P1244" s="30"/>
      <c r="Q1244" s="30"/>
      <c r="R1244" s="30"/>
      <c r="S1244" s="31"/>
      <c r="T1244" s="31"/>
      <c r="U1244" s="31"/>
      <c r="V1244" s="31"/>
      <c r="W1244" s="31"/>
      <c r="X1244" s="32"/>
      <c r="Y1244" s="32"/>
      <c r="Z1244" s="32"/>
    </row>
    <row r="1245" spans="1:26">
      <c r="A1245" s="28"/>
      <c r="B1245" s="17">
        <f t="shared" si="47"/>
        <v>46319</v>
      </c>
      <c r="C1245" s="26">
        <f>I1245+J1245+K1245+L1245+M1245+N1245+O1245+IF(P1245="",0,P1245*サマリー!$B$9)+IF(Q1245="",0,IF(Q1245=200,サマリー!$B$10,IF(Q1245=100,サマリー!$B$11,0)))+IF(R1245="",0,R1245*サマリー!$B$12)</f>
        <v>0</v>
      </c>
      <c r="D1245" s="26">
        <f>S1245+T1245+U1245+V1245+W1245+IF(X1245="",0,X1245*サマリー!$B$9)+IF(Y1245="",0,IF(Y1245=200,サマリー!$B$10,IF(Y1245=100,サマリー!$B$11,0)))+IF(Z1245="",0,Z1245*サマリー!$B$12)</f>
        <v>0</v>
      </c>
      <c r="E1245" s="26">
        <f t="shared" si="46"/>
        <v>0</v>
      </c>
      <c r="I1245" s="29"/>
      <c r="J1245" s="29"/>
      <c r="K1245" s="29"/>
      <c r="L1245" s="29"/>
      <c r="M1245" s="29"/>
      <c r="N1245" s="29"/>
      <c r="O1245" s="29"/>
      <c r="P1245" s="30"/>
      <c r="Q1245" s="30"/>
      <c r="R1245" s="30"/>
      <c r="S1245" s="31"/>
      <c r="T1245" s="31"/>
      <c r="U1245" s="31"/>
      <c r="V1245" s="31"/>
      <c r="W1245" s="31"/>
      <c r="X1245" s="32"/>
      <c r="Y1245" s="32"/>
      <c r="Z1245" s="32"/>
    </row>
    <row r="1246" spans="1:26">
      <c r="A1246" s="28"/>
      <c r="B1246" s="17">
        <f t="shared" si="47"/>
        <v>46319</v>
      </c>
      <c r="C1246" s="26">
        <f>I1246+J1246+K1246+L1246+M1246+N1246+O1246+IF(P1246="",0,P1246*サマリー!$B$9)+IF(Q1246="",0,IF(Q1246=200,サマリー!$B$10,IF(Q1246=100,サマリー!$B$11,0)))+IF(R1246="",0,R1246*サマリー!$B$12)</f>
        <v>0</v>
      </c>
      <c r="D1246" s="26">
        <f>S1246+T1246+U1246+V1246+W1246+IF(X1246="",0,X1246*サマリー!$B$9)+IF(Y1246="",0,IF(Y1246=200,サマリー!$B$10,IF(Y1246=100,サマリー!$B$11,0)))+IF(Z1246="",0,Z1246*サマリー!$B$12)</f>
        <v>0</v>
      </c>
      <c r="E1246" s="26">
        <f t="shared" si="46"/>
        <v>0</v>
      </c>
      <c r="I1246" s="29"/>
      <c r="J1246" s="29"/>
      <c r="K1246" s="29"/>
      <c r="L1246" s="29"/>
      <c r="M1246" s="29"/>
      <c r="N1246" s="29"/>
      <c r="O1246" s="29"/>
      <c r="P1246" s="30"/>
      <c r="Q1246" s="30"/>
      <c r="R1246" s="30"/>
      <c r="S1246" s="31"/>
      <c r="T1246" s="31"/>
      <c r="U1246" s="31"/>
      <c r="V1246" s="31"/>
      <c r="W1246" s="31"/>
      <c r="X1246" s="32"/>
      <c r="Y1246" s="32"/>
      <c r="Z1246" s="32"/>
    </row>
    <row r="1247" spans="1:26">
      <c r="A1247" s="28"/>
      <c r="B1247" s="17">
        <f t="shared" si="47"/>
        <v>46319</v>
      </c>
      <c r="C1247" s="26">
        <f>I1247+J1247+K1247+L1247+M1247+N1247+O1247+IF(P1247="",0,P1247*サマリー!$B$9)+IF(Q1247="",0,IF(Q1247=200,サマリー!$B$10,IF(Q1247=100,サマリー!$B$11,0)))+IF(R1247="",0,R1247*サマリー!$B$12)</f>
        <v>0</v>
      </c>
      <c r="D1247" s="26">
        <f>S1247+T1247+U1247+V1247+W1247+IF(X1247="",0,X1247*サマリー!$B$9)+IF(Y1247="",0,IF(Y1247=200,サマリー!$B$10,IF(Y1247=100,サマリー!$B$11,0)))+IF(Z1247="",0,Z1247*サマリー!$B$12)</f>
        <v>0</v>
      </c>
      <c r="E1247" s="26">
        <f t="shared" si="46"/>
        <v>0</v>
      </c>
      <c r="I1247" s="29"/>
      <c r="J1247" s="29"/>
      <c r="K1247" s="29"/>
      <c r="L1247" s="29"/>
      <c r="M1247" s="29"/>
      <c r="N1247" s="29"/>
      <c r="O1247" s="29"/>
      <c r="P1247" s="30"/>
      <c r="Q1247" s="30"/>
      <c r="R1247" s="30"/>
      <c r="S1247" s="31"/>
      <c r="T1247" s="31"/>
      <c r="U1247" s="31"/>
      <c r="V1247" s="31"/>
      <c r="W1247" s="31"/>
      <c r="X1247" s="32"/>
      <c r="Y1247" s="32"/>
      <c r="Z1247" s="32"/>
    </row>
    <row r="1248" spans="1:26">
      <c r="A1248" s="28"/>
      <c r="B1248" s="17">
        <f t="shared" si="47"/>
        <v>46319</v>
      </c>
      <c r="C1248" s="26">
        <f>I1248+J1248+K1248+L1248+M1248+N1248+O1248+IF(P1248="",0,P1248*サマリー!$B$9)+IF(Q1248="",0,IF(Q1248=200,サマリー!$B$10,IF(Q1248=100,サマリー!$B$11,0)))+IF(R1248="",0,R1248*サマリー!$B$12)</f>
        <v>0</v>
      </c>
      <c r="D1248" s="26">
        <f>S1248+T1248+U1248+V1248+W1248+IF(X1248="",0,X1248*サマリー!$B$9)+IF(Y1248="",0,IF(Y1248=200,サマリー!$B$10,IF(Y1248=100,サマリー!$B$11,0)))+IF(Z1248="",0,Z1248*サマリー!$B$12)</f>
        <v>0</v>
      </c>
      <c r="E1248" s="26">
        <f t="shared" si="46"/>
        <v>0</v>
      </c>
      <c r="I1248" s="29"/>
      <c r="J1248" s="29"/>
      <c r="K1248" s="29"/>
      <c r="L1248" s="29"/>
      <c r="M1248" s="29"/>
      <c r="N1248" s="29"/>
      <c r="O1248" s="29"/>
      <c r="P1248" s="30"/>
      <c r="Q1248" s="30"/>
      <c r="R1248" s="30"/>
      <c r="S1248" s="31"/>
      <c r="T1248" s="31"/>
      <c r="U1248" s="31"/>
      <c r="V1248" s="31"/>
      <c r="W1248" s="31"/>
      <c r="X1248" s="32"/>
      <c r="Y1248" s="32"/>
      <c r="Z1248" s="32"/>
    </row>
    <row r="1249" spans="1:26">
      <c r="A1249" s="28"/>
      <c r="B1249" s="17">
        <f t="shared" si="47"/>
        <v>46319</v>
      </c>
      <c r="C1249" s="26">
        <f>I1249+J1249+K1249+L1249+M1249+N1249+O1249+IF(P1249="",0,P1249*サマリー!$B$9)+IF(Q1249="",0,IF(Q1249=200,サマリー!$B$10,IF(Q1249=100,サマリー!$B$11,0)))+IF(R1249="",0,R1249*サマリー!$B$12)</f>
        <v>0</v>
      </c>
      <c r="D1249" s="26">
        <f>S1249+T1249+U1249+V1249+W1249+IF(X1249="",0,X1249*サマリー!$B$9)+IF(Y1249="",0,IF(Y1249=200,サマリー!$B$10,IF(Y1249=100,サマリー!$B$11,0)))+IF(Z1249="",0,Z1249*サマリー!$B$12)</f>
        <v>0</v>
      </c>
      <c r="E1249" s="26">
        <f t="shared" si="46"/>
        <v>0</v>
      </c>
      <c r="I1249" s="29"/>
      <c r="J1249" s="29"/>
      <c r="K1249" s="29"/>
      <c r="L1249" s="29"/>
      <c r="M1249" s="29"/>
      <c r="N1249" s="29"/>
      <c r="O1249" s="29"/>
      <c r="P1249" s="30"/>
      <c r="Q1249" s="30"/>
      <c r="R1249" s="30"/>
      <c r="S1249" s="31"/>
      <c r="T1249" s="31"/>
      <c r="U1249" s="31"/>
      <c r="V1249" s="31"/>
      <c r="W1249" s="31"/>
      <c r="X1249" s="32"/>
      <c r="Y1249" s="32"/>
      <c r="Z1249" s="32"/>
    </row>
    <row r="1250" spans="1:26">
      <c r="A1250" s="28"/>
      <c r="B1250" s="17">
        <f t="shared" si="47"/>
        <v>46319</v>
      </c>
      <c r="C1250" s="26">
        <f>I1250+J1250+K1250+L1250+M1250+N1250+O1250+IF(P1250="",0,P1250*サマリー!$B$9)+IF(Q1250="",0,IF(Q1250=200,サマリー!$B$10,IF(Q1250=100,サマリー!$B$11,0)))+IF(R1250="",0,R1250*サマリー!$B$12)</f>
        <v>0</v>
      </c>
      <c r="D1250" s="26">
        <f>S1250+T1250+U1250+V1250+W1250+IF(X1250="",0,X1250*サマリー!$B$9)+IF(Y1250="",0,IF(Y1250=200,サマリー!$B$10,IF(Y1250=100,サマリー!$B$11,0)))+IF(Z1250="",0,Z1250*サマリー!$B$12)</f>
        <v>0</v>
      </c>
      <c r="E1250" s="26">
        <f t="shared" si="46"/>
        <v>0</v>
      </c>
      <c r="I1250" s="29"/>
      <c r="J1250" s="29"/>
      <c r="K1250" s="29"/>
      <c r="L1250" s="29"/>
      <c r="M1250" s="29"/>
      <c r="N1250" s="29"/>
      <c r="O1250" s="29"/>
      <c r="P1250" s="30"/>
      <c r="Q1250" s="30"/>
      <c r="R1250" s="30"/>
      <c r="S1250" s="31"/>
      <c r="T1250" s="31"/>
      <c r="U1250" s="31"/>
      <c r="V1250" s="31"/>
      <c r="W1250" s="31"/>
      <c r="X1250" s="32"/>
      <c r="Y1250" s="32"/>
      <c r="Z1250" s="32"/>
    </row>
    <row r="1251" spans="1:26">
      <c r="A1251" s="28"/>
      <c r="B1251" s="17">
        <f t="shared" si="47"/>
        <v>46319</v>
      </c>
      <c r="C1251" s="26">
        <f>I1251+J1251+K1251+L1251+M1251+N1251+O1251+IF(P1251="",0,P1251*サマリー!$B$9)+IF(Q1251="",0,IF(Q1251=200,サマリー!$B$10,IF(Q1251=100,サマリー!$B$11,0)))+IF(R1251="",0,R1251*サマリー!$B$12)</f>
        <v>0</v>
      </c>
      <c r="D1251" s="26">
        <f>S1251+T1251+U1251+V1251+W1251+IF(X1251="",0,X1251*サマリー!$B$9)+IF(Y1251="",0,IF(Y1251=200,サマリー!$B$10,IF(Y1251=100,サマリー!$B$11,0)))+IF(Z1251="",0,Z1251*サマリー!$B$12)</f>
        <v>0</v>
      </c>
      <c r="E1251" s="26">
        <f t="shared" ref="E1251:E1314" si="48">C1251+D1251</f>
        <v>0</v>
      </c>
      <c r="I1251" s="29"/>
      <c r="J1251" s="29"/>
      <c r="K1251" s="29"/>
      <c r="L1251" s="29"/>
      <c r="M1251" s="29"/>
      <c r="N1251" s="29"/>
      <c r="O1251" s="29"/>
      <c r="P1251" s="30"/>
      <c r="Q1251" s="30"/>
      <c r="R1251" s="30"/>
      <c r="S1251" s="31"/>
      <c r="T1251" s="31"/>
      <c r="U1251" s="31"/>
      <c r="V1251" s="31"/>
      <c r="W1251" s="31"/>
      <c r="X1251" s="32"/>
      <c r="Y1251" s="32"/>
      <c r="Z1251" s="32"/>
    </row>
    <row r="1252" spans="1:26">
      <c r="A1252" s="28"/>
      <c r="B1252" s="17">
        <f t="shared" si="47"/>
        <v>46319</v>
      </c>
      <c r="C1252" s="26">
        <f>I1252+J1252+K1252+L1252+M1252+N1252+O1252+IF(P1252="",0,P1252*サマリー!$B$9)+IF(Q1252="",0,IF(Q1252=200,サマリー!$B$10,IF(Q1252=100,サマリー!$B$11,0)))+IF(R1252="",0,R1252*サマリー!$B$12)</f>
        <v>0</v>
      </c>
      <c r="D1252" s="26">
        <f>S1252+T1252+U1252+V1252+W1252+IF(X1252="",0,X1252*サマリー!$B$9)+IF(Y1252="",0,IF(Y1252=200,サマリー!$B$10,IF(Y1252=100,サマリー!$B$11,0)))+IF(Z1252="",0,Z1252*サマリー!$B$12)</f>
        <v>0</v>
      </c>
      <c r="E1252" s="26">
        <f t="shared" si="48"/>
        <v>0</v>
      </c>
      <c r="I1252" s="29"/>
      <c r="J1252" s="29"/>
      <c r="K1252" s="29"/>
      <c r="L1252" s="29"/>
      <c r="M1252" s="29"/>
      <c r="N1252" s="29"/>
      <c r="O1252" s="29"/>
      <c r="P1252" s="30"/>
      <c r="Q1252" s="30"/>
      <c r="R1252" s="30"/>
      <c r="S1252" s="31"/>
      <c r="T1252" s="31"/>
      <c r="U1252" s="31"/>
      <c r="V1252" s="31"/>
      <c r="W1252" s="31"/>
      <c r="X1252" s="32"/>
      <c r="Y1252" s="32"/>
      <c r="Z1252" s="32"/>
    </row>
    <row r="1253" spans="1:26">
      <c r="A1253" s="28"/>
      <c r="B1253" s="17">
        <f t="shared" si="47"/>
        <v>46319</v>
      </c>
      <c r="C1253" s="26">
        <f>I1253+J1253+K1253+L1253+M1253+N1253+O1253+IF(P1253="",0,P1253*サマリー!$B$9)+IF(Q1253="",0,IF(Q1253=200,サマリー!$B$10,IF(Q1253=100,サマリー!$B$11,0)))+IF(R1253="",0,R1253*サマリー!$B$12)</f>
        <v>0</v>
      </c>
      <c r="D1253" s="26">
        <f>S1253+T1253+U1253+V1253+W1253+IF(X1253="",0,X1253*サマリー!$B$9)+IF(Y1253="",0,IF(Y1253=200,サマリー!$B$10,IF(Y1253=100,サマリー!$B$11,0)))+IF(Z1253="",0,Z1253*サマリー!$B$12)</f>
        <v>0</v>
      </c>
      <c r="E1253" s="26">
        <f t="shared" si="48"/>
        <v>0</v>
      </c>
      <c r="I1253" s="29"/>
      <c r="J1253" s="29"/>
      <c r="K1253" s="29"/>
      <c r="L1253" s="29"/>
      <c r="M1253" s="29"/>
      <c r="N1253" s="29"/>
      <c r="O1253" s="29"/>
      <c r="P1253" s="30"/>
      <c r="Q1253" s="30"/>
      <c r="R1253" s="30"/>
      <c r="S1253" s="31"/>
      <c r="T1253" s="31"/>
      <c r="U1253" s="31"/>
      <c r="V1253" s="31"/>
      <c r="W1253" s="31"/>
      <c r="X1253" s="32"/>
      <c r="Y1253" s="32"/>
      <c r="Z1253" s="32"/>
    </row>
    <row r="1254" spans="1:26">
      <c r="A1254" s="28"/>
      <c r="B1254" s="17">
        <f t="shared" si="47"/>
        <v>46319</v>
      </c>
      <c r="C1254" s="26">
        <f>I1254+J1254+K1254+L1254+M1254+N1254+O1254+IF(P1254="",0,P1254*サマリー!$B$9)+IF(Q1254="",0,IF(Q1254=200,サマリー!$B$10,IF(Q1254=100,サマリー!$B$11,0)))+IF(R1254="",0,R1254*サマリー!$B$12)</f>
        <v>0</v>
      </c>
      <c r="D1254" s="26">
        <f>S1254+T1254+U1254+V1254+W1254+IF(X1254="",0,X1254*サマリー!$B$9)+IF(Y1254="",0,IF(Y1254=200,サマリー!$B$10,IF(Y1254=100,サマリー!$B$11,0)))+IF(Z1254="",0,Z1254*サマリー!$B$12)</f>
        <v>0</v>
      </c>
      <c r="E1254" s="26">
        <f t="shared" si="48"/>
        <v>0</v>
      </c>
      <c r="I1254" s="29"/>
      <c r="J1254" s="29"/>
      <c r="K1254" s="29"/>
      <c r="L1254" s="29"/>
      <c r="M1254" s="29"/>
      <c r="N1254" s="29"/>
      <c r="O1254" s="29"/>
      <c r="P1254" s="30"/>
      <c r="Q1254" s="30"/>
      <c r="R1254" s="30"/>
      <c r="S1254" s="31"/>
      <c r="T1254" s="31"/>
      <c r="U1254" s="31"/>
      <c r="V1254" s="31"/>
      <c r="W1254" s="31"/>
      <c r="X1254" s="32"/>
      <c r="Y1254" s="32"/>
      <c r="Z1254" s="32"/>
    </row>
    <row r="1255" spans="1:26">
      <c r="A1255" s="28"/>
      <c r="B1255" s="17">
        <f t="shared" si="47"/>
        <v>46319</v>
      </c>
      <c r="C1255" s="26">
        <f>I1255+J1255+K1255+L1255+M1255+N1255+O1255+IF(P1255="",0,P1255*サマリー!$B$9)+IF(Q1255="",0,IF(Q1255=200,サマリー!$B$10,IF(Q1255=100,サマリー!$B$11,0)))+IF(R1255="",0,R1255*サマリー!$B$12)</f>
        <v>0</v>
      </c>
      <c r="D1255" s="26">
        <f>S1255+T1255+U1255+V1255+W1255+IF(X1255="",0,X1255*サマリー!$B$9)+IF(Y1255="",0,IF(Y1255=200,サマリー!$B$10,IF(Y1255=100,サマリー!$B$11,0)))+IF(Z1255="",0,Z1255*サマリー!$B$12)</f>
        <v>0</v>
      </c>
      <c r="E1255" s="26">
        <f t="shared" si="48"/>
        <v>0</v>
      </c>
      <c r="I1255" s="29"/>
      <c r="J1255" s="29"/>
      <c r="K1255" s="29"/>
      <c r="L1255" s="29"/>
      <c r="M1255" s="29"/>
      <c r="N1255" s="29"/>
      <c r="O1255" s="29"/>
      <c r="P1255" s="30"/>
      <c r="Q1255" s="30"/>
      <c r="R1255" s="30"/>
      <c r="S1255" s="31"/>
      <c r="T1255" s="31"/>
      <c r="U1255" s="31"/>
      <c r="V1255" s="31"/>
      <c r="W1255" s="31"/>
      <c r="X1255" s="32"/>
      <c r="Y1255" s="32"/>
      <c r="Z1255" s="32"/>
    </row>
    <row r="1256" spans="1:26">
      <c r="A1256" s="28"/>
      <c r="B1256" s="17">
        <f t="shared" si="47"/>
        <v>46319</v>
      </c>
      <c r="C1256" s="26">
        <f>I1256+J1256+K1256+L1256+M1256+N1256+O1256+IF(P1256="",0,P1256*サマリー!$B$9)+IF(Q1256="",0,IF(Q1256=200,サマリー!$B$10,IF(Q1256=100,サマリー!$B$11,0)))+IF(R1256="",0,R1256*サマリー!$B$12)</f>
        <v>0</v>
      </c>
      <c r="D1256" s="26">
        <f>S1256+T1256+U1256+V1256+W1256+IF(X1256="",0,X1256*サマリー!$B$9)+IF(Y1256="",0,IF(Y1256=200,サマリー!$B$10,IF(Y1256=100,サマリー!$B$11,0)))+IF(Z1256="",0,Z1256*サマリー!$B$12)</f>
        <v>0</v>
      </c>
      <c r="E1256" s="26">
        <f t="shared" si="48"/>
        <v>0</v>
      </c>
      <c r="I1256" s="29"/>
      <c r="J1256" s="29"/>
      <c r="K1256" s="29"/>
      <c r="L1256" s="29"/>
      <c r="M1256" s="29"/>
      <c r="N1256" s="29"/>
      <c r="O1256" s="29"/>
      <c r="P1256" s="30"/>
      <c r="Q1256" s="30"/>
      <c r="R1256" s="30"/>
      <c r="S1256" s="31"/>
      <c r="T1256" s="31"/>
      <c r="U1256" s="31"/>
      <c r="V1256" s="31"/>
      <c r="W1256" s="31"/>
      <c r="X1256" s="32"/>
      <c r="Y1256" s="32"/>
      <c r="Z1256" s="32"/>
    </row>
    <row r="1257" spans="1:26">
      <c r="A1257" s="28"/>
      <c r="B1257" s="17">
        <f t="shared" si="47"/>
        <v>46319</v>
      </c>
      <c r="C1257" s="26">
        <f>I1257+J1257+K1257+L1257+M1257+N1257+O1257+IF(P1257="",0,P1257*サマリー!$B$9)+IF(Q1257="",0,IF(Q1257=200,サマリー!$B$10,IF(Q1257=100,サマリー!$B$11,0)))+IF(R1257="",0,R1257*サマリー!$B$12)</f>
        <v>0</v>
      </c>
      <c r="D1257" s="26">
        <f>S1257+T1257+U1257+V1257+W1257+IF(X1257="",0,X1257*サマリー!$B$9)+IF(Y1257="",0,IF(Y1257=200,サマリー!$B$10,IF(Y1257=100,サマリー!$B$11,0)))+IF(Z1257="",0,Z1257*サマリー!$B$12)</f>
        <v>0</v>
      </c>
      <c r="E1257" s="26">
        <f t="shared" si="48"/>
        <v>0</v>
      </c>
      <c r="I1257" s="29"/>
      <c r="J1257" s="29"/>
      <c r="K1257" s="29"/>
      <c r="L1257" s="29"/>
      <c r="M1257" s="29"/>
      <c r="N1257" s="29"/>
      <c r="O1257" s="29"/>
      <c r="P1257" s="30"/>
      <c r="Q1257" s="30"/>
      <c r="R1257" s="30"/>
      <c r="S1257" s="31"/>
      <c r="T1257" s="31"/>
      <c r="U1257" s="31"/>
      <c r="V1257" s="31"/>
      <c r="W1257" s="31"/>
      <c r="X1257" s="32"/>
      <c r="Y1257" s="32"/>
      <c r="Z1257" s="32"/>
    </row>
    <row r="1258" spans="1:26">
      <c r="A1258" s="28"/>
      <c r="B1258" s="17">
        <f t="shared" si="47"/>
        <v>46319</v>
      </c>
      <c r="C1258" s="26">
        <f>I1258+J1258+K1258+L1258+M1258+N1258+O1258+IF(P1258="",0,P1258*サマリー!$B$9)+IF(Q1258="",0,IF(Q1258=200,サマリー!$B$10,IF(Q1258=100,サマリー!$B$11,0)))+IF(R1258="",0,R1258*サマリー!$B$12)</f>
        <v>0</v>
      </c>
      <c r="D1258" s="26">
        <f>S1258+T1258+U1258+V1258+W1258+IF(X1258="",0,X1258*サマリー!$B$9)+IF(Y1258="",0,IF(Y1258=200,サマリー!$B$10,IF(Y1258=100,サマリー!$B$11,0)))+IF(Z1258="",0,Z1258*サマリー!$B$12)</f>
        <v>0</v>
      </c>
      <c r="E1258" s="26">
        <f t="shared" si="48"/>
        <v>0</v>
      </c>
      <c r="I1258" s="29"/>
      <c r="J1258" s="29"/>
      <c r="K1258" s="29"/>
      <c r="L1258" s="29"/>
      <c r="M1258" s="29"/>
      <c r="N1258" s="29"/>
      <c r="O1258" s="29"/>
      <c r="P1258" s="30"/>
      <c r="Q1258" s="30"/>
      <c r="R1258" s="30"/>
      <c r="S1258" s="31"/>
      <c r="T1258" s="31"/>
      <c r="U1258" s="31"/>
      <c r="V1258" s="31"/>
      <c r="W1258" s="31"/>
      <c r="X1258" s="32"/>
      <c r="Y1258" s="32"/>
      <c r="Z1258" s="32"/>
    </row>
    <row r="1259" spans="1:26">
      <c r="A1259" s="28"/>
      <c r="B1259" s="17">
        <f t="shared" si="47"/>
        <v>46319</v>
      </c>
      <c r="C1259" s="26">
        <f>I1259+J1259+K1259+L1259+M1259+N1259+O1259+IF(P1259="",0,P1259*サマリー!$B$9)+IF(Q1259="",0,IF(Q1259=200,サマリー!$B$10,IF(Q1259=100,サマリー!$B$11,0)))+IF(R1259="",0,R1259*サマリー!$B$12)</f>
        <v>0</v>
      </c>
      <c r="D1259" s="26">
        <f>S1259+T1259+U1259+V1259+W1259+IF(X1259="",0,X1259*サマリー!$B$9)+IF(Y1259="",0,IF(Y1259=200,サマリー!$B$10,IF(Y1259=100,サマリー!$B$11,0)))+IF(Z1259="",0,Z1259*サマリー!$B$12)</f>
        <v>0</v>
      </c>
      <c r="E1259" s="26">
        <f t="shared" si="48"/>
        <v>0</v>
      </c>
      <c r="I1259" s="29"/>
      <c r="J1259" s="29"/>
      <c r="K1259" s="29"/>
      <c r="L1259" s="29"/>
      <c r="M1259" s="29"/>
      <c r="N1259" s="29"/>
      <c r="O1259" s="29"/>
      <c r="P1259" s="30"/>
      <c r="Q1259" s="30"/>
      <c r="R1259" s="30"/>
      <c r="S1259" s="31"/>
      <c r="T1259" s="31"/>
      <c r="U1259" s="31"/>
      <c r="V1259" s="31"/>
      <c r="W1259" s="31"/>
      <c r="X1259" s="32"/>
      <c r="Y1259" s="32"/>
      <c r="Z1259" s="32"/>
    </row>
    <row r="1260" spans="1:26">
      <c r="A1260" s="28"/>
      <c r="B1260" s="17">
        <f t="shared" si="47"/>
        <v>46319</v>
      </c>
      <c r="C1260" s="26">
        <f>I1260+J1260+K1260+L1260+M1260+N1260+O1260+IF(P1260="",0,P1260*サマリー!$B$9)+IF(Q1260="",0,IF(Q1260=200,サマリー!$B$10,IF(Q1260=100,サマリー!$B$11,0)))+IF(R1260="",0,R1260*サマリー!$B$12)</f>
        <v>0</v>
      </c>
      <c r="D1260" s="26">
        <f>S1260+T1260+U1260+V1260+W1260+IF(X1260="",0,X1260*サマリー!$B$9)+IF(Y1260="",0,IF(Y1260=200,サマリー!$B$10,IF(Y1260=100,サマリー!$B$11,0)))+IF(Z1260="",0,Z1260*サマリー!$B$12)</f>
        <v>0</v>
      </c>
      <c r="E1260" s="26">
        <f t="shared" si="48"/>
        <v>0</v>
      </c>
      <c r="I1260" s="29"/>
      <c r="J1260" s="29"/>
      <c r="K1260" s="29"/>
      <c r="L1260" s="29"/>
      <c r="M1260" s="29"/>
      <c r="N1260" s="29"/>
      <c r="O1260" s="29"/>
      <c r="P1260" s="30"/>
      <c r="Q1260" s="30"/>
      <c r="R1260" s="30"/>
      <c r="S1260" s="31"/>
      <c r="T1260" s="31"/>
      <c r="U1260" s="31"/>
      <c r="V1260" s="31"/>
      <c r="W1260" s="31"/>
      <c r="X1260" s="32"/>
      <c r="Y1260" s="32"/>
      <c r="Z1260" s="32"/>
    </row>
    <row r="1261" spans="1:26">
      <c r="A1261" s="28"/>
      <c r="B1261" s="17">
        <f t="shared" si="47"/>
        <v>46319</v>
      </c>
      <c r="C1261" s="26">
        <f>I1261+J1261+K1261+L1261+M1261+N1261+O1261+IF(P1261="",0,P1261*サマリー!$B$9)+IF(Q1261="",0,IF(Q1261=200,サマリー!$B$10,IF(Q1261=100,サマリー!$B$11,0)))+IF(R1261="",0,R1261*サマリー!$B$12)</f>
        <v>0</v>
      </c>
      <c r="D1261" s="26">
        <f>S1261+T1261+U1261+V1261+W1261+IF(X1261="",0,X1261*サマリー!$B$9)+IF(Y1261="",0,IF(Y1261=200,サマリー!$B$10,IF(Y1261=100,サマリー!$B$11,0)))+IF(Z1261="",0,Z1261*サマリー!$B$12)</f>
        <v>0</v>
      </c>
      <c r="E1261" s="26">
        <f t="shared" si="48"/>
        <v>0</v>
      </c>
      <c r="I1261" s="29"/>
      <c r="J1261" s="29"/>
      <c r="K1261" s="29"/>
      <c r="L1261" s="29"/>
      <c r="M1261" s="29"/>
      <c r="N1261" s="29"/>
      <c r="O1261" s="29"/>
      <c r="P1261" s="30"/>
      <c r="Q1261" s="30"/>
      <c r="R1261" s="30"/>
      <c r="S1261" s="31"/>
      <c r="T1261" s="31"/>
      <c r="U1261" s="31"/>
      <c r="V1261" s="31"/>
      <c r="W1261" s="31"/>
      <c r="X1261" s="32"/>
      <c r="Y1261" s="32"/>
      <c r="Z1261" s="32"/>
    </row>
    <row r="1262" spans="1:26">
      <c r="A1262" s="28"/>
      <c r="B1262" s="17">
        <f t="shared" si="47"/>
        <v>46319</v>
      </c>
      <c r="C1262" s="26">
        <f>I1262+J1262+K1262+L1262+M1262+N1262+O1262+IF(P1262="",0,P1262*サマリー!$B$9)+IF(Q1262="",0,IF(Q1262=200,サマリー!$B$10,IF(Q1262=100,サマリー!$B$11,0)))+IF(R1262="",0,R1262*サマリー!$B$12)</f>
        <v>0</v>
      </c>
      <c r="D1262" s="26">
        <f>S1262+T1262+U1262+V1262+W1262+IF(X1262="",0,X1262*サマリー!$B$9)+IF(Y1262="",0,IF(Y1262=200,サマリー!$B$10,IF(Y1262=100,サマリー!$B$11,0)))+IF(Z1262="",0,Z1262*サマリー!$B$12)</f>
        <v>0</v>
      </c>
      <c r="E1262" s="26">
        <f t="shared" si="48"/>
        <v>0</v>
      </c>
      <c r="I1262" s="29"/>
      <c r="J1262" s="29"/>
      <c r="K1262" s="29"/>
      <c r="L1262" s="29"/>
      <c r="M1262" s="29"/>
      <c r="N1262" s="29"/>
      <c r="O1262" s="29"/>
      <c r="P1262" s="30"/>
      <c r="Q1262" s="30"/>
      <c r="R1262" s="30"/>
      <c r="S1262" s="31"/>
      <c r="T1262" s="31"/>
      <c r="U1262" s="31"/>
      <c r="V1262" s="31"/>
      <c r="W1262" s="31"/>
      <c r="X1262" s="32"/>
      <c r="Y1262" s="32"/>
      <c r="Z1262" s="32"/>
    </row>
    <row r="1263" spans="1:26">
      <c r="A1263" s="28"/>
      <c r="B1263" s="17">
        <f t="shared" si="47"/>
        <v>46319</v>
      </c>
      <c r="C1263" s="26">
        <f>I1263+J1263+K1263+L1263+M1263+N1263+O1263+IF(P1263="",0,P1263*サマリー!$B$9)+IF(Q1263="",0,IF(Q1263=200,サマリー!$B$10,IF(Q1263=100,サマリー!$B$11,0)))+IF(R1263="",0,R1263*サマリー!$B$12)</f>
        <v>0</v>
      </c>
      <c r="D1263" s="26">
        <f>S1263+T1263+U1263+V1263+W1263+IF(X1263="",0,X1263*サマリー!$B$9)+IF(Y1263="",0,IF(Y1263=200,サマリー!$B$10,IF(Y1263=100,サマリー!$B$11,0)))+IF(Z1263="",0,Z1263*サマリー!$B$12)</f>
        <v>0</v>
      </c>
      <c r="E1263" s="26">
        <f t="shared" si="48"/>
        <v>0</v>
      </c>
      <c r="I1263" s="29"/>
      <c r="J1263" s="29"/>
      <c r="K1263" s="29"/>
      <c r="L1263" s="29"/>
      <c r="M1263" s="29"/>
      <c r="N1263" s="29"/>
      <c r="O1263" s="29"/>
      <c r="P1263" s="30"/>
      <c r="Q1263" s="30"/>
      <c r="R1263" s="30"/>
      <c r="S1263" s="31"/>
      <c r="T1263" s="31"/>
      <c r="U1263" s="31"/>
      <c r="V1263" s="31"/>
      <c r="W1263" s="31"/>
      <c r="X1263" s="32"/>
      <c r="Y1263" s="32"/>
      <c r="Z1263" s="32"/>
    </row>
    <row r="1264" spans="1:26">
      <c r="A1264" s="28"/>
      <c r="B1264" s="17">
        <f t="shared" si="47"/>
        <v>46319</v>
      </c>
      <c r="C1264" s="26">
        <f>I1264+J1264+K1264+L1264+M1264+N1264+O1264+IF(P1264="",0,P1264*サマリー!$B$9)+IF(Q1264="",0,IF(Q1264=200,サマリー!$B$10,IF(Q1264=100,サマリー!$B$11,0)))+IF(R1264="",0,R1264*サマリー!$B$12)</f>
        <v>0</v>
      </c>
      <c r="D1264" s="26">
        <f>S1264+T1264+U1264+V1264+W1264+IF(X1264="",0,X1264*サマリー!$B$9)+IF(Y1264="",0,IF(Y1264=200,サマリー!$B$10,IF(Y1264=100,サマリー!$B$11,0)))+IF(Z1264="",0,Z1264*サマリー!$B$12)</f>
        <v>0</v>
      </c>
      <c r="E1264" s="26">
        <f t="shared" si="48"/>
        <v>0</v>
      </c>
      <c r="I1264" s="29"/>
      <c r="J1264" s="29"/>
      <c r="K1264" s="29"/>
      <c r="L1264" s="29"/>
      <c r="M1264" s="29"/>
      <c r="N1264" s="29"/>
      <c r="O1264" s="29"/>
      <c r="P1264" s="30"/>
      <c r="Q1264" s="30"/>
      <c r="R1264" s="30"/>
      <c r="S1264" s="31"/>
      <c r="T1264" s="31"/>
      <c r="U1264" s="31"/>
      <c r="V1264" s="31"/>
      <c r="W1264" s="31"/>
      <c r="X1264" s="32"/>
      <c r="Y1264" s="32"/>
      <c r="Z1264" s="32"/>
    </row>
    <row r="1265" spans="1:26">
      <c r="A1265" s="28"/>
      <c r="B1265" s="17">
        <f t="shared" si="47"/>
        <v>46319</v>
      </c>
      <c r="C1265" s="26">
        <f>I1265+J1265+K1265+L1265+M1265+N1265+O1265+IF(P1265="",0,P1265*サマリー!$B$9)+IF(Q1265="",0,IF(Q1265=200,サマリー!$B$10,IF(Q1265=100,サマリー!$B$11,0)))+IF(R1265="",0,R1265*サマリー!$B$12)</f>
        <v>0</v>
      </c>
      <c r="D1265" s="26">
        <f>S1265+T1265+U1265+V1265+W1265+IF(X1265="",0,X1265*サマリー!$B$9)+IF(Y1265="",0,IF(Y1265=200,サマリー!$B$10,IF(Y1265=100,サマリー!$B$11,0)))+IF(Z1265="",0,Z1265*サマリー!$B$12)</f>
        <v>0</v>
      </c>
      <c r="E1265" s="26">
        <f t="shared" si="48"/>
        <v>0</v>
      </c>
      <c r="I1265" s="29"/>
      <c r="J1265" s="29"/>
      <c r="K1265" s="29"/>
      <c r="L1265" s="29"/>
      <c r="M1265" s="29"/>
      <c r="N1265" s="29"/>
      <c r="O1265" s="29"/>
      <c r="P1265" s="30"/>
      <c r="Q1265" s="30"/>
      <c r="R1265" s="30"/>
      <c r="S1265" s="31"/>
      <c r="T1265" s="31"/>
      <c r="U1265" s="31"/>
      <c r="V1265" s="31"/>
      <c r="W1265" s="31"/>
      <c r="X1265" s="32"/>
      <c r="Y1265" s="32"/>
      <c r="Z1265" s="32"/>
    </row>
    <row r="1266" spans="1:26">
      <c r="A1266" s="28"/>
      <c r="B1266" s="17">
        <f t="shared" si="47"/>
        <v>46319</v>
      </c>
      <c r="C1266" s="26">
        <f>I1266+J1266+K1266+L1266+M1266+N1266+O1266+IF(P1266="",0,P1266*サマリー!$B$9)+IF(Q1266="",0,IF(Q1266=200,サマリー!$B$10,IF(Q1266=100,サマリー!$B$11,0)))+IF(R1266="",0,R1266*サマリー!$B$12)</f>
        <v>0</v>
      </c>
      <c r="D1266" s="26">
        <f>S1266+T1266+U1266+V1266+W1266+IF(X1266="",0,X1266*サマリー!$B$9)+IF(Y1266="",0,IF(Y1266=200,サマリー!$B$10,IF(Y1266=100,サマリー!$B$11,0)))+IF(Z1266="",0,Z1266*サマリー!$B$12)</f>
        <v>0</v>
      </c>
      <c r="E1266" s="26">
        <f t="shared" si="48"/>
        <v>0</v>
      </c>
      <c r="I1266" s="29"/>
      <c r="J1266" s="29"/>
      <c r="K1266" s="29"/>
      <c r="L1266" s="29"/>
      <c r="M1266" s="29"/>
      <c r="N1266" s="29"/>
      <c r="O1266" s="29"/>
      <c r="P1266" s="30"/>
      <c r="Q1266" s="30"/>
      <c r="R1266" s="30"/>
      <c r="S1266" s="31"/>
      <c r="T1266" s="31"/>
      <c r="U1266" s="31"/>
      <c r="V1266" s="31"/>
      <c r="W1266" s="31"/>
      <c r="X1266" s="32"/>
      <c r="Y1266" s="32"/>
      <c r="Z1266" s="32"/>
    </row>
    <row r="1267" spans="1:26">
      <c r="A1267" s="28"/>
      <c r="B1267" s="17">
        <f t="shared" si="47"/>
        <v>46319</v>
      </c>
      <c r="C1267" s="26">
        <f>I1267+J1267+K1267+L1267+M1267+N1267+O1267+IF(P1267="",0,P1267*サマリー!$B$9)+IF(Q1267="",0,IF(Q1267=200,サマリー!$B$10,IF(Q1267=100,サマリー!$B$11,0)))+IF(R1267="",0,R1267*サマリー!$B$12)</f>
        <v>0</v>
      </c>
      <c r="D1267" s="26">
        <f>S1267+T1267+U1267+V1267+W1267+IF(X1267="",0,X1267*サマリー!$B$9)+IF(Y1267="",0,IF(Y1267=200,サマリー!$B$10,IF(Y1267=100,サマリー!$B$11,0)))+IF(Z1267="",0,Z1267*サマリー!$B$12)</f>
        <v>0</v>
      </c>
      <c r="E1267" s="26">
        <f t="shared" si="48"/>
        <v>0</v>
      </c>
      <c r="I1267" s="29"/>
      <c r="J1267" s="29"/>
      <c r="K1267" s="29"/>
      <c r="L1267" s="29"/>
      <c r="M1267" s="29"/>
      <c r="N1267" s="29"/>
      <c r="O1267" s="29"/>
      <c r="P1267" s="30"/>
      <c r="Q1267" s="30"/>
      <c r="R1267" s="30"/>
      <c r="S1267" s="31"/>
      <c r="T1267" s="31"/>
      <c r="U1267" s="31"/>
      <c r="V1267" s="31"/>
      <c r="W1267" s="31"/>
      <c r="X1267" s="32"/>
      <c r="Y1267" s="32"/>
      <c r="Z1267" s="32"/>
    </row>
    <row r="1268" spans="1:26">
      <c r="A1268" s="28"/>
      <c r="B1268" s="17">
        <f t="shared" si="47"/>
        <v>46319</v>
      </c>
      <c r="C1268" s="26">
        <f>I1268+J1268+K1268+L1268+M1268+N1268+O1268+IF(P1268="",0,P1268*サマリー!$B$9)+IF(Q1268="",0,IF(Q1268=200,サマリー!$B$10,IF(Q1268=100,サマリー!$B$11,0)))+IF(R1268="",0,R1268*サマリー!$B$12)</f>
        <v>0</v>
      </c>
      <c r="D1268" s="26">
        <f>S1268+T1268+U1268+V1268+W1268+IF(X1268="",0,X1268*サマリー!$B$9)+IF(Y1268="",0,IF(Y1268=200,サマリー!$B$10,IF(Y1268=100,サマリー!$B$11,0)))+IF(Z1268="",0,Z1268*サマリー!$B$12)</f>
        <v>0</v>
      </c>
      <c r="E1268" s="26">
        <f t="shared" si="48"/>
        <v>0</v>
      </c>
      <c r="I1268" s="29"/>
      <c r="J1268" s="29"/>
      <c r="K1268" s="29"/>
      <c r="L1268" s="29"/>
      <c r="M1268" s="29"/>
      <c r="N1268" s="29"/>
      <c r="O1268" s="29"/>
      <c r="P1268" s="30"/>
      <c r="Q1268" s="30"/>
      <c r="R1268" s="30"/>
      <c r="S1268" s="31"/>
      <c r="T1268" s="31"/>
      <c r="U1268" s="31"/>
      <c r="V1268" s="31"/>
      <c r="W1268" s="31"/>
      <c r="X1268" s="32"/>
      <c r="Y1268" s="32"/>
      <c r="Z1268" s="32"/>
    </row>
    <row r="1269" spans="1:26">
      <c r="A1269" s="28"/>
      <c r="B1269" s="17">
        <f t="shared" si="47"/>
        <v>46319</v>
      </c>
      <c r="C1269" s="26">
        <f>I1269+J1269+K1269+L1269+M1269+N1269+O1269+IF(P1269="",0,P1269*サマリー!$B$9)+IF(Q1269="",0,IF(Q1269=200,サマリー!$B$10,IF(Q1269=100,サマリー!$B$11,0)))+IF(R1269="",0,R1269*サマリー!$B$12)</f>
        <v>0</v>
      </c>
      <c r="D1269" s="26">
        <f>S1269+T1269+U1269+V1269+W1269+IF(X1269="",0,X1269*サマリー!$B$9)+IF(Y1269="",0,IF(Y1269=200,サマリー!$B$10,IF(Y1269=100,サマリー!$B$11,0)))+IF(Z1269="",0,Z1269*サマリー!$B$12)</f>
        <v>0</v>
      </c>
      <c r="E1269" s="26">
        <f t="shared" si="48"/>
        <v>0</v>
      </c>
      <c r="I1269" s="29"/>
      <c r="J1269" s="29"/>
      <c r="K1269" s="29"/>
      <c r="L1269" s="29"/>
      <c r="M1269" s="29"/>
      <c r="N1269" s="29"/>
      <c r="O1269" s="29"/>
      <c r="P1269" s="30"/>
      <c r="Q1269" s="30"/>
      <c r="R1269" s="30"/>
      <c r="S1269" s="31"/>
      <c r="T1269" s="31"/>
      <c r="U1269" s="31"/>
      <c r="V1269" s="31"/>
      <c r="W1269" s="31"/>
      <c r="X1269" s="32"/>
      <c r="Y1269" s="32"/>
      <c r="Z1269" s="32"/>
    </row>
    <row r="1270" spans="1:26">
      <c r="A1270" s="28"/>
      <c r="B1270" s="17">
        <f t="shared" si="47"/>
        <v>46319</v>
      </c>
      <c r="C1270" s="26">
        <f>I1270+J1270+K1270+L1270+M1270+N1270+O1270+IF(P1270="",0,P1270*サマリー!$B$9)+IF(Q1270="",0,IF(Q1270=200,サマリー!$B$10,IF(Q1270=100,サマリー!$B$11,0)))+IF(R1270="",0,R1270*サマリー!$B$12)</f>
        <v>0</v>
      </c>
      <c r="D1270" s="26">
        <f>S1270+T1270+U1270+V1270+W1270+IF(X1270="",0,X1270*サマリー!$B$9)+IF(Y1270="",0,IF(Y1270=200,サマリー!$B$10,IF(Y1270=100,サマリー!$B$11,0)))+IF(Z1270="",0,Z1270*サマリー!$B$12)</f>
        <v>0</v>
      </c>
      <c r="E1270" s="26">
        <f t="shared" si="48"/>
        <v>0</v>
      </c>
      <c r="I1270" s="29"/>
      <c r="J1270" s="29"/>
      <c r="K1270" s="29"/>
      <c r="L1270" s="29"/>
      <c r="M1270" s="29"/>
      <c r="N1270" s="29"/>
      <c r="O1270" s="29"/>
      <c r="P1270" s="30"/>
      <c r="Q1270" s="30"/>
      <c r="R1270" s="30"/>
      <c r="S1270" s="31"/>
      <c r="T1270" s="31"/>
      <c r="U1270" s="31"/>
      <c r="V1270" s="31"/>
      <c r="W1270" s="31"/>
      <c r="X1270" s="32"/>
      <c r="Y1270" s="32"/>
      <c r="Z1270" s="32"/>
    </row>
    <row r="1271" spans="1:26">
      <c r="A1271" s="28"/>
      <c r="B1271" s="17">
        <f t="shared" si="47"/>
        <v>46319</v>
      </c>
      <c r="C1271" s="26">
        <f>I1271+J1271+K1271+L1271+M1271+N1271+O1271+IF(P1271="",0,P1271*サマリー!$B$9)+IF(Q1271="",0,IF(Q1271=200,サマリー!$B$10,IF(Q1271=100,サマリー!$B$11,0)))+IF(R1271="",0,R1271*サマリー!$B$12)</f>
        <v>0</v>
      </c>
      <c r="D1271" s="26">
        <f>S1271+T1271+U1271+V1271+W1271+IF(X1271="",0,X1271*サマリー!$B$9)+IF(Y1271="",0,IF(Y1271=200,サマリー!$B$10,IF(Y1271=100,サマリー!$B$11,0)))+IF(Z1271="",0,Z1271*サマリー!$B$12)</f>
        <v>0</v>
      </c>
      <c r="E1271" s="26">
        <f t="shared" si="48"/>
        <v>0</v>
      </c>
      <c r="I1271" s="29"/>
      <c r="J1271" s="29"/>
      <c r="K1271" s="29"/>
      <c r="L1271" s="29"/>
      <c r="M1271" s="29"/>
      <c r="N1271" s="29"/>
      <c r="O1271" s="29"/>
      <c r="P1271" s="30"/>
      <c r="Q1271" s="30"/>
      <c r="R1271" s="30"/>
      <c r="S1271" s="31"/>
      <c r="T1271" s="31"/>
      <c r="U1271" s="31"/>
      <c r="V1271" s="31"/>
      <c r="W1271" s="31"/>
      <c r="X1271" s="32"/>
      <c r="Y1271" s="32"/>
      <c r="Z1271" s="32"/>
    </row>
    <row r="1272" spans="1:26">
      <c r="A1272" s="28"/>
      <c r="B1272" s="17">
        <f t="shared" si="47"/>
        <v>46319</v>
      </c>
      <c r="C1272" s="26">
        <f>I1272+J1272+K1272+L1272+M1272+N1272+O1272+IF(P1272="",0,P1272*サマリー!$B$9)+IF(Q1272="",0,IF(Q1272=200,サマリー!$B$10,IF(Q1272=100,サマリー!$B$11,0)))+IF(R1272="",0,R1272*サマリー!$B$12)</f>
        <v>0</v>
      </c>
      <c r="D1272" s="26">
        <f>S1272+T1272+U1272+V1272+W1272+IF(X1272="",0,X1272*サマリー!$B$9)+IF(Y1272="",0,IF(Y1272=200,サマリー!$B$10,IF(Y1272=100,サマリー!$B$11,0)))+IF(Z1272="",0,Z1272*サマリー!$B$12)</f>
        <v>0</v>
      </c>
      <c r="E1272" s="26">
        <f t="shared" si="48"/>
        <v>0</v>
      </c>
      <c r="I1272" s="29"/>
      <c r="J1272" s="29"/>
      <c r="K1272" s="29"/>
      <c r="L1272" s="29"/>
      <c r="M1272" s="29"/>
      <c r="N1272" s="29"/>
      <c r="O1272" s="29"/>
      <c r="P1272" s="30"/>
      <c r="Q1272" s="30"/>
      <c r="R1272" s="30"/>
      <c r="S1272" s="31"/>
      <c r="T1272" s="31"/>
      <c r="U1272" s="31"/>
      <c r="V1272" s="31"/>
      <c r="W1272" s="31"/>
      <c r="X1272" s="32"/>
      <c r="Y1272" s="32"/>
      <c r="Z1272" s="32"/>
    </row>
    <row r="1273" spans="1:26">
      <c r="A1273" s="28"/>
      <c r="B1273" s="17">
        <f t="shared" si="47"/>
        <v>46319</v>
      </c>
      <c r="C1273" s="26">
        <f>I1273+J1273+K1273+L1273+M1273+N1273+O1273+IF(P1273="",0,P1273*サマリー!$B$9)+IF(Q1273="",0,IF(Q1273=200,サマリー!$B$10,IF(Q1273=100,サマリー!$B$11,0)))+IF(R1273="",0,R1273*サマリー!$B$12)</f>
        <v>0</v>
      </c>
      <c r="D1273" s="26">
        <f>S1273+T1273+U1273+V1273+W1273+IF(X1273="",0,X1273*サマリー!$B$9)+IF(Y1273="",0,IF(Y1273=200,サマリー!$B$10,IF(Y1273=100,サマリー!$B$11,0)))+IF(Z1273="",0,Z1273*サマリー!$B$12)</f>
        <v>0</v>
      </c>
      <c r="E1273" s="26">
        <f t="shared" si="48"/>
        <v>0</v>
      </c>
      <c r="I1273" s="29"/>
      <c r="J1273" s="29"/>
      <c r="K1273" s="29"/>
      <c r="L1273" s="29"/>
      <c r="M1273" s="29"/>
      <c r="N1273" s="29"/>
      <c r="O1273" s="29"/>
      <c r="P1273" s="30"/>
      <c r="Q1273" s="30"/>
      <c r="R1273" s="30"/>
      <c r="S1273" s="31"/>
      <c r="T1273" s="31"/>
      <c r="U1273" s="31"/>
      <c r="V1273" s="31"/>
      <c r="W1273" s="31"/>
      <c r="X1273" s="32"/>
      <c r="Y1273" s="32"/>
      <c r="Z1273" s="32"/>
    </row>
    <row r="1274" spans="1:26">
      <c r="A1274" s="28"/>
      <c r="B1274" s="17">
        <f t="shared" si="47"/>
        <v>46319</v>
      </c>
      <c r="C1274" s="26">
        <f>I1274+J1274+K1274+L1274+M1274+N1274+O1274+IF(P1274="",0,P1274*サマリー!$B$9)+IF(Q1274="",0,IF(Q1274=200,サマリー!$B$10,IF(Q1274=100,サマリー!$B$11,0)))+IF(R1274="",0,R1274*サマリー!$B$12)</f>
        <v>0</v>
      </c>
      <c r="D1274" s="26">
        <f>S1274+T1274+U1274+V1274+W1274+IF(X1274="",0,X1274*サマリー!$B$9)+IF(Y1274="",0,IF(Y1274=200,サマリー!$B$10,IF(Y1274=100,サマリー!$B$11,0)))+IF(Z1274="",0,Z1274*サマリー!$B$12)</f>
        <v>0</v>
      </c>
      <c r="E1274" s="26">
        <f t="shared" si="48"/>
        <v>0</v>
      </c>
      <c r="I1274" s="29"/>
      <c r="J1274" s="29"/>
      <c r="K1274" s="29"/>
      <c r="L1274" s="29"/>
      <c r="M1274" s="29"/>
      <c r="N1274" s="29"/>
      <c r="O1274" s="29"/>
      <c r="P1274" s="30"/>
      <c r="Q1274" s="30"/>
      <c r="R1274" s="30"/>
      <c r="S1274" s="31"/>
      <c r="T1274" s="31"/>
      <c r="U1274" s="31"/>
      <c r="V1274" s="31"/>
      <c r="W1274" s="31"/>
      <c r="X1274" s="32"/>
      <c r="Y1274" s="32"/>
      <c r="Z1274" s="32"/>
    </row>
    <row r="1275" spans="1:26">
      <c r="A1275" s="28"/>
      <c r="B1275" s="17">
        <f t="shared" si="47"/>
        <v>46319</v>
      </c>
      <c r="C1275" s="26">
        <f>I1275+J1275+K1275+L1275+M1275+N1275+O1275+IF(P1275="",0,P1275*サマリー!$B$9)+IF(Q1275="",0,IF(Q1275=200,サマリー!$B$10,IF(Q1275=100,サマリー!$B$11,0)))+IF(R1275="",0,R1275*サマリー!$B$12)</f>
        <v>0</v>
      </c>
      <c r="D1275" s="26">
        <f>S1275+T1275+U1275+V1275+W1275+IF(X1275="",0,X1275*サマリー!$B$9)+IF(Y1275="",0,IF(Y1275=200,サマリー!$B$10,IF(Y1275=100,サマリー!$B$11,0)))+IF(Z1275="",0,Z1275*サマリー!$B$12)</f>
        <v>0</v>
      </c>
      <c r="E1275" s="26">
        <f t="shared" si="48"/>
        <v>0</v>
      </c>
      <c r="I1275" s="29"/>
      <c r="J1275" s="29"/>
      <c r="K1275" s="29"/>
      <c r="L1275" s="29"/>
      <c r="M1275" s="29"/>
      <c r="N1275" s="29"/>
      <c r="O1275" s="29"/>
      <c r="P1275" s="30"/>
      <c r="Q1275" s="30"/>
      <c r="R1275" s="30"/>
      <c r="S1275" s="31"/>
      <c r="T1275" s="31"/>
      <c r="U1275" s="31"/>
      <c r="V1275" s="31"/>
      <c r="W1275" s="31"/>
      <c r="X1275" s="32"/>
      <c r="Y1275" s="32"/>
      <c r="Z1275" s="32"/>
    </row>
    <row r="1276" spans="1:26">
      <c r="A1276" s="28"/>
      <c r="B1276" s="17">
        <f t="shared" si="47"/>
        <v>46319</v>
      </c>
      <c r="C1276" s="26">
        <f>I1276+J1276+K1276+L1276+M1276+N1276+O1276+IF(P1276="",0,P1276*サマリー!$B$9)+IF(Q1276="",0,IF(Q1276=200,サマリー!$B$10,IF(Q1276=100,サマリー!$B$11,0)))+IF(R1276="",0,R1276*サマリー!$B$12)</f>
        <v>0</v>
      </c>
      <c r="D1276" s="26">
        <f>S1276+T1276+U1276+V1276+W1276+IF(X1276="",0,X1276*サマリー!$B$9)+IF(Y1276="",0,IF(Y1276=200,サマリー!$B$10,IF(Y1276=100,サマリー!$B$11,0)))+IF(Z1276="",0,Z1276*サマリー!$B$12)</f>
        <v>0</v>
      </c>
      <c r="E1276" s="26">
        <f t="shared" si="48"/>
        <v>0</v>
      </c>
      <c r="I1276" s="29"/>
      <c r="J1276" s="29"/>
      <c r="K1276" s="29"/>
      <c r="L1276" s="29"/>
      <c r="M1276" s="29"/>
      <c r="N1276" s="29"/>
      <c r="O1276" s="29"/>
      <c r="P1276" s="30"/>
      <c r="Q1276" s="30"/>
      <c r="R1276" s="30"/>
      <c r="S1276" s="31"/>
      <c r="T1276" s="31"/>
      <c r="U1276" s="31"/>
      <c r="V1276" s="31"/>
      <c r="W1276" s="31"/>
      <c r="X1276" s="32"/>
      <c r="Y1276" s="32"/>
      <c r="Z1276" s="32"/>
    </row>
    <row r="1277" spans="1:26">
      <c r="A1277" s="28"/>
      <c r="B1277" s="17">
        <f t="shared" si="47"/>
        <v>46319</v>
      </c>
      <c r="C1277" s="26">
        <f>I1277+J1277+K1277+L1277+M1277+N1277+O1277+IF(P1277="",0,P1277*サマリー!$B$9)+IF(Q1277="",0,IF(Q1277=200,サマリー!$B$10,IF(Q1277=100,サマリー!$B$11,0)))+IF(R1277="",0,R1277*サマリー!$B$12)</f>
        <v>0</v>
      </c>
      <c r="D1277" s="26">
        <f>S1277+T1277+U1277+V1277+W1277+IF(X1277="",0,X1277*サマリー!$B$9)+IF(Y1277="",0,IF(Y1277=200,サマリー!$B$10,IF(Y1277=100,サマリー!$B$11,0)))+IF(Z1277="",0,Z1277*サマリー!$B$12)</f>
        <v>0</v>
      </c>
      <c r="E1277" s="26">
        <f t="shared" si="48"/>
        <v>0</v>
      </c>
      <c r="I1277" s="29"/>
      <c r="J1277" s="29"/>
      <c r="K1277" s="29"/>
      <c r="L1277" s="29"/>
      <c r="M1277" s="29"/>
      <c r="N1277" s="29"/>
      <c r="O1277" s="29"/>
      <c r="P1277" s="30"/>
      <c r="Q1277" s="30"/>
      <c r="R1277" s="30"/>
      <c r="S1277" s="31"/>
      <c r="T1277" s="31"/>
      <c r="U1277" s="31"/>
      <c r="V1277" s="31"/>
      <c r="W1277" s="31"/>
      <c r="X1277" s="32"/>
      <c r="Y1277" s="32"/>
      <c r="Z1277" s="32"/>
    </row>
    <row r="1278" spans="1:26">
      <c r="A1278" s="28"/>
      <c r="B1278" s="17">
        <f t="shared" si="47"/>
        <v>46319</v>
      </c>
      <c r="C1278" s="26">
        <f>I1278+J1278+K1278+L1278+M1278+N1278+O1278+IF(P1278="",0,P1278*サマリー!$B$9)+IF(Q1278="",0,IF(Q1278=200,サマリー!$B$10,IF(Q1278=100,サマリー!$B$11,0)))+IF(R1278="",0,R1278*サマリー!$B$12)</f>
        <v>0</v>
      </c>
      <c r="D1278" s="26">
        <f>S1278+T1278+U1278+V1278+W1278+IF(X1278="",0,X1278*サマリー!$B$9)+IF(Y1278="",0,IF(Y1278=200,サマリー!$B$10,IF(Y1278=100,サマリー!$B$11,0)))+IF(Z1278="",0,Z1278*サマリー!$B$12)</f>
        <v>0</v>
      </c>
      <c r="E1278" s="26">
        <f t="shared" si="48"/>
        <v>0</v>
      </c>
      <c r="I1278" s="29"/>
      <c r="J1278" s="29"/>
      <c r="K1278" s="29"/>
      <c r="L1278" s="29"/>
      <c r="M1278" s="29"/>
      <c r="N1278" s="29"/>
      <c r="O1278" s="29"/>
      <c r="P1278" s="30"/>
      <c r="Q1278" s="30"/>
      <c r="R1278" s="30"/>
      <c r="S1278" s="31"/>
      <c r="T1278" s="31"/>
      <c r="U1278" s="31"/>
      <c r="V1278" s="31"/>
      <c r="W1278" s="31"/>
      <c r="X1278" s="32"/>
      <c r="Y1278" s="32"/>
      <c r="Z1278" s="32"/>
    </row>
    <row r="1279" spans="1:26">
      <c r="A1279" s="28"/>
      <c r="B1279" s="17">
        <f t="shared" si="47"/>
        <v>46319</v>
      </c>
      <c r="C1279" s="26">
        <f>I1279+J1279+K1279+L1279+M1279+N1279+O1279+IF(P1279="",0,P1279*サマリー!$B$9)+IF(Q1279="",0,IF(Q1279=200,サマリー!$B$10,IF(Q1279=100,サマリー!$B$11,0)))+IF(R1279="",0,R1279*サマリー!$B$12)</f>
        <v>0</v>
      </c>
      <c r="D1279" s="26">
        <f>S1279+T1279+U1279+V1279+W1279+IF(X1279="",0,X1279*サマリー!$B$9)+IF(Y1279="",0,IF(Y1279=200,サマリー!$B$10,IF(Y1279=100,サマリー!$B$11,0)))+IF(Z1279="",0,Z1279*サマリー!$B$12)</f>
        <v>0</v>
      </c>
      <c r="E1279" s="26">
        <f t="shared" si="48"/>
        <v>0</v>
      </c>
      <c r="I1279" s="29"/>
      <c r="J1279" s="29"/>
      <c r="K1279" s="29"/>
      <c r="L1279" s="29"/>
      <c r="M1279" s="29"/>
      <c r="N1279" s="29"/>
      <c r="O1279" s="29"/>
      <c r="P1279" s="30"/>
      <c r="Q1279" s="30"/>
      <c r="R1279" s="30"/>
      <c r="S1279" s="31"/>
      <c r="T1279" s="31"/>
      <c r="U1279" s="31"/>
      <c r="V1279" s="31"/>
      <c r="W1279" s="31"/>
      <c r="X1279" s="32"/>
      <c r="Y1279" s="32"/>
      <c r="Z1279" s="32"/>
    </row>
    <row r="1280" spans="1:26">
      <c r="A1280" s="28"/>
      <c r="B1280" s="17">
        <f t="shared" si="47"/>
        <v>46319</v>
      </c>
      <c r="C1280" s="26">
        <f>I1280+J1280+K1280+L1280+M1280+N1280+O1280+IF(P1280="",0,P1280*サマリー!$B$9)+IF(Q1280="",0,IF(Q1280=200,サマリー!$B$10,IF(Q1280=100,サマリー!$B$11,0)))+IF(R1280="",0,R1280*サマリー!$B$12)</f>
        <v>0</v>
      </c>
      <c r="D1280" s="26">
        <f>S1280+T1280+U1280+V1280+W1280+IF(X1280="",0,X1280*サマリー!$B$9)+IF(Y1280="",0,IF(Y1280=200,サマリー!$B$10,IF(Y1280=100,サマリー!$B$11,0)))+IF(Z1280="",0,Z1280*サマリー!$B$12)</f>
        <v>0</v>
      </c>
      <c r="E1280" s="26">
        <f t="shared" si="48"/>
        <v>0</v>
      </c>
      <c r="I1280" s="29"/>
      <c r="J1280" s="29"/>
      <c r="K1280" s="29"/>
      <c r="L1280" s="29"/>
      <c r="M1280" s="29"/>
      <c r="N1280" s="29"/>
      <c r="O1280" s="29"/>
      <c r="P1280" s="30"/>
      <c r="Q1280" s="30"/>
      <c r="R1280" s="30"/>
      <c r="S1280" s="31"/>
      <c r="T1280" s="31"/>
      <c r="U1280" s="31"/>
      <c r="V1280" s="31"/>
      <c r="W1280" s="31"/>
      <c r="X1280" s="32"/>
      <c r="Y1280" s="32"/>
      <c r="Z1280" s="32"/>
    </row>
    <row r="1281" spans="1:26">
      <c r="A1281" s="28"/>
      <c r="B1281" s="17">
        <f t="shared" ref="B1281:B1344" si="49">IF(A1281="",B1280,IF(A1281&lt;DAY(B1280),DATE(YEAR(B1280),MONTH(B1280)+1,A1281),DATE(YEAR(B1280),MONTH(B1280),A1281)))</f>
        <v>46319</v>
      </c>
      <c r="C1281" s="26">
        <f>I1281+J1281+K1281+L1281+M1281+N1281+O1281+IF(P1281="",0,P1281*サマリー!$B$9)+IF(Q1281="",0,IF(Q1281=200,サマリー!$B$10,IF(Q1281=100,サマリー!$B$11,0)))+IF(R1281="",0,R1281*サマリー!$B$12)</f>
        <v>0</v>
      </c>
      <c r="D1281" s="26">
        <f>S1281+T1281+U1281+V1281+W1281+IF(X1281="",0,X1281*サマリー!$B$9)+IF(Y1281="",0,IF(Y1281=200,サマリー!$B$10,IF(Y1281=100,サマリー!$B$11,0)))+IF(Z1281="",0,Z1281*サマリー!$B$12)</f>
        <v>0</v>
      </c>
      <c r="E1281" s="26">
        <f t="shared" si="48"/>
        <v>0</v>
      </c>
      <c r="I1281" s="29"/>
      <c r="J1281" s="29"/>
      <c r="K1281" s="29"/>
      <c r="L1281" s="29"/>
      <c r="M1281" s="29"/>
      <c r="N1281" s="29"/>
      <c r="O1281" s="29"/>
      <c r="P1281" s="30"/>
      <c r="Q1281" s="30"/>
      <c r="R1281" s="30"/>
      <c r="S1281" s="31"/>
      <c r="T1281" s="31"/>
      <c r="U1281" s="31"/>
      <c r="V1281" s="31"/>
      <c r="W1281" s="31"/>
      <c r="X1281" s="32"/>
      <c r="Y1281" s="32"/>
      <c r="Z1281" s="32"/>
    </row>
    <row r="1282" spans="1:26">
      <c r="A1282" s="28"/>
      <c r="B1282" s="17">
        <f t="shared" si="49"/>
        <v>46319</v>
      </c>
      <c r="C1282" s="26">
        <f>I1282+J1282+K1282+L1282+M1282+N1282+O1282+IF(P1282="",0,P1282*サマリー!$B$9)+IF(Q1282="",0,IF(Q1282=200,サマリー!$B$10,IF(Q1282=100,サマリー!$B$11,0)))+IF(R1282="",0,R1282*サマリー!$B$12)</f>
        <v>0</v>
      </c>
      <c r="D1282" s="26">
        <f>S1282+T1282+U1282+V1282+W1282+IF(X1282="",0,X1282*サマリー!$B$9)+IF(Y1282="",0,IF(Y1282=200,サマリー!$B$10,IF(Y1282=100,サマリー!$B$11,0)))+IF(Z1282="",0,Z1282*サマリー!$B$12)</f>
        <v>0</v>
      </c>
      <c r="E1282" s="26">
        <f t="shared" si="48"/>
        <v>0</v>
      </c>
      <c r="I1282" s="29"/>
      <c r="J1282" s="29"/>
      <c r="K1282" s="29"/>
      <c r="L1282" s="29"/>
      <c r="M1282" s="29"/>
      <c r="N1282" s="29"/>
      <c r="O1282" s="29"/>
      <c r="P1282" s="30"/>
      <c r="Q1282" s="30"/>
      <c r="R1282" s="30"/>
      <c r="S1282" s="31"/>
      <c r="T1282" s="31"/>
      <c r="U1282" s="31"/>
      <c r="V1282" s="31"/>
      <c r="W1282" s="31"/>
      <c r="X1282" s="32"/>
      <c r="Y1282" s="32"/>
      <c r="Z1282" s="32"/>
    </row>
    <row r="1283" spans="1:26">
      <c r="A1283" s="28"/>
      <c r="B1283" s="17">
        <f t="shared" si="49"/>
        <v>46319</v>
      </c>
      <c r="C1283" s="26">
        <f>I1283+J1283+K1283+L1283+M1283+N1283+O1283+IF(P1283="",0,P1283*サマリー!$B$9)+IF(Q1283="",0,IF(Q1283=200,サマリー!$B$10,IF(Q1283=100,サマリー!$B$11,0)))+IF(R1283="",0,R1283*サマリー!$B$12)</f>
        <v>0</v>
      </c>
      <c r="D1283" s="26">
        <f>S1283+T1283+U1283+V1283+W1283+IF(X1283="",0,X1283*サマリー!$B$9)+IF(Y1283="",0,IF(Y1283=200,サマリー!$B$10,IF(Y1283=100,サマリー!$B$11,0)))+IF(Z1283="",0,Z1283*サマリー!$B$12)</f>
        <v>0</v>
      </c>
      <c r="E1283" s="26">
        <f t="shared" si="48"/>
        <v>0</v>
      </c>
      <c r="I1283" s="29"/>
      <c r="J1283" s="29"/>
      <c r="K1283" s="29"/>
      <c r="L1283" s="29"/>
      <c r="M1283" s="29"/>
      <c r="N1283" s="29"/>
      <c r="O1283" s="29"/>
      <c r="P1283" s="30"/>
      <c r="Q1283" s="30"/>
      <c r="R1283" s="30"/>
      <c r="S1283" s="31"/>
      <c r="T1283" s="31"/>
      <c r="U1283" s="31"/>
      <c r="V1283" s="31"/>
      <c r="W1283" s="31"/>
      <c r="X1283" s="32"/>
      <c r="Y1283" s="32"/>
      <c r="Z1283" s="32"/>
    </row>
    <row r="1284" spans="1:26">
      <c r="A1284" s="28"/>
      <c r="B1284" s="17">
        <f t="shared" si="49"/>
        <v>46319</v>
      </c>
      <c r="C1284" s="26">
        <f>I1284+J1284+K1284+L1284+M1284+N1284+O1284+IF(P1284="",0,P1284*サマリー!$B$9)+IF(Q1284="",0,IF(Q1284=200,サマリー!$B$10,IF(Q1284=100,サマリー!$B$11,0)))+IF(R1284="",0,R1284*サマリー!$B$12)</f>
        <v>0</v>
      </c>
      <c r="D1284" s="26">
        <f>S1284+T1284+U1284+V1284+W1284+IF(X1284="",0,X1284*サマリー!$B$9)+IF(Y1284="",0,IF(Y1284=200,サマリー!$B$10,IF(Y1284=100,サマリー!$B$11,0)))+IF(Z1284="",0,Z1284*サマリー!$B$12)</f>
        <v>0</v>
      </c>
      <c r="E1284" s="26">
        <f t="shared" si="48"/>
        <v>0</v>
      </c>
      <c r="I1284" s="29"/>
      <c r="J1284" s="29"/>
      <c r="K1284" s="29"/>
      <c r="L1284" s="29"/>
      <c r="M1284" s="29"/>
      <c r="N1284" s="29"/>
      <c r="O1284" s="29"/>
      <c r="P1284" s="30"/>
      <c r="Q1284" s="30"/>
      <c r="R1284" s="30"/>
      <c r="S1284" s="31"/>
      <c r="T1284" s="31"/>
      <c r="U1284" s="31"/>
      <c r="V1284" s="31"/>
      <c r="W1284" s="31"/>
      <c r="X1284" s="32"/>
      <c r="Y1284" s="32"/>
      <c r="Z1284" s="32"/>
    </row>
    <row r="1285" spans="1:26">
      <c r="A1285" s="28"/>
      <c r="B1285" s="17">
        <f t="shared" si="49"/>
        <v>46319</v>
      </c>
      <c r="C1285" s="26">
        <f>I1285+J1285+K1285+L1285+M1285+N1285+O1285+IF(P1285="",0,P1285*サマリー!$B$9)+IF(Q1285="",0,IF(Q1285=200,サマリー!$B$10,IF(Q1285=100,サマリー!$B$11,0)))+IF(R1285="",0,R1285*サマリー!$B$12)</f>
        <v>0</v>
      </c>
      <c r="D1285" s="26">
        <f>S1285+T1285+U1285+V1285+W1285+IF(X1285="",0,X1285*サマリー!$B$9)+IF(Y1285="",0,IF(Y1285=200,サマリー!$B$10,IF(Y1285=100,サマリー!$B$11,0)))+IF(Z1285="",0,Z1285*サマリー!$B$12)</f>
        <v>0</v>
      </c>
      <c r="E1285" s="26">
        <f t="shared" si="48"/>
        <v>0</v>
      </c>
      <c r="I1285" s="29"/>
      <c r="J1285" s="29"/>
      <c r="K1285" s="29"/>
      <c r="L1285" s="29"/>
      <c r="M1285" s="29"/>
      <c r="N1285" s="29"/>
      <c r="O1285" s="29"/>
      <c r="P1285" s="30"/>
      <c r="Q1285" s="30"/>
      <c r="R1285" s="30"/>
      <c r="S1285" s="31"/>
      <c r="T1285" s="31"/>
      <c r="U1285" s="31"/>
      <c r="V1285" s="31"/>
      <c r="W1285" s="31"/>
      <c r="X1285" s="32"/>
      <c r="Y1285" s="32"/>
      <c r="Z1285" s="32"/>
    </row>
    <row r="1286" spans="1:26">
      <c r="A1286" s="28"/>
      <c r="B1286" s="17">
        <f t="shared" si="49"/>
        <v>46319</v>
      </c>
      <c r="C1286" s="26">
        <f>I1286+J1286+K1286+L1286+M1286+N1286+O1286+IF(P1286="",0,P1286*サマリー!$B$9)+IF(Q1286="",0,IF(Q1286=200,サマリー!$B$10,IF(Q1286=100,サマリー!$B$11,0)))+IF(R1286="",0,R1286*サマリー!$B$12)</f>
        <v>0</v>
      </c>
      <c r="D1286" s="26">
        <f>S1286+T1286+U1286+V1286+W1286+IF(X1286="",0,X1286*サマリー!$B$9)+IF(Y1286="",0,IF(Y1286=200,サマリー!$B$10,IF(Y1286=100,サマリー!$B$11,0)))+IF(Z1286="",0,Z1286*サマリー!$B$12)</f>
        <v>0</v>
      </c>
      <c r="E1286" s="26">
        <f t="shared" si="48"/>
        <v>0</v>
      </c>
      <c r="I1286" s="29"/>
      <c r="J1286" s="29"/>
      <c r="K1286" s="29"/>
      <c r="L1286" s="29"/>
      <c r="M1286" s="29"/>
      <c r="N1286" s="29"/>
      <c r="O1286" s="29"/>
      <c r="P1286" s="30"/>
      <c r="Q1286" s="30"/>
      <c r="R1286" s="30"/>
      <c r="S1286" s="31"/>
      <c r="T1286" s="31"/>
      <c r="U1286" s="31"/>
      <c r="V1286" s="31"/>
      <c r="W1286" s="31"/>
      <c r="X1286" s="32"/>
      <c r="Y1286" s="32"/>
      <c r="Z1286" s="32"/>
    </row>
    <row r="1287" spans="1:26">
      <c r="A1287" s="28"/>
      <c r="B1287" s="17">
        <f t="shared" si="49"/>
        <v>46319</v>
      </c>
      <c r="C1287" s="26">
        <f>I1287+J1287+K1287+L1287+M1287+N1287+O1287+IF(P1287="",0,P1287*サマリー!$B$9)+IF(Q1287="",0,IF(Q1287=200,サマリー!$B$10,IF(Q1287=100,サマリー!$B$11,0)))+IF(R1287="",0,R1287*サマリー!$B$12)</f>
        <v>0</v>
      </c>
      <c r="D1287" s="26">
        <f>S1287+T1287+U1287+V1287+W1287+IF(X1287="",0,X1287*サマリー!$B$9)+IF(Y1287="",0,IF(Y1287=200,サマリー!$B$10,IF(Y1287=100,サマリー!$B$11,0)))+IF(Z1287="",0,Z1287*サマリー!$B$12)</f>
        <v>0</v>
      </c>
      <c r="E1287" s="26">
        <f t="shared" si="48"/>
        <v>0</v>
      </c>
      <c r="I1287" s="29"/>
      <c r="J1287" s="29"/>
      <c r="K1287" s="29"/>
      <c r="L1287" s="29"/>
      <c r="M1287" s="29"/>
      <c r="N1287" s="29"/>
      <c r="O1287" s="29"/>
      <c r="P1287" s="30"/>
      <c r="Q1287" s="30"/>
      <c r="R1287" s="30"/>
      <c r="S1287" s="31"/>
      <c r="T1287" s="31"/>
      <c r="U1287" s="31"/>
      <c r="V1287" s="31"/>
      <c r="W1287" s="31"/>
      <c r="X1287" s="32"/>
      <c r="Y1287" s="32"/>
      <c r="Z1287" s="32"/>
    </row>
    <row r="1288" spans="1:26">
      <c r="A1288" s="28"/>
      <c r="B1288" s="17">
        <f t="shared" si="49"/>
        <v>46319</v>
      </c>
      <c r="C1288" s="26">
        <f>I1288+J1288+K1288+L1288+M1288+N1288+O1288+IF(P1288="",0,P1288*サマリー!$B$9)+IF(Q1288="",0,IF(Q1288=200,サマリー!$B$10,IF(Q1288=100,サマリー!$B$11,0)))+IF(R1288="",0,R1288*サマリー!$B$12)</f>
        <v>0</v>
      </c>
      <c r="D1288" s="26">
        <f>S1288+T1288+U1288+V1288+W1288+IF(X1288="",0,X1288*サマリー!$B$9)+IF(Y1288="",0,IF(Y1288=200,サマリー!$B$10,IF(Y1288=100,サマリー!$B$11,0)))+IF(Z1288="",0,Z1288*サマリー!$B$12)</f>
        <v>0</v>
      </c>
      <c r="E1288" s="26">
        <f t="shared" si="48"/>
        <v>0</v>
      </c>
      <c r="I1288" s="29"/>
      <c r="J1288" s="29"/>
      <c r="K1288" s="29"/>
      <c r="L1288" s="29"/>
      <c r="M1288" s="29"/>
      <c r="N1288" s="29"/>
      <c r="O1288" s="29"/>
      <c r="P1288" s="30"/>
      <c r="Q1288" s="30"/>
      <c r="R1288" s="30"/>
      <c r="S1288" s="31"/>
      <c r="T1288" s="31"/>
      <c r="U1288" s="31"/>
      <c r="V1288" s="31"/>
      <c r="W1288" s="31"/>
      <c r="X1288" s="32"/>
      <c r="Y1288" s="32"/>
      <c r="Z1288" s="32"/>
    </row>
    <row r="1289" spans="1:26">
      <c r="A1289" s="28"/>
      <c r="B1289" s="17">
        <f t="shared" si="49"/>
        <v>46319</v>
      </c>
      <c r="C1289" s="26">
        <f>I1289+J1289+K1289+L1289+M1289+N1289+O1289+IF(P1289="",0,P1289*サマリー!$B$9)+IF(Q1289="",0,IF(Q1289=200,サマリー!$B$10,IF(Q1289=100,サマリー!$B$11,0)))+IF(R1289="",0,R1289*サマリー!$B$12)</f>
        <v>0</v>
      </c>
      <c r="D1289" s="26">
        <f>S1289+T1289+U1289+V1289+W1289+IF(X1289="",0,X1289*サマリー!$B$9)+IF(Y1289="",0,IF(Y1289=200,サマリー!$B$10,IF(Y1289=100,サマリー!$B$11,0)))+IF(Z1289="",0,Z1289*サマリー!$B$12)</f>
        <v>0</v>
      </c>
      <c r="E1289" s="26">
        <f t="shared" si="48"/>
        <v>0</v>
      </c>
      <c r="I1289" s="29"/>
      <c r="J1289" s="29"/>
      <c r="K1289" s="29"/>
      <c r="L1289" s="29"/>
      <c r="M1289" s="29"/>
      <c r="N1289" s="29"/>
      <c r="O1289" s="29"/>
      <c r="P1289" s="30"/>
      <c r="Q1289" s="30"/>
      <c r="R1289" s="30"/>
      <c r="S1289" s="31"/>
      <c r="T1289" s="31"/>
      <c r="U1289" s="31"/>
      <c r="V1289" s="31"/>
      <c r="W1289" s="31"/>
      <c r="X1289" s="32"/>
      <c r="Y1289" s="32"/>
      <c r="Z1289" s="32"/>
    </row>
    <row r="1290" spans="1:26">
      <c r="A1290" s="28"/>
      <c r="B1290" s="17">
        <f t="shared" si="49"/>
        <v>46319</v>
      </c>
      <c r="C1290" s="26">
        <f>I1290+J1290+K1290+L1290+M1290+N1290+O1290+IF(P1290="",0,P1290*サマリー!$B$9)+IF(Q1290="",0,IF(Q1290=200,サマリー!$B$10,IF(Q1290=100,サマリー!$B$11,0)))+IF(R1290="",0,R1290*サマリー!$B$12)</f>
        <v>0</v>
      </c>
      <c r="D1290" s="26">
        <f>S1290+T1290+U1290+V1290+W1290+IF(X1290="",0,X1290*サマリー!$B$9)+IF(Y1290="",0,IF(Y1290=200,サマリー!$B$10,IF(Y1290=100,サマリー!$B$11,0)))+IF(Z1290="",0,Z1290*サマリー!$B$12)</f>
        <v>0</v>
      </c>
      <c r="E1290" s="26">
        <f t="shared" si="48"/>
        <v>0</v>
      </c>
      <c r="I1290" s="29"/>
      <c r="J1290" s="29"/>
      <c r="K1290" s="29"/>
      <c r="L1290" s="29"/>
      <c r="M1290" s="29"/>
      <c r="N1290" s="29"/>
      <c r="O1290" s="29"/>
      <c r="P1290" s="30"/>
      <c r="Q1290" s="30"/>
      <c r="R1290" s="30"/>
      <c r="S1290" s="31"/>
      <c r="T1290" s="31"/>
      <c r="U1290" s="31"/>
      <c r="V1290" s="31"/>
      <c r="W1290" s="31"/>
      <c r="X1290" s="32"/>
      <c r="Y1290" s="32"/>
      <c r="Z1290" s="32"/>
    </row>
    <row r="1291" spans="1:26">
      <c r="A1291" s="28"/>
      <c r="B1291" s="17">
        <f t="shared" si="49"/>
        <v>46319</v>
      </c>
      <c r="C1291" s="26">
        <f>I1291+J1291+K1291+L1291+M1291+N1291+O1291+IF(P1291="",0,P1291*サマリー!$B$9)+IF(Q1291="",0,IF(Q1291=200,サマリー!$B$10,IF(Q1291=100,サマリー!$B$11,0)))+IF(R1291="",0,R1291*サマリー!$B$12)</f>
        <v>0</v>
      </c>
      <c r="D1291" s="26">
        <f>S1291+T1291+U1291+V1291+W1291+IF(X1291="",0,X1291*サマリー!$B$9)+IF(Y1291="",0,IF(Y1291=200,サマリー!$B$10,IF(Y1291=100,サマリー!$B$11,0)))+IF(Z1291="",0,Z1291*サマリー!$B$12)</f>
        <v>0</v>
      </c>
      <c r="E1291" s="26">
        <f t="shared" si="48"/>
        <v>0</v>
      </c>
      <c r="I1291" s="29"/>
      <c r="J1291" s="29"/>
      <c r="K1291" s="29"/>
      <c r="L1291" s="29"/>
      <c r="M1291" s="29"/>
      <c r="N1291" s="29"/>
      <c r="O1291" s="29"/>
      <c r="P1291" s="30"/>
      <c r="Q1291" s="30"/>
      <c r="R1291" s="30"/>
      <c r="S1291" s="31"/>
      <c r="T1291" s="31"/>
      <c r="U1291" s="31"/>
      <c r="V1291" s="31"/>
      <c r="W1291" s="31"/>
      <c r="X1291" s="32"/>
      <c r="Y1291" s="32"/>
      <c r="Z1291" s="32"/>
    </row>
    <row r="1292" spans="1:26">
      <c r="A1292" s="28"/>
      <c r="B1292" s="17">
        <f t="shared" si="49"/>
        <v>46319</v>
      </c>
      <c r="C1292" s="26">
        <f>I1292+J1292+K1292+L1292+M1292+N1292+O1292+IF(P1292="",0,P1292*サマリー!$B$9)+IF(Q1292="",0,IF(Q1292=200,サマリー!$B$10,IF(Q1292=100,サマリー!$B$11,0)))+IF(R1292="",0,R1292*サマリー!$B$12)</f>
        <v>0</v>
      </c>
      <c r="D1292" s="26">
        <f>S1292+T1292+U1292+V1292+W1292+IF(X1292="",0,X1292*サマリー!$B$9)+IF(Y1292="",0,IF(Y1292=200,サマリー!$B$10,IF(Y1292=100,サマリー!$B$11,0)))+IF(Z1292="",0,Z1292*サマリー!$B$12)</f>
        <v>0</v>
      </c>
      <c r="E1292" s="26">
        <f t="shared" si="48"/>
        <v>0</v>
      </c>
      <c r="I1292" s="29"/>
      <c r="J1292" s="29"/>
      <c r="K1292" s="29"/>
      <c r="L1292" s="29"/>
      <c r="M1292" s="29"/>
      <c r="N1292" s="29"/>
      <c r="O1292" s="29"/>
      <c r="P1292" s="30"/>
      <c r="Q1292" s="30"/>
      <c r="R1292" s="30"/>
      <c r="S1292" s="31"/>
      <c r="T1292" s="31"/>
      <c r="U1292" s="31"/>
      <c r="V1292" s="31"/>
      <c r="W1292" s="31"/>
      <c r="X1292" s="32"/>
      <c r="Y1292" s="32"/>
      <c r="Z1292" s="32"/>
    </row>
    <row r="1293" spans="1:26">
      <c r="A1293" s="28"/>
      <c r="B1293" s="17">
        <f t="shared" si="49"/>
        <v>46319</v>
      </c>
      <c r="C1293" s="26">
        <f>I1293+J1293+K1293+L1293+M1293+N1293+O1293+IF(P1293="",0,P1293*サマリー!$B$9)+IF(Q1293="",0,IF(Q1293=200,サマリー!$B$10,IF(Q1293=100,サマリー!$B$11,0)))+IF(R1293="",0,R1293*サマリー!$B$12)</f>
        <v>0</v>
      </c>
      <c r="D1293" s="26">
        <f>S1293+T1293+U1293+V1293+W1293+IF(X1293="",0,X1293*サマリー!$B$9)+IF(Y1293="",0,IF(Y1293=200,サマリー!$B$10,IF(Y1293=100,サマリー!$B$11,0)))+IF(Z1293="",0,Z1293*サマリー!$B$12)</f>
        <v>0</v>
      </c>
      <c r="E1293" s="26">
        <f t="shared" si="48"/>
        <v>0</v>
      </c>
      <c r="I1293" s="29"/>
      <c r="J1293" s="29"/>
      <c r="K1293" s="29"/>
      <c r="L1293" s="29"/>
      <c r="M1293" s="29"/>
      <c r="N1293" s="29"/>
      <c r="O1293" s="29"/>
      <c r="P1293" s="30"/>
      <c r="Q1293" s="30"/>
      <c r="R1293" s="30"/>
      <c r="S1293" s="31"/>
      <c r="T1293" s="31"/>
      <c r="U1293" s="31"/>
      <c r="V1293" s="31"/>
      <c r="W1293" s="31"/>
      <c r="X1293" s="32"/>
      <c r="Y1293" s="32"/>
      <c r="Z1293" s="32"/>
    </row>
    <row r="1294" spans="1:26">
      <c r="A1294" s="28"/>
      <c r="B1294" s="17">
        <f t="shared" si="49"/>
        <v>46319</v>
      </c>
      <c r="C1294" s="26">
        <f>I1294+J1294+K1294+L1294+M1294+N1294+O1294+IF(P1294="",0,P1294*サマリー!$B$9)+IF(Q1294="",0,IF(Q1294=200,サマリー!$B$10,IF(Q1294=100,サマリー!$B$11,0)))+IF(R1294="",0,R1294*サマリー!$B$12)</f>
        <v>0</v>
      </c>
      <c r="D1294" s="26">
        <f>S1294+T1294+U1294+V1294+W1294+IF(X1294="",0,X1294*サマリー!$B$9)+IF(Y1294="",0,IF(Y1294=200,サマリー!$B$10,IF(Y1294=100,サマリー!$B$11,0)))+IF(Z1294="",0,Z1294*サマリー!$B$12)</f>
        <v>0</v>
      </c>
      <c r="E1294" s="26">
        <f t="shared" si="48"/>
        <v>0</v>
      </c>
      <c r="I1294" s="29"/>
      <c r="J1294" s="29"/>
      <c r="K1294" s="29"/>
      <c r="L1294" s="29"/>
      <c r="M1294" s="29"/>
      <c r="N1294" s="29"/>
      <c r="O1294" s="29"/>
      <c r="P1294" s="30"/>
      <c r="Q1294" s="30"/>
      <c r="R1294" s="30"/>
      <c r="S1294" s="31"/>
      <c r="T1294" s="31"/>
      <c r="U1294" s="31"/>
      <c r="V1294" s="31"/>
      <c r="W1294" s="31"/>
      <c r="X1294" s="32"/>
      <c r="Y1294" s="32"/>
      <c r="Z1294" s="32"/>
    </row>
    <row r="1295" spans="1:26">
      <c r="A1295" s="28"/>
      <c r="B1295" s="17">
        <f t="shared" si="49"/>
        <v>46319</v>
      </c>
      <c r="C1295" s="26">
        <f>I1295+J1295+K1295+L1295+M1295+N1295+O1295+IF(P1295="",0,P1295*サマリー!$B$9)+IF(Q1295="",0,IF(Q1295=200,サマリー!$B$10,IF(Q1295=100,サマリー!$B$11,0)))+IF(R1295="",0,R1295*サマリー!$B$12)</f>
        <v>0</v>
      </c>
      <c r="D1295" s="26">
        <f>S1295+T1295+U1295+V1295+W1295+IF(X1295="",0,X1295*サマリー!$B$9)+IF(Y1295="",0,IF(Y1295=200,サマリー!$B$10,IF(Y1295=100,サマリー!$B$11,0)))+IF(Z1295="",0,Z1295*サマリー!$B$12)</f>
        <v>0</v>
      </c>
      <c r="E1295" s="26">
        <f t="shared" si="48"/>
        <v>0</v>
      </c>
      <c r="I1295" s="29"/>
      <c r="J1295" s="29"/>
      <c r="K1295" s="29"/>
      <c r="L1295" s="29"/>
      <c r="M1295" s="29"/>
      <c r="N1295" s="29"/>
      <c r="O1295" s="29"/>
      <c r="P1295" s="30"/>
      <c r="Q1295" s="30"/>
      <c r="R1295" s="30"/>
      <c r="S1295" s="31"/>
      <c r="T1295" s="31"/>
      <c r="U1295" s="31"/>
      <c r="V1295" s="31"/>
      <c r="W1295" s="31"/>
      <c r="X1295" s="32"/>
      <c r="Y1295" s="32"/>
      <c r="Z1295" s="32"/>
    </row>
    <row r="1296" spans="1:26">
      <c r="A1296" s="28"/>
      <c r="B1296" s="17">
        <f t="shared" si="49"/>
        <v>46319</v>
      </c>
      <c r="C1296" s="26">
        <f>I1296+J1296+K1296+L1296+M1296+N1296+O1296+IF(P1296="",0,P1296*サマリー!$B$9)+IF(Q1296="",0,IF(Q1296=200,サマリー!$B$10,IF(Q1296=100,サマリー!$B$11,0)))+IF(R1296="",0,R1296*サマリー!$B$12)</f>
        <v>0</v>
      </c>
      <c r="D1296" s="26">
        <f>S1296+T1296+U1296+V1296+W1296+IF(X1296="",0,X1296*サマリー!$B$9)+IF(Y1296="",0,IF(Y1296=200,サマリー!$B$10,IF(Y1296=100,サマリー!$B$11,0)))+IF(Z1296="",0,Z1296*サマリー!$B$12)</f>
        <v>0</v>
      </c>
      <c r="E1296" s="26">
        <f t="shared" si="48"/>
        <v>0</v>
      </c>
      <c r="I1296" s="29"/>
      <c r="J1296" s="29"/>
      <c r="K1296" s="29"/>
      <c r="L1296" s="29"/>
      <c r="M1296" s="29"/>
      <c r="N1296" s="29"/>
      <c r="O1296" s="29"/>
      <c r="P1296" s="30"/>
      <c r="Q1296" s="30"/>
      <c r="R1296" s="30"/>
      <c r="S1296" s="31"/>
      <c r="T1296" s="31"/>
      <c r="U1296" s="31"/>
      <c r="V1296" s="31"/>
      <c r="W1296" s="31"/>
      <c r="X1296" s="32"/>
      <c r="Y1296" s="32"/>
      <c r="Z1296" s="32"/>
    </row>
    <row r="1297" spans="1:26">
      <c r="A1297" s="28"/>
      <c r="B1297" s="17">
        <f t="shared" si="49"/>
        <v>46319</v>
      </c>
      <c r="C1297" s="26">
        <f>I1297+J1297+K1297+L1297+M1297+N1297+O1297+IF(P1297="",0,P1297*サマリー!$B$9)+IF(Q1297="",0,IF(Q1297=200,サマリー!$B$10,IF(Q1297=100,サマリー!$B$11,0)))+IF(R1297="",0,R1297*サマリー!$B$12)</f>
        <v>0</v>
      </c>
      <c r="D1297" s="26">
        <f>S1297+T1297+U1297+V1297+W1297+IF(X1297="",0,X1297*サマリー!$B$9)+IF(Y1297="",0,IF(Y1297=200,サマリー!$B$10,IF(Y1297=100,サマリー!$B$11,0)))+IF(Z1297="",0,Z1297*サマリー!$B$12)</f>
        <v>0</v>
      </c>
      <c r="E1297" s="26">
        <f t="shared" si="48"/>
        <v>0</v>
      </c>
      <c r="I1297" s="29"/>
      <c r="J1297" s="29"/>
      <c r="K1297" s="29"/>
      <c r="L1297" s="29"/>
      <c r="M1297" s="29"/>
      <c r="N1297" s="29"/>
      <c r="O1297" s="29"/>
      <c r="P1297" s="30"/>
      <c r="Q1297" s="30"/>
      <c r="R1297" s="30"/>
      <c r="S1297" s="31"/>
      <c r="T1297" s="31"/>
      <c r="U1297" s="31"/>
      <c r="V1297" s="31"/>
      <c r="W1297" s="31"/>
      <c r="X1297" s="32"/>
      <c r="Y1297" s="32"/>
      <c r="Z1297" s="32"/>
    </row>
    <row r="1298" spans="1:26">
      <c r="A1298" s="28"/>
      <c r="B1298" s="17">
        <f t="shared" si="49"/>
        <v>46319</v>
      </c>
      <c r="C1298" s="26">
        <f>I1298+J1298+K1298+L1298+M1298+N1298+O1298+IF(P1298="",0,P1298*サマリー!$B$9)+IF(Q1298="",0,IF(Q1298=200,サマリー!$B$10,IF(Q1298=100,サマリー!$B$11,0)))+IF(R1298="",0,R1298*サマリー!$B$12)</f>
        <v>0</v>
      </c>
      <c r="D1298" s="26">
        <f>S1298+T1298+U1298+V1298+W1298+IF(X1298="",0,X1298*サマリー!$B$9)+IF(Y1298="",0,IF(Y1298=200,サマリー!$B$10,IF(Y1298=100,サマリー!$B$11,0)))+IF(Z1298="",0,Z1298*サマリー!$B$12)</f>
        <v>0</v>
      </c>
      <c r="E1298" s="26">
        <f t="shared" si="48"/>
        <v>0</v>
      </c>
      <c r="I1298" s="29"/>
      <c r="J1298" s="29"/>
      <c r="K1298" s="29"/>
      <c r="L1298" s="29"/>
      <c r="M1298" s="29"/>
      <c r="N1298" s="29"/>
      <c r="O1298" s="29"/>
      <c r="P1298" s="30"/>
      <c r="Q1298" s="30"/>
      <c r="R1298" s="30"/>
      <c r="S1298" s="31"/>
      <c r="T1298" s="31"/>
      <c r="U1298" s="31"/>
      <c r="V1298" s="31"/>
      <c r="W1298" s="31"/>
      <c r="X1298" s="32"/>
      <c r="Y1298" s="32"/>
      <c r="Z1298" s="32"/>
    </row>
    <row r="1299" spans="1:26">
      <c r="A1299" s="28"/>
      <c r="B1299" s="17">
        <f t="shared" si="49"/>
        <v>46319</v>
      </c>
      <c r="C1299" s="26">
        <f>I1299+J1299+K1299+L1299+M1299+N1299+O1299+IF(P1299="",0,P1299*サマリー!$B$9)+IF(Q1299="",0,IF(Q1299=200,サマリー!$B$10,IF(Q1299=100,サマリー!$B$11,0)))+IF(R1299="",0,R1299*サマリー!$B$12)</f>
        <v>0</v>
      </c>
      <c r="D1299" s="26">
        <f>S1299+T1299+U1299+V1299+W1299+IF(X1299="",0,X1299*サマリー!$B$9)+IF(Y1299="",0,IF(Y1299=200,サマリー!$B$10,IF(Y1299=100,サマリー!$B$11,0)))+IF(Z1299="",0,Z1299*サマリー!$B$12)</f>
        <v>0</v>
      </c>
      <c r="E1299" s="26">
        <f t="shared" si="48"/>
        <v>0</v>
      </c>
      <c r="I1299" s="29"/>
      <c r="J1299" s="29"/>
      <c r="K1299" s="29"/>
      <c r="L1299" s="29"/>
      <c r="M1299" s="29"/>
      <c r="N1299" s="29"/>
      <c r="O1299" s="29"/>
      <c r="P1299" s="30"/>
      <c r="Q1299" s="30"/>
      <c r="R1299" s="30"/>
      <c r="S1299" s="31"/>
      <c r="T1299" s="31"/>
      <c r="U1299" s="31"/>
      <c r="V1299" s="31"/>
      <c r="W1299" s="31"/>
      <c r="X1299" s="32"/>
      <c r="Y1299" s="32"/>
      <c r="Z1299" s="32"/>
    </row>
    <row r="1300" spans="1:26">
      <c r="A1300" s="28"/>
      <c r="B1300" s="17">
        <f t="shared" si="49"/>
        <v>46319</v>
      </c>
      <c r="C1300" s="26">
        <f>I1300+J1300+K1300+L1300+M1300+N1300+O1300+IF(P1300="",0,P1300*サマリー!$B$9)+IF(Q1300="",0,IF(Q1300=200,サマリー!$B$10,IF(Q1300=100,サマリー!$B$11,0)))+IF(R1300="",0,R1300*サマリー!$B$12)</f>
        <v>0</v>
      </c>
      <c r="D1300" s="26">
        <f>S1300+T1300+U1300+V1300+W1300+IF(X1300="",0,X1300*サマリー!$B$9)+IF(Y1300="",0,IF(Y1300=200,サマリー!$B$10,IF(Y1300=100,サマリー!$B$11,0)))+IF(Z1300="",0,Z1300*サマリー!$B$12)</f>
        <v>0</v>
      </c>
      <c r="E1300" s="26">
        <f t="shared" si="48"/>
        <v>0</v>
      </c>
      <c r="I1300" s="29"/>
      <c r="J1300" s="29"/>
      <c r="K1300" s="29"/>
      <c r="L1300" s="29"/>
      <c r="M1300" s="29"/>
      <c r="N1300" s="29"/>
      <c r="O1300" s="29"/>
      <c r="P1300" s="30"/>
      <c r="Q1300" s="30"/>
      <c r="R1300" s="30"/>
      <c r="S1300" s="31"/>
      <c r="T1300" s="31"/>
      <c r="U1300" s="31"/>
      <c r="V1300" s="31"/>
      <c r="W1300" s="31"/>
      <c r="X1300" s="32"/>
      <c r="Y1300" s="32"/>
      <c r="Z1300" s="32"/>
    </row>
    <row r="1301" spans="1:26">
      <c r="A1301" s="28"/>
      <c r="B1301" s="17">
        <f t="shared" si="49"/>
        <v>46319</v>
      </c>
      <c r="C1301" s="26">
        <f>I1301+J1301+K1301+L1301+M1301+N1301+O1301+IF(P1301="",0,P1301*サマリー!$B$9)+IF(Q1301="",0,IF(Q1301=200,サマリー!$B$10,IF(Q1301=100,サマリー!$B$11,0)))+IF(R1301="",0,R1301*サマリー!$B$12)</f>
        <v>0</v>
      </c>
      <c r="D1301" s="26">
        <f>S1301+T1301+U1301+V1301+W1301+IF(X1301="",0,X1301*サマリー!$B$9)+IF(Y1301="",0,IF(Y1301=200,サマリー!$B$10,IF(Y1301=100,サマリー!$B$11,0)))+IF(Z1301="",0,Z1301*サマリー!$B$12)</f>
        <v>0</v>
      </c>
      <c r="E1301" s="26">
        <f t="shared" si="48"/>
        <v>0</v>
      </c>
      <c r="I1301" s="29"/>
      <c r="J1301" s="29"/>
      <c r="K1301" s="29"/>
      <c r="L1301" s="29"/>
      <c r="M1301" s="29"/>
      <c r="N1301" s="29"/>
      <c r="O1301" s="29"/>
      <c r="P1301" s="30"/>
      <c r="Q1301" s="30"/>
      <c r="R1301" s="30"/>
      <c r="S1301" s="31"/>
      <c r="T1301" s="31"/>
      <c r="U1301" s="31"/>
      <c r="V1301" s="31"/>
      <c r="W1301" s="31"/>
      <c r="X1301" s="32"/>
      <c r="Y1301" s="32"/>
      <c r="Z1301" s="32"/>
    </row>
    <row r="1302" spans="1:26">
      <c r="A1302" s="28"/>
      <c r="B1302" s="17">
        <f t="shared" si="49"/>
        <v>46319</v>
      </c>
      <c r="C1302" s="26">
        <f>I1302+J1302+K1302+L1302+M1302+N1302+O1302+IF(P1302="",0,P1302*サマリー!$B$9)+IF(Q1302="",0,IF(Q1302=200,サマリー!$B$10,IF(Q1302=100,サマリー!$B$11,0)))+IF(R1302="",0,R1302*サマリー!$B$12)</f>
        <v>0</v>
      </c>
      <c r="D1302" s="26">
        <f>S1302+T1302+U1302+V1302+W1302+IF(X1302="",0,X1302*サマリー!$B$9)+IF(Y1302="",0,IF(Y1302=200,サマリー!$B$10,IF(Y1302=100,サマリー!$B$11,0)))+IF(Z1302="",0,Z1302*サマリー!$B$12)</f>
        <v>0</v>
      </c>
      <c r="E1302" s="26">
        <f t="shared" si="48"/>
        <v>0</v>
      </c>
      <c r="I1302" s="29"/>
      <c r="J1302" s="29"/>
      <c r="K1302" s="29"/>
      <c r="L1302" s="29"/>
      <c r="M1302" s="29"/>
      <c r="N1302" s="29"/>
      <c r="O1302" s="29"/>
      <c r="P1302" s="30"/>
      <c r="Q1302" s="30"/>
      <c r="R1302" s="30"/>
      <c r="S1302" s="31"/>
      <c r="T1302" s="31"/>
      <c r="U1302" s="31"/>
      <c r="V1302" s="31"/>
      <c r="W1302" s="31"/>
      <c r="X1302" s="32"/>
      <c r="Y1302" s="32"/>
      <c r="Z1302" s="32"/>
    </row>
    <row r="1303" spans="1:26">
      <c r="A1303" s="28"/>
      <c r="B1303" s="17">
        <f t="shared" si="49"/>
        <v>46319</v>
      </c>
      <c r="C1303" s="26">
        <f>I1303+J1303+K1303+L1303+M1303+N1303+O1303+IF(P1303="",0,P1303*サマリー!$B$9)+IF(Q1303="",0,IF(Q1303=200,サマリー!$B$10,IF(Q1303=100,サマリー!$B$11,0)))+IF(R1303="",0,R1303*サマリー!$B$12)</f>
        <v>0</v>
      </c>
      <c r="D1303" s="26">
        <f>S1303+T1303+U1303+V1303+W1303+IF(X1303="",0,X1303*サマリー!$B$9)+IF(Y1303="",0,IF(Y1303=200,サマリー!$B$10,IF(Y1303=100,サマリー!$B$11,0)))+IF(Z1303="",0,Z1303*サマリー!$B$12)</f>
        <v>0</v>
      </c>
      <c r="E1303" s="26">
        <f t="shared" si="48"/>
        <v>0</v>
      </c>
      <c r="I1303" s="29"/>
      <c r="J1303" s="29"/>
      <c r="K1303" s="29"/>
      <c r="L1303" s="29"/>
      <c r="M1303" s="29"/>
      <c r="N1303" s="29"/>
      <c r="O1303" s="29"/>
      <c r="P1303" s="30"/>
      <c r="Q1303" s="30"/>
      <c r="R1303" s="30"/>
      <c r="S1303" s="31"/>
      <c r="T1303" s="31"/>
      <c r="U1303" s="31"/>
      <c r="V1303" s="31"/>
      <c r="W1303" s="31"/>
      <c r="X1303" s="32"/>
      <c r="Y1303" s="32"/>
      <c r="Z1303" s="32"/>
    </row>
    <row r="1304" spans="1:26">
      <c r="A1304" s="28"/>
      <c r="B1304" s="17">
        <f t="shared" si="49"/>
        <v>46319</v>
      </c>
      <c r="C1304" s="26">
        <f>I1304+J1304+K1304+L1304+M1304+N1304+O1304+IF(P1304="",0,P1304*サマリー!$B$9)+IF(Q1304="",0,IF(Q1304=200,サマリー!$B$10,IF(Q1304=100,サマリー!$B$11,0)))+IF(R1304="",0,R1304*サマリー!$B$12)</f>
        <v>0</v>
      </c>
      <c r="D1304" s="26">
        <f>S1304+T1304+U1304+V1304+W1304+IF(X1304="",0,X1304*サマリー!$B$9)+IF(Y1304="",0,IF(Y1304=200,サマリー!$B$10,IF(Y1304=100,サマリー!$B$11,0)))+IF(Z1304="",0,Z1304*サマリー!$B$12)</f>
        <v>0</v>
      </c>
      <c r="E1304" s="26">
        <f t="shared" si="48"/>
        <v>0</v>
      </c>
      <c r="I1304" s="29"/>
      <c r="J1304" s="29"/>
      <c r="K1304" s="29"/>
      <c r="L1304" s="29"/>
      <c r="M1304" s="29"/>
      <c r="N1304" s="29"/>
      <c r="O1304" s="29"/>
      <c r="P1304" s="30"/>
      <c r="Q1304" s="30"/>
      <c r="R1304" s="30"/>
      <c r="S1304" s="31"/>
      <c r="T1304" s="31"/>
      <c r="U1304" s="31"/>
      <c r="V1304" s="31"/>
      <c r="W1304" s="31"/>
      <c r="X1304" s="32"/>
      <c r="Y1304" s="32"/>
      <c r="Z1304" s="32"/>
    </row>
    <row r="1305" spans="1:26">
      <c r="A1305" s="28"/>
      <c r="B1305" s="17">
        <f t="shared" si="49"/>
        <v>46319</v>
      </c>
      <c r="C1305" s="26">
        <f>I1305+J1305+K1305+L1305+M1305+N1305+O1305+IF(P1305="",0,P1305*サマリー!$B$9)+IF(Q1305="",0,IF(Q1305=200,サマリー!$B$10,IF(Q1305=100,サマリー!$B$11,0)))+IF(R1305="",0,R1305*サマリー!$B$12)</f>
        <v>0</v>
      </c>
      <c r="D1305" s="26">
        <f>S1305+T1305+U1305+V1305+W1305+IF(X1305="",0,X1305*サマリー!$B$9)+IF(Y1305="",0,IF(Y1305=200,サマリー!$B$10,IF(Y1305=100,サマリー!$B$11,0)))+IF(Z1305="",0,Z1305*サマリー!$B$12)</f>
        <v>0</v>
      </c>
      <c r="E1305" s="26">
        <f t="shared" si="48"/>
        <v>0</v>
      </c>
      <c r="I1305" s="29"/>
      <c r="J1305" s="29"/>
      <c r="K1305" s="29"/>
      <c r="L1305" s="29"/>
      <c r="M1305" s="29"/>
      <c r="N1305" s="29"/>
      <c r="O1305" s="29"/>
      <c r="P1305" s="30"/>
      <c r="Q1305" s="30"/>
      <c r="R1305" s="30"/>
      <c r="S1305" s="31"/>
      <c r="T1305" s="31"/>
      <c r="U1305" s="31"/>
      <c r="V1305" s="31"/>
      <c r="W1305" s="31"/>
      <c r="X1305" s="32"/>
      <c r="Y1305" s="32"/>
      <c r="Z1305" s="32"/>
    </row>
    <row r="1306" spans="1:26">
      <c r="A1306" s="28"/>
      <c r="B1306" s="17">
        <f t="shared" si="49"/>
        <v>46319</v>
      </c>
      <c r="C1306" s="26">
        <f>I1306+J1306+K1306+L1306+M1306+N1306+O1306+IF(P1306="",0,P1306*サマリー!$B$9)+IF(Q1306="",0,IF(Q1306=200,サマリー!$B$10,IF(Q1306=100,サマリー!$B$11,0)))+IF(R1306="",0,R1306*サマリー!$B$12)</f>
        <v>0</v>
      </c>
      <c r="D1306" s="26">
        <f>S1306+T1306+U1306+V1306+W1306+IF(X1306="",0,X1306*サマリー!$B$9)+IF(Y1306="",0,IF(Y1306=200,サマリー!$B$10,IF(Y1306=100,サマリー!$B$11,0)))+IF(Z1306="",0,Z1306*サマリー!$B$12)</f>
        <v>0</v>
      </c>
      <c r="E1306" s="26">
        <f t="shared" si="48"/>
        <v>0</v>
      </c>
      <c r="I1306" s="29"/>
      <c r="J1306" s="29"/>
      <c r="K1306" s="29"/>
      <c r="L1306" s="29"/>
      <c r="M1306" s="29"/>
      <c r="N1306" s="29"/>
      <c r="O1306" s="29"/>
      <c r="P1306" s="30"/>
      <c r="Q1306" s="30"/>
      <c r="R1306" s="30"/>
      <c r="S1306" s="31"/>
      <c r="T1306" s="31"/>
      <c r="U1306" s="31"/>
      <c r="V1306" s="31"/>
      <c r="W1306" s="31"/>
      <c r="X1306" s="32"/>
      <c r="Y1306" s="32"/>
      <c r="Z1306" s="32"/>
    </row>
    <row r="1307" spans="1:26">
      <c r="A1307" s="28"/>
      <c r="B1307" s="17">
        <f t="shared" si="49"/>
        <v>46319</v>
      </c>
      <c r="C1307" s="26">
        <f>I1307+J1307+K1307+L1307+M1307+N1307+O1307+IF(P1307="",0,P1307*サマリー!$B$9)+IF(Q1307="",0,IF(Q1307=200,サマリー!$B$10,IF(Q1307=100,サマリー!$B$11,0)))+IF(R1307="",0,R1307*サマリー!$B$12)</f>
        <v>0</v>
      </c>
      <c r="D1307" s="26">
        <f>S1307+T1307+U1307+V1307+W1307+IF(X1307="",0,X1307*サマリー!$B$9)+IF(Y1307="",0,IF(Y1307=200,サマリー!$B$10,IF(Y1307=100,サマリー!$B$11,0)))+IF(Z1307="",0,Z1307*サマリー!$B$12)</f>
        <v>0</v>
      </c>
      <c r="E1307" s="26">
        <f t="shared" si="48"/>
        <v>0</v>
      </c>
      <c r="I1307" s="29"/>
      <c r="J1307" s="29"/>
      <c r="K1307" s="29"/>
      <c r="L1307" s="29"/>
      <c r="M1307" s="29"/>
      <c r="N1307" s="29"/>
      <c r="O1307" s="29"/>
      <c r="P1307" s="30"/>
      <c r="Q1307" s="30"/>
      <c r="R1307" s="30"/>
      <c r="S1307" s="31"/>
      <c r="T1307" s="31"/>
      <c r="U1307" s="31"/>
      <c r="V1307" s="31"/>
      <c r="W1307" s="31"/>
      <c r="X1307" s="32"/>
      <c r="Y1307" s="32"/>
      <c r="Z1307" s="32"/>
    </row>
    <row r="1308" spans="1:26">
      <c r="A1308" s="28"/>
      <c r="B1308" s="17">
        <f t="shared" si="49"/>
        <v>46319</v>
      </c>
      <c r="C1308" s="26">
        <f>I1308+J1308+K1308+L1308+M1308+N1308+O1308+IF(P1308="",0,P1308*サマリー!$B$9)+IF(Q1308="",0,IF(Q1308=200,サマリー!$B$10,IF(Q1308=100,サマリー!$B$11,0)))+IF(R1308="",0,R1308*サマリー!$B$12)</f>
        <v>0</v>
      </c>
      <c r="D1308" s="26">
        <f>S1308+T1308+U1308+V1308+W1308+IF(X1308="",0,X1308*サマリー!$B$9)+IF(Y1308="",0,IF(Y1308=200,サマリー!$B$10,IF(Y1308=100,サマリー!$B$11,0)))+IF(Z1308="",0,Z1308*サマリー!$B$12)</f>
        <v>0</v>
      </c>
      <c r="E1308" s="26">
        <f t="shared" si="48"/>
        <v>0</v>
      </c>
      <c r="I1308" s="29"/>
      <c r="J1308" s="29"/>
      <c r="K1308" s="29"/>
      <c r="L1308" s="29"/>
      <c r="M1308" s="29"/>
      <c r="N1308" s="29"/>
      <c r="O1308" s="29"/>
      <c r="P1308" s="30"/>
      <c r="Q1308" s="30"/>
      <c r="R1308" s="30"/>
      <c r="S1308" s="31"/>
      <c r="T1308" s="31"/>
      <c r="U1308" s="31"/>
      <c r="V1308" s="31"/>
      <c r="W1308" s="31"/>
      <c r="X1308" s="32"/>
      <c r="Y1308" s="32"/>
      <c r="Z1308" s="32"/>
    </row>
    <row r="1309" spans="1:26">
      <c r="A1309" s="28"/>
      <c r="B1309" s="17">
        <f t="shared" si="49"/>
        <v>46319</v>
      </c>
      <c r="C1309" s="26">
        <f>I1309+J1309+K1309+L1309+M1309+N1309+O1309+IF(P1309="",0,P1309*サマリー!$B$9)+IF(Q1309="",0,IF(Q1309=200,サマリー!$B$10,IF(Q1309=100,サマリー!$B$11,0)))+IF(R1309="",0,R1309*サマリー!$B$12)</f>
        <v>0</v>
      </c>
      <c r="D1309" s="26">
        <f>S1309+T1309+U1309+V1309+W1309+IF(X1309="",0,X1309*サマリー!$B$9)+IF(Y1309="",0,IF(Y1309=200,サマリー!$B$10,IF(Y1309=100,サマリー!$B$11,0)))+IF(Z1309="",0,Z1309*サマリー!$B$12)</f>
        <v>0</v>
      </c>
      <c r="E1309" s="26">
        <f t="shared" si="48"/>
        <v>0</v>
      </c>
      <c r="I1309" s="29"/>
      <c r="J1309" s="29"/>
      <c r="K1309" s="29"/>
      <c r="L1309" s="29"/>
      <c r="M1309" s="29"/>
      <c r="N1309" s="29"/>
      <c r="O1309" s="29"/>
      <c r="P1309" s="30"/>
      <c r="Q1309" s="30"/>
      <c r="R1309" s="30"/>
      <c r="S1309" s="31"/>
      <c r="T1309" s="31"/>
      <c r="U1309" s="31"/>
      <c r="V1309" s="31"/>
      <c r="W1309" s="31"/>
      <c r="X1309" s="32"/>
      <c r="Y1309" s="32"/>
      <c r="Z1309" s="32"/>
    </row>
    <row r="1310" spans="1:26">
      <c r="A1310" s="28"/>
      <c r="B1310" s="17">
        <f t="shared" si="49"/>
        <v>46319</v>
      </c>
      <c r="C1310" s="26">
        <f>I1310+J1310+K1310+L1310+M1310+N1310+O1310+IF(P1310="",0,P1310*サマリー!$B$9)+IF(Q1310="",0,IF(Q1310=200,サマリー!$B$10,IF(Q1310=100,サマリー!$B$11,0)))+IF(R1310="",0,R1310*サマリー!$B$12)</f>
        <v>0</v>
      </c>
      <c r="D1310" s="26">
        <f>S1310+T1310+U1310+V1310+W1310+IF(X1310="",0,X1310*サマリー!$B$9)+IF(Y1310="",0,IF(Y1310=200,サマリー!$B$10,IF(Y1310=100,サマリー!$B$11,0)))+IF(Z1310="",0,Z1310*サマリー!$B$12)</f>
        <v>0</v>
      </c>
      <c r="E1310" s="26">
        <f t="shared" si="48"/>
        <v>0</v>
      </c>
      <c r="I1310" s="29"/>
      <c r="J1310" s="29"/>
      <c r="K1310" s="29"/>
      <c r="L1310" s="29"/>
      <c r="M1310" s="29"/>
      <c r="N1310" s="29"/>
      <c r="O1310" s="29"/>
      <c r="P1310" s="30"/>
      <c r="Q1310" s="30"/>
      <c r="R1310" s="30"/>
      <c r="S1310" s="31"/>
      <c r="T1310" s="31"/>
      <c r="U1310" s="31"/>
      <c r="V1310" s="31"/>
      <c r="W1310" s="31"/>
      <c r="X1310" s="32"/>
      <c r="Y1310" s="32"/>
      <c r="Z1310" s="32"/>
    </row>
    <row r="1311" spans="1:26">
      <c r="A1311" s="28"/>
      <c r="B1311" s="17">
        <f t="shared" si="49"/>
        <v>46319</v>
      </c>
      <c r="C1311" s="26">
        <f>I1311+J1311+K1311+L1311+M1311+N1311+O1311+IF(P1311="",0,P1311*サマリー!$B$9)+IF(Q1311="",0,IF(Q1311=200,サマリー!$B$10,IF(Q1311=100,サマリー!$B$11,0)))+IF(R1311="",0,R1311*サマリー!$B$12)</f>
        <v>0</v>
      </c>
      <c r="D1311" s="26">
        <f>S1311+T1311+U1311+V1311+W1311+IF(X1311="",0,X1311*サマリー!$B$9)+IF(Y1311="",0,IF(Y1311=200,サマリー!$B$10,IF(Y1311=100,サマリー!$B$11,0)))+IF(Z1311="",0,Z1311*サマリー!$B$12)</f>
        <v>0</v>
      </c>
      <c r="E1311" s="26">
        <f t="shared" si="48"/>
        <v>0</v>
      </c>
      <c r="I1311" s="29"/>
      <c r="J1311" s="29"/>
      <c r="K1311" s="29"/>
      <c r="L1311" s="29"/>
      <c r="M1311" s="29"/>
      <c r="N1311" s="29"/>
      <c r="O1311" s="29"/>
      <c r="P1311" s="30"/>
      <c r="Q1311" s="30"/>
      <c r="R1311" s="30"/>
      <c r="S1311" s="31"/>
      <c r="T1311" s="31"/>
      <c r="U1311" s="31"/>
      <c r="V1311" s="31"/>
      <c r="W1311" s="31"/>
      <c r="X1311" s="32"/>
      <c r="Y1311" s="32"/>
      <c r="Z1311" s="32"/>
    </row>
    <row r="1312" spans="1:26">
      <c r="A1312" s="28"/>
      <c r="B1312" s="17">
        <f t="shared" si="49"/>
        <v>46319</v>
      </c>
      <c r="C1312" s="26">
        <f>I1312+J1312+K1312+L1312+M1312+N1312+O1312+IF(P1312="",0,P1312*サマリー!$B$9)+IF(Q1312="",0,IF(Q1312=200,サマリー!$B$10,IF(Q1312=100,サマリー!$B$11,0)))+IF(R1312="",0,R1312*サマリー!$B$12)</f>
        <v>0</v>
      </c>
      <c r="D1312" s="26">
        <f>S1312+T1312+U1312+V1312+W1312+IF(X1312="",0,X1312*サマリー!$B$9)+IF(Y1312="",0,IF(Y1312=200,サマリー!$B$10,IF(Y1312=100,サマリー!$B$11,0)))+IF(Z1312="",0,Z1312*サマリー!$B$12)</f>
        <v>0</v>
      </c>
      <c r="E1312" s="26">
        <f t="shared" si="48"/>
        <v>0</v>
      </c>
      <c r="I1312" s="29"/>
      <c r="J1312" s="29"/>
      <c r="K1312" s="29"/>
      <c r="L1312" s="29"/>
      <c r="M1312" s="29"/>
      <c r="N1312" s="29"/>
      <c r="O1312" s="29"/>
      <c r="P1312" s="30"/>
      <c r="Q1312" s="30"/>
      <c r="R1312" s="30"/>
      <c r="S1312" s="31"/>
      <c r="T1312" s="31"/>
      <c r="U1312" s="31"/>
      <c r="V1312" s="31"/>
      <c r="W1312" s="31"/>
      <c r="X1312" s="32"/>
      <c r="Y1312" s="32"/>
      <c r="Z1312" s="32"/>
    </row>
    <row r="1313" spans="1:26">
      <c r="A1313" s="28"/>
      <c r="B1313" s="17">
        <f t="shared" si="49"/>
        <v>46319</v>
      </c>
      <c r="C1313" s="26">
        <f>I1313+J1313+K1313+L1313+M1313+N1313+O1313+IF(P1313="",0,P1313*サマリー!$B$9)+IF(Q1313="",0,IF(Q1313=200,サマリー!$B$10,IF(Q1313=100,サマリー!$B$11,0)))+IF(R1313="",0,R1313*サマリー!$B$12)</f>
        <v>0</v>
      </c>
      <c r="D1313" s="26">
        <f>S1313+T1313+U1313+V1313+W1313+IF(X1313="",0,X1313*サマリー!$B$9)+IF(Y1313="",0,IF(Y1313=200,サマリー!$B$10,IF(Y1313=100,サマリー!$B$11,0)))+IF(Z1313="",0,Z1313*サマリー!$B$12)</f>
        <v>0</v>
      </c>
      <c r="E1313" s="26">
        <f t="shared" si="48"/>
        <v>0</v>
      </c>
      <c r="I1313" s="29"/>
      <c r="J1313" s="29"/>
      <c r="K1313" s="29"/>
      <c r="L1313" s="29"/>
      <c r="M1313" s="29"/>
      <c r="N1313" s="29"/>
      <c r="O1313" s="29"/>
      <c r="P1313" s="30"/>
      <c r="Q1313" s="30"/>
      <c r="R1313" s="30"/>
      <c r="S1313" s="31"/>
      <c r="T1313" s="31"/>
      <c r="U1313" s="31"/>
      <c r="V1313" s="31"/>
      <c r="W1313" s="31"/>
      <c r="X1313" s="32"/>
      <c r="Y1313" s="32"/>
      <c r="Z1313" s="32"/>
    </row>
    <row r="1314" spans="1:26">
      <c r="A1314" s="28"/>
      <c r="B1314" s="17">
        <f t="shared" si="49"/>
        <v>46319</v>
      </c>
      <c r="C1314" s="26">
        <f>I1314+J1314+K1314+L1314+M1314+N1314+O1314+IF(P1314="",0,P1314*サマリー!$B$9)+IF(Q1314="",0,IF(Q1314=200,サマリー!$B$10,IF(Q1314=100,サマリー!$B$11,0)))+IF(R1314="",0,R1314*サマリー!$B$12)</f>
        <v>0</v>
      </c>
      <c r="D1314" s="26">
        <f>S1314+T1314+U1314+V1314+W1314+IF(X1314="",0,X1314*サマリー!$B$9)+IF(Y1314="",0,IF(Y1314=200,サマリー!$B$10,IF(Y1314=100,サマリー!$B$11,0)))+IF(Z1314="",0,Z1314*サマリー!$B$12)</f>
        <v>0</v>
      </c>
      <c r="E1314" s="26">
        <f t="shared" si="48"/>
        <v>0</v>
      </c>
      <c r="I1314" s="29"/>
      <c r="J1314" s="29"/>
      <c r="K1314" s="29"/>
      <c r="L1314" s="29"/>
      <c r="M1314" s="29"/>
      <c r="N1314" s="29"/>
      <c r="O1314" s="29"/>
      <c r="P1314" s="30"/>
      <c r="Q1314" s="30"/>
      <c r="R1314" s="30"/>
      <c r="S1314" s="31"/>
      <c r="T1314" s="31"/>
      <c r="U1314" s="31"/>
      <c r="V1314" s="31"/>
      <c r="W1314" s="31"/>
      <c r="X1314" s="32"/>
      <c r="Y1314" s="32"/>
      <c r="Z1314" s="32"/>
    </row>
    <row r="1315" spans="1:26">
      <c r="A1315" s="28"/>
      <c r="B1315" s="17">
        <f t="shared" si="49"/>
        <v>46319</v>
      </c>
      <c r="C1315" s="26">
        <f>I1315+J1315+K1315+L1315+M1315+N1315+O1315+IF(P1315="",0,P1315*サマリー!$B$9)+IF(Q1315="",0,IF(Q1315=200,サマリー!$B$10,IF(Q1315=100,サマリー!$B$11,0)))+IF(R1315="",0,R1315*サマリー!$B$12)</f>
        <v>0</v>
      </c>
      <c r="D1315" s="26">
        <f>S1315+T1315+U1315+V1315+W1315+IF(X1315="",0,X1315*サマリー!$B$9)+IF(Y1315="",0,IF(Y1315=200,サマリー!$B$10,IF(Y1315=100,サマリー!$B$11,0)))+IF(Z1315="",0,Z1315*サマリー!$B$12)</f>
        <v>0</v>
      </c>
      <c r="E1315" s="26">
        <f t="shared" ref="E1315:E1378" si="50">C1315+D1315</f>
        <v>0</v>
      </c>
      <c r="I1315" s="29"/>
      <c r="J1315" s="29"/>
      <c r="K1315" s="29"/>
      <c r="L1315" s="29"/>
      <c r="M1315" s="29"/>
      <c r="N1315" s="29"/>
      <c r="O1315" s="29"/>
      <c r="P1315" s="30"/>
      <c r="Q1315" s="30"/>
      <c r="R1315" s="30"/>
      <c r="S1315" s="31"/>
      <c r="T1315" s="31"/>
      <c r="U1315" s="31"/>
      <c r="V1315" s="31"/>
      <c r="W1315" s="31"/>
      <c r="X1315" s="32"/>
      <c r="Y1315" s="32"/>
      <c r="Z1315" s="32"/>
    </row>
    <row r="1316" spans="1:26">
      <c r="A1316" s="28"/>
      <c r="B1316" s="17">
        <f t="shared" si="49"/>
        <v>46319</v>
      </c>
      <c r="C1316" s="26">
        <f>I1316+J1316+K1316+L1316+M1316+N1316+O1316+IF(P1316="",0,P1316*サマリー!$B$9)+IF(Q1316="",0,IF(Q1316=200,サマリー!$B$10,IF(Q1316=100,サマリー!$B$11,0)))+IF(R1316="",0,R1316*サマリー!$B$12)</f>
        <v>0</v>
      </c>
      <c r="D1316" s="26">
        <f>S1316+T1316+U1316+V1316+W1316+IF(X1316="",0,X1316*サマリー!$B$9)+IF(Y1316="",0,IF(Y1316=200,サマリー!$B$10,IF(Y1316=100,サマリー!$B$11,0)))+IF(Z1316="",0,Z1316*サマリー!$B$12)</f>
        <v>0</v>
      </c>
      <c r="E1316" s="26">
        <f t="shared" si="50"/>
        <v>0</v>
      </c>
      <c r="I1316" s="29"/>
      <c r="J1316" s="29"/>
      <c r="K1316" s="29"/>
      <c r="L1316" s="29"/>
      <c r="M1316" s="29"/>
      <c r="N1316" s="29"/>
      <c r="O1316" s="29"/>
      <c r="P1316" s="30"/>
      <c r="Q1316" s="30"/>
      <c r="R1316" s="30"/>
      <c r="S1316" s="31"/>
      <c r="T1316" s="31"/>
      <c r="U1316" s="31"/>
      <c r="V1316" s="31"/>
      <c r="W1316" s="31"/>
      <c r="X1316" s="32"/>
      <c r="Y1316" s="32"/>
      <c r="Z1316" s="32"/>
    </row>
    <row r="1317" spans="1:26">
      <c r="A1317" s="28"/>
      <c r="B1317" s="17">
        <f t="shared" si="49"/>
        <v>46319</v>
      </c>
      <c r="C1317" s="26">
        <f>I1317+J1317+K1317+L1317+M1317+N1317+O1317+IF(P1317="",0,P1317*サマリー!$B$9)+IF(Q1317="",0,IF(Q1317=200,サマリー!$B$10,IF(Q1317=100,サマリー!$B$11,0)))+IF(R1317="",0,R1317*サマリー!$B$12)</f>
        <v>0</v>
      </c>
      <c r="D1317" s="26">
        <f>S1317+T1317+U1317+V1317+W1317+IF(X1317="",0,X1317*サマリー!$B$9)+IF(Y1317="",0,IF(Y1317=200,サマリー!$B$10,IF(Y1317=100,サマリー!$B$11,0)))+IF(Z1317="",0,Z1317*サマリー!$B$12)</f>
        <v>0</v>
      </c>
      <c r="E1317" s="26">
        <f t="shared" si="50"/>
        <v>0</v>
      </c>
      <c r="I1317" s="29"/>
      <c r="J1317" s="29"/>
      <c r="K1317" s="29"/>
      <c r="L1317" s="29"/>
      <c r="M1317" s="29"/>
      <c r="N1317" s="29"/>
      <c r="O1317" s="29"/>
      <c r="P1317" s="30"/>
      <c r="Q1317" s="30"/>
      <c r="R1317" s="30"/>
      <c r="S1317" s="31"/>
      <c r="T1317" s="31"/>
      <c r="U1317" s="31"/>
      <c r="V1317" s="31"/>
      <c r="W1317" s="31"/>
      <c r="X1317" s="32"/>
      <c r="Y1317" s="32"/>
      <c r="Z1317" s="32"/>
    </row>
    <row r="1318" spans="1:26">
      <c r="A1318" s="28"/>
      <c r="B1318" s="17">
        <f t="shared" si="49"/>
        <v>46319</v>
      </c>
      <c r="C1318" s="26">
        <f>I1318+J1318+K1318+L1318+M1318+N1318+O1318+IF(P1318="",0,P1318*サマリー!$B$9)+IF(Q1318="",0,IF(Q1318=200,サマリー!$B$10,IF(Q1318=100,サマリー!$B$11,0)))+IF(R1318="",0,R1318*サマリー!$B$12)</f>
        <v>0</v>
      </c>
      <c r="D1318" s="26">
        <f>S1318+T1318+U1318+V1318+W1318+IF(X1318="",0,X1318*サマリー!$B$9)+IF(Y1318="",0,IF(Y1318=200,サマリー!$B$10,IF(Y1318=100,サマリー!$B$11,0)))+IF(Z1318="",0,Z1318*サマリー!$B$12)</f>
        <v>0</v>
      </c>
      <c r="E1318" s="26">
        <f t="shared" si="50"/>
        <v>0</v>
      </c>
      <c r="I1318" s="29"/>
      <c r="J1318" s="29"/>
      <c r="K1318" s="29"/>
      <c r="L1318" s="29"/>
      <c r="M1318" s="29"/>
      <c r="N1318" s="29"/>
      <c r="O1318" s="29"/>
      <c r="P1318" s="30"/>
      <c r="Q1318" s="30"/>
      <c r="R1318" s="30"/>
      <c r="S1318" s="31"/>
      <c r="T1318" s="31"/>
      <c r="U1318" s="31"/>
      <c r="V1318" s="31"/>
      <c r="W1318" s="31"/>
      <c r="X1318" s="32"/>
      <c r="Y1318" s="32"/>
      <c r="Z1318" s="32"/>
    </row>
    <row r="1319" spans="1:26">
      <c r="A1319" s="28"/>
      <c r="B1319" s="17">
        <f t="shared" si="49"/>
        <v>46319</v>
      </c>
      <c r="C1319" s="26">
        <f>I1319+J1319+K1319+L1319+M1319+N1319+O1319+IF(P1319="",0,P1319*サマリー!$B$9)+IF(Q1319="",0,IF(Q1319=200,サマリー!$B$10,IF(Q1319=100,サマリー!$B$11,0)))+IF(R1319="",0,R1319*サマリー!$B$12)</f>
        <v>0</v>
      </c>
      <c r="D1319" s="26">
        <f>S1319+T1319+U1319+V1319+W1319+IF(X1319="",0,X1319*サマリー!$B$9)+IF(Y1319="",0,IF(Y1319=200,サマリー!$B$10,IF(Y1319=100,サマリー!$B$11,0)))+IF(Z1319="",0,Z1319*サマリー!$B$12)</f>
        <v>0</v>
      </c>
      <c r="E1319" s="26">
        <f t="shared" si="50"/>
        <v>0</v>
      </c>
      <c r="I1319" s="29"/>
      <c r="J1319" s="29"/>
      <c r="K1319" s="29"/>
      <c r="L1319" s="29"/>
      <c r="M1319" s="29"/>
      <c r="N1319" s="29"/>
      <c r="O1319" s="29"/>
      <c r="P1319" s="30"/>
      <c r="Q1319" s="30"/>
      <c r="R1319" s="30"/>
      <c r="S1319" s="31"/>
      <c r="T1319" s="31"/>
      <c r="U1319" s="31"/>
      <c r="V1319" s="31"/>
      <c r="W1319" s="31"/>
      <c r="X1319" s="32"/>
      <c r="Y1319" s="32"/>
      <c r="Z1319" s="32"/>
    </row>
    <row r="1320" spans="1:26">
      <c r="A1320" s="28"/>
      <c r="B1320" s="17">
        <f t="shared" si="49"/>
        <v>46319</v>
      </c>
      <c r="C1320" s="26">
        <f>I1320+J1320+K1320+L1320+M1320+N1320+O1320+IF(P1320="",0,P1320*サマリー!$B$9)+IF(Q1320="",0,IF(Q1320=200,サマリー!$B$10,IF(Q1320=100,サマリー!$B$11,0)))+IF(R1320="",0,R1320*サマリー!$B$12)</f>
        <v>0</v>
      </c>
      <c r="D1320" s="26">
        <f>S1320+T1320+U1320+V1320+W1320+IF(X1320="",0,X1320*サマリー!$B$9)+IF(Y1320="",0,IF(Y1320=200,サマリー!$B$10,IF(Y1320=100,サマリー!$B$11,0)))+IF(Z1320="",0,Z1320*サマリー!$B$12)</f>
        <v>0</v>
      </c>
      <c r="E1320" s="26">
        <f t="shared" si="50"/>
        <v>0</v>
      </c>
      <c r="I1320" s="29"/>
      <c r="J1320" s="29"/>
      <c r="K1320" s="29"/>
      <c r="L1320" s="29"/>
      <c r="M1320" s="29"/>
      <c r="N1320" s="29"/>
      <c r="O1320" s="29"/>
      <c r="P1320" s="30"/>
      <c r="Q1320" s="30"/>
      <c r="R1320" s="30"/>
      <c r="S1320" s="31"/>
      <c r="T1320" s="31"/>
      <c r="U1320" s="31"/>
      <c r="V1320" s="31"/>
      <c r="W1320" s="31"/>
      <c r="X1320" s="32"/>
      <c r="Y1320" s="32"/>
      <c r="Z1320" s="32"/>
    </row>
    <row r="1321" spans="1:26">
      <c r="A1321" s="28"/>
      <c r="B1321" s="17">
        <f t="shared" si="49"/>
        <v>46319</v>
      </c>
      <c r="C1321" s="26">
        <f>I1321+J1321+K1321+L1321+M1321+N1321+O1321+IF(P1321="",0,P1321*サマリー!$B$9)+IF(Q1321="",0,IF(Q1321=200,サマリー!$B$10,IF(Q1321=100,サマリー!$B$11,0)))+IF(R1321="",0,R1321*サマリー!$B$12)</f>
        <v>0</v>
      </c>
      <c r="D1321" s="26">
        <f>S1321+T1321+U1321+V1321+W1321+IF(X1321="",0,X1321*サマリー!$B$9)+IF(Y1321="",0,IF(Y1321=200,サマリー!$B$10,IF(Y1321=100,サマリー!$B$11,0)))+IF(Z1321="",0,Z1321*サマリー!$B$12)</f>
        <v>0</v>
      </c>
      <c r="E1321" s="26">
        <f t="shared" si="50"/>
        <v>0</v>
      </c>
      <c r="I1321" s="29"/>
      <c r="J1321" s="29"/>
      <c r="K1321" s="29"/>
      <c r="L1321" s="29"/>
      <c r="M1321" s="29"/>
      <c r="N1321" s="29"/>
      <c r="O1321" s="29"/>
      <c r="P1321" s="30"/>
      <c r="Q1321" s="30"/>
      <c r="R1321" s="30"/>
      <c r="S1321" s="31"/>
      <c r="T1321" s="31"/>
      <c r="U1321" s="31"/>
      <c r="V1321" s="31"/>
      <c r="W1321" s="31"/>
      <c r="X1321" s="32"/>
      <c r="Y1321" s="32"/>
      <c r="Z1321" s="32"/>
    </row>
    <row r="1322" spans="1:26">
      <c r="A1322" s="28"/>
      <c r="B1322" s="17">
        <f t="shared" si="49"/>
        <v>46319</v>
      </c>
      <c r="C1322" s="26">
        <f>I1322+J1322+K1322+L1322+M1322+N1322+O1322+IF(P1322="",0,P1322*サマリー!$B$9)+IF(Q1322="",0,IF(Q1322=200,サマリー!$B$10,IF(Q1322=100,サマリー!$B$11,0)))+IF(R1322="",0,R1322*サマリー!$B$12)</f>
        <v>0</v>
      </c>
      <c r="D1322" s="26">
        <f>S1322+T1322+U1322+V1322+W1322+IF(X1322="",0,X1322*サマリー!$B$9)+IF(Y1322="",0,IF(Y1322=200,サマリー!$B$10,IF(Y1322=100,サマリー!$B$11,0)))+IF(Z1322="",0,Z1322*サマリー!$B$12)</f>
        <v>0</v>
      </c>
      <c r="E1322" s="26">
        <f t="shared" si="50"/>
        <v>0</v>
      </c>
      <c r="I1322" s="29"/>
      <c r="J1322" s="29"/>
      <c r="K1322" s="29"/>
      <c r="L1322" s="29"/>
      <c r="M1322" s="29"/>
      <c r="N1322" s="29"/>
      <c r="O1322" s="29"/>
      <c r="P1322" s="30"/>
      <c r="Q1322" s="30"/>
      <c r="R1322" s="30"/>
      <c r="S1322" s="31"/>
      <c r="T1322" s="31"/>
      <c r="U1322" s="31"/>
      <c r="V1322" s="31"/>
      <c r="W1322" s="31"/>
      <c r="X1322" s="32"/>
      <c r="Y1322" s="32"/>
      <c r="Z1322" s="32"/>
    </row>
    <row r="1323" spans="1:26">
      <c r="A1323" s="28"/>
      <c r="B1323" s="17">
        <f t="shared" si="49"/>
        <v>46319</v>
      </c>
      <c r="C1323" s="26">
        <f>I1323+J1323+K1323+L1323+M1323+N1323+O1323+IF(P1323="",0,P1323*サマリー!$B$9)+IF(Q1323="",0,IF(Q1323=200,サマリー!$B$10,IF(Q1323=100,サマリー!$B$11,0)))+IF(R1323="",0,R1323*サマリー!$B$12)</f>
        <v>0</v>
      </c>
      <c r="D1323" s="26">
        <f>S1323+T1323+U1323+V1323+W1323+IF(X1323="",0,X1323*サマリー!$B$9)+IF(Y1323="",0,IF(Y1323=200,サマリー!$B$10,IF(Y1323=100,サマリー!$B$11,0)))+IF(Z1323="",0,Z1323*サマリー!$B$12)</f>
        <v>0</v>
      </c>
      <c r="E1323" s="26">
        <f t="shared" si="50"/>
        <v>0</v>
      </c>
      <c r="I1323" s="29"/>
      <c r="J1323" s="29"/>
      <c r="K1323" s="29"/>
      <c r="L1323" s="29"/>
      <c r="M1323" s="29"/>
      <c r="N1323" s="29"/>
      <c r="O1323" s="29"/>
      <c r="P1323" s="30"/>
      <c r="Q1323" s="30"/>
      <c r="R1323" s="30"/>
      <c r="S1323" s="31"/>
      <c r="T1323" s="31"/>
      <c r="U1323" s="31"/>
      <c r="V1323" s="31"/>
      <c r="W1323" s="31"/>
      <c r="X1323" s="32"/>
      <c r="Y1323" s="32"/>
      <c r="Z1323" s="32"/>
    </row>
    <row r="1324" spans="1:26">
      <c r="A1324" s="28"/>
      <c r="B1324" s="17">
        <f t="shared" si="49"/>
        <v>46319</v>
      </c>
      <c r="C1324" s="26">
        <f>I1324+J1324+K1324+L1324+M1324+N1324+O1324+IF(P1324="",0,P1324*サマリー!$B$9)+IF(Q1324="",0,IF(Q1324=200,サマリー!$B$10,IF(Q1324=100,サマリー!$B$11,0)))+IF(R1324="",0,R1324*サマリー!$B$12)</f>
        <v>0</v>
      </c>
      <c r="D1324" s="26">
        <f>S1324+T1324+U1324+V1324+W1324+IF(X1324="",0,X1324*サマリー!$B$9)+IF(Y1324="",0,IF(Y1324=200,サマリー!$B$10,IF(Y1324=100,サマリー!$B$11,0)))+IF(Z1324="",0,Z1324*サマリー!$B$12)</f>
        <v>0</v>
      </c>
      <c r="E1324" s="26">
        <f t="shared" si="50"/>
        <v>0</v>
      </c>
      <c r="I1324" s="29"/>
      <c r="J1324" s="29"/>
      <c r="K1324" s="29"/>
      <c r="L1324" s="29"/>
      <c r="M1324" s="29"/>
      <c r="N1324" s="29"/>
      <c r="O1324" s="29"/>
      <c r="P1324" s="30"/>
      <c r="Q1324" s="30"/>
      <c r="R1324" s="30"/>
      <c r="S1324" s="31"/>
      <c r="T1324" s="31"/>
      <c r="U1324" s="31"/>
      <c r="V1324" s="31"/>
      <c r="W1324" s="31"/>
      <c r="X1324" s="32"/>
      <c r="Y1324" s="32"/>
      <c r="Z1324" s="32"/>
    </row>
    <row r="1325" spans="1:26">
      <c r="A1325" s="28"/>
      <c r="B1325" s="17">
        <f t="shared" si="49"/>
        <v>46319</v>
      </c>
      <c r="C1325" s="26">
        <f>I1325+J1325+K1325+L1325+M1325+N1325+O1325+IF(P1325="",0,P1325*サマリー!$B$9)+IF(Q1325="",0,IF(Q1325=200,サマリー!$B$10,IF(Q1325=100,サマリー!$B$11,0)))+IF(R1325="",0,R1325*サマリー!$B$12)</f>
        <v>0</v>
      </c>
      <c r="D1325" s="26">
        <f>S1325+T1325+U1325+V1325+W1325+IF(X1325="",0,X1325*サマリー!$B$9)+IF(Y1325="",0,IF(Y1325=200,サマリー!$B$10,IF(Y1325=100,サマリー!$B$11,0)))+IF(Z1325="",0,Z1325*サマリー!$B$12)</f>
        <v>0</v>
      </c>
      <c r="E1325" s="26">
        <f t="shared" si="50"/>
        <v>0</v>
      </c>
      <c r="I1325" s="29"/>
      <c r="J1325" s="29"/>
      <c r="K1325" s="29"/>
      <c r="L1325" s="29"/>
      <c r="M1325" s="29"/>
      <c r="N1325" s="29"/>
      <c r="O1325" s="29"/>
      <c r="P1325" s="30"/>
      <c r="Q1325" s="30"/>
      <c r="R1325" s="30"/>
      <c r="S1325" s="31"/>
      <c r="T1325" s="31"/>
      <c r="U1325" s="31"/>
      <c r="V1325" s="31"/>
      <c r="W1325" s="31"/>
      <c r="X1325" s="32"/>
      <c r="Y1325" s="32"/>
      <c r="Z1325" s="32"/>
    </row>
    <row r="1326" spans="1:26">
      <c r="A1326" s="28"/>
      <c r="B1326" s="17">
        <f t="shared" si="49"/>
        <v>46319</v>
      </c>
      <c r="C1326" s="26">
        <f>I1326+J1326+K1326+L1326+M1326+N1326+O1326+IF(P1326="",0,P1326*サマリー!$B$9)+IF(Q1326="",0,IF(Q1326=200,サマリー!$B$10,IF(Q1326=100,サマリー!$B$11,0)))+IF(R1326="",0,R1326*サマリー!$B$12)</f>
        <v>0</v>
      </c>
      <c r="D1326" s="26">
        <f>S1326+T1326+U1326+V1326+W1326+IF(X1326="",0,X1326*サマリー!$B$9)+IF(Y1326="",0,IF(Y1326=200,サマリー!$B$10,IF(Y1326=100,サマリー!$B$11,0)))+IF(Z1326="",0,Z1326*サマリー!$B$12)</f>
        <v>0</v>
      </c>
      <c r="E1326" s="26">
        <f t="shared" si="50"/>
        <v>0</v>
      </c>
      <c r="I1326" s="29"/>
      <c r="J1326" s="29"/>
      <c r="K1326" s="29"/>
      <c r="L1326" s="29"/>
      <c r="M1326" s="29"/>
      <c r="N1326" s="29"/>
      <c r="O1326" s="29"/>
      <c r="P1326" s="30"/>
      <c r="Q1326" s="30"/>
      <c r="R1326" s="30"/>
      <c r="S1326" s="31"/>
      <c r="T1326" s="31"/>
      <c r="U1326" s="31"/>
      <c r="V1326" s="31"/>
      <c r="W1326" s="31"/>
      <c r="X1326" s="32"/>
      <c r="Y1326" s="32"/>
      <c r="Z1326" s="32"/>
    </row>
    <row r="1327" spans="1:26">
      <c r="A1327" s="28"/>
      <c r="B1327" s="17">
        <f t="shared" si="49"/>
        <v>46319</v>
      </c>
      <c r="C1327" s="26">
        <f>I1327+J1327+K1327+L1327+M1327+N1327+O1327+IF(P1327="",0,P1327*サマリー!$B$9)+IF(Q1327="",0,IF(Q1327=200,サマリー!$B$10,IF(Q1327=100,サマリー!$B$11,0)))+IF(R1327="",0,R1327*サマリー!$B$12)</f>
        <v>0</v>
      </c>
      <c r="D1327" s="26">
        <f>S1327+T1327+U1327+V1327+W1327+IF(X1327="",0,X1327*サマリー!$B$9)+IF(Y1327="",0,IF(Y1327=200,サマリー!$B$10,IF(Y1327=100,サマリー!$B$11,0)))+IF(Z1327="",0,Z1327*サマリー!$B$12)</f>
        <v>0</v>
      </c>
      <c r="E1327" s="26">
        <f t="shared" si="50"/>
        <v>0</v>
      </c>
      <c r="I1327" s="29"/>
      <c r="J1327" s="29"/>
      <c r="K1327" s="29"/>
      <c r="L1327" s="29"/>
      <c r="M1327" s="29"/>
      <c r="N1327" s="29"/>
      <c r="O1327" s="29"/>
      <c r="P1327" s="30"/>
      <c r="Q1327" s="30"/>
      <c r="R1327" s="30"/>
      <c r="S1327" s="31"/>
      <c r="T1327" s="31"/>
      <c r="U1327" s="31"/>
      <c r="V1327" s="31"/>
      <c r="W1327" s="31"/>
      <c r="X1327" s="32"/>
      <c r="Y1327" s="32"/>
      <c r="Z1327" s="32"/>
    </row>
    <row r="1328" spans="1:26">
      <c r="A1328" s="28"/>
      <c r="B1328" s="17">
        <f t="shared" si="49"/>
        <v>46319</v>
      </c>
      <c r="C1328" s="26">
        <f>I1328+J1328+K1328+L1328+M1328+N1328+O1328+IF(P1328="",0,P1328*サマリー!$B$9)+IF(Q1328="",0,IF(Q1328=200,サマリー!$B$10,IF(Q1328=100,サマリー!$B$11,0)))+IF(R1328="",0,R1328*サマリー!$B$12)</f>
        <v>0</v>
      </c>
      <c r="D1328" s="26">
        <f>S1328+T1328+U1328+V1328+W1328+IF(X1328="",0,X1328*サマリー!$B$9)+IF(Y1328="",0,IF(Y1328=200,サマリー!$B$10,IF(Y1328=100,サマリー!$B$11,0)))+IF(Z1328="",0,Z1328*サマリー!$B$12)</f>
        <v>0</v>
      </c>
      <c r="E1328" s="26">
        <f t="shared" si="50"/>
        <v>0</v>
      </c>
      <c r="I1328" s="29"/>
      <c r="J1328" s="29"/>
      <c r="K1328" s="29"/>
      <c r="L1328" s="29"/>
      <c r="M1328" s="29"/>
      <c r="N1328" s="29"/>
      <c r="O1328" s="29"/>
      <c r="P1328" s="30"/>
      <c r="Q1328" s="30"/>
      <c r="R1328" s="30"/>
      <c r="S1328" s="31"/>
      <c r="T1328" s="31"/>
      <c r="U1328" s="31"/>
      <c r="V1328" s="31"/>
      <c r="W1328" s="31"/>
      <c r="X1328" s="32"/>
      <c r="Y1328" s="32"/>
      <c r="Z1328" s="32"/>
    </row>
    <row r="1329" spans="1:26">
      <c r="A1329" s="28"/>
      <c r="B1329" s="17">
        <f t="shared" si="49"/>
        <v>46319</v>
      </c>
      <c r="C1329" s="26">
        <f>I1329+J1329+K1329+L1329+M1329+N1329+O1329+IF(P1329="",0,P1329*サマリー!$B$9)+IF(Q1329="",0,IF(Q1329=200,サマリー!$B$10,IF(Q1329=100,サマリー!$B$11,0)))+IF(R1329="",0,R1329*サマリー!$B$12)</f>
        <v>0</v>
      </c>
      <c r="D1329" s="26">
        <f>S1329+T1329+U1329+V1329+W1329+IF(X1329="",0,X1329*サマリー!$B$9)+IF(Y1329="",0,IF(Y1329=200,サマリー!$B$10,IF(Y1329=100,サマリー!$B$11,0)))+IF(Z1329="",0,Z1329*サマリー!$B$12)</f>
        <v>0</v>
      </c>
      <c r="E1329" s="26">
        <f t="shared" si="50"/>
        <v>0</v>
      </c>
      <c r="I1329" s="29"/>
      <c r="J1329" s="29"/>
      <c r="K1329" s="29"/>
      <c r="L1329" s="29"/>
      <c r="M1329" s="29"/>
      <c r="N1329" s="29"/>
      <c r="O1329" s="29"/>
      <c r="P1329" s="30"/>
      <c r="Q1329" s="30"/>
      <c r="R1329" s="30"/>
      <c r="S1329" s="31"/>
      <c r="T1329" s="31"/>
      <c r="U1329" s="31"/>
      <c r="V1329" s="31"/>
      <c r="W1329" s="31"/>
      <c r="X1329" s="32"/>
      <c r="Y1329" s="32"/>
      <c r="Z1329" s="32"/>
    </row>
    <row r="1330" spans="1:26">
      <c r="A1330" s="28"/>
      <c r="B1330" s="17">
        <f t="shared" si="49"/>
        <v>46319</v>
      </c>
      <c r="C1330" s="26">
        <f>I1330+J1330+K1330+L1330+M1330+N1330+O1330+IF(P1330="",0,P1330*サマリー!$B$9)+IF(Q1330="",0,IF(Q1330=200,サマリー!$B$10,IF(Q1330=100,サマリー!$B$11,0)))+IF(R1330="",0,R1330*サマリー!$B$12)</f>
        <v>0</v>
      </c>
      <c r="D1330" s="26">
        <f>S1330+T1330+U1330+V1330+W1330+IF(X1330="",0,X1330*サマリー!$B$9)+IF(Y1330="",0,IF(Y1330=200,サマリー!$B$10,IF(Y1330=100,サマリー!$B$11,0)))+IF(Z1330="",0,Z1330*サマリー!$B$12)</f>
        <v>0</v>
      </c>
      <c r="E1330" s="26">
        <f t="shared" si="50"/>
        <v>0</v>
      </c>
      <c r="I1330" s="29"/>
      <c r="J1330" s="29"/>
      <c r="K1330" s="29"/>
      <c r="L1330" s="29"/>
      <c r="M1330" s="29"/>
      <c r="N1330" s="29"/>
      <c r="O1330" s="29"/>
      <c r="P1330" s="30"/>
      <c r="Q1330" s="30"/>
      <c r="R1330" s="30"/>
      <c r="S1330" s="31"/>
      <c r="T1330" s="31"/>
      <c r="U1330" s="31"/>
      <c r="V1330" s="31"/>
      <c r="W1330" s="31"/>
      <c r="X1330" s="32"/>
      <c r="Y1330" s="32"/>
      <c r="Z1330" s="32"/>
    </row>
    <row r="1331" spans="1:26">
      <c r="A1331" s="28"/>
      <c r="B1331" s="17">
        <f t="shared" si="49"/>
        <v>46319</v>
      </c>
      <c r="C1331" s="26">
        <f>I1331+J1331+K1331+L1331+M1331+N1331+O1331+IF(P1331="",0,P1331*サマリー!$B$9)+IF(Q1331="",0,IF(Q1331=200,サマリー!$B$10,IF(Q1331=100,サマリー!$B$11,0)))+IF(R1331="",0,R1331*サマリー!$B$12)</f>
        <v>0</v>
      </c>
      <c r="D1331" s="26">
        <f>S1331+T1331+U1331+V1331+W1331+IF(X1331="",0,X1331*サマリー!$B$9)+IF(Y1331="",0,IF(Y1331=200,サマリー!$B$10,IF(Y1331=100,サマリー!$B$11,0)))+IF(Z1331="",0,Z1331*サマリー!$B$12)</f>
        <v>0</v>
      </c>
      <c r="E1331" s="26">
        <f t="shared" si="50"/>
        <v>0</v>
      </c>
      <c r="I1331" s="29"/>
      <c r="J1331" s="29"/>
      <c r="K1331" s="29"/>
      <c r="L1331" s="29"/>
      <c r="M1331" s="29"/>
      <c r="N1331" s="29"/>
      <c r="O1331" s="29"/>
      <c r="P1331" s="30"/>
      <c r="Q1331" s="30"/>
      <c r="R1331" s="30"/>
      <c r="S1331" s="31"/>
      <c r="T1331" s="31"/>
      <c r="U1331" s="31"/>
      <c r="V1331" s="31"/>
      <c r="W1331" s="31"/>
      <c r="X1331" s="32"/>
      <c r="Y1331" s="32"/>
      <c r="Z1331" s="32"/>
    </row>
    <row r="1332" spans="1:26">
      <c r="A1332" s="28"/>
      <c r="B1332" s="17">
        <f t="shared" si="49"/>
        <v>46319</v>
      </c>
      <c r="C1332" s="26">
        <f>I1332+J1332+K1332+L1332+M1332+N1332+O1332+IF(P1332="",0,P1332*サマリー!$B$9)+IF(Q1332="",0,IF(Q1332=200,サマリー!$B$10,IF(Q1332=100,サマリー!$B$11,0)))+IF(R1332="",0,R1332*サマリー!$B$12)</f>
        <v>0</v>
      </c>
      <c r="D1332" s="26">
        <f>S1332+T1332+U1332+V1332+W1332+IF(X1332="",0,X1332*サマリー!$B$9)+IF(Y1332="",0,IF(Y1332=200,サマリー!$B$10,IF(Y1332=100,サマリー!$B$11,0)))+IF(Z1332="",0,Z1332*サマリー!$B$12)</f>
        <v>0</v>
      </c>
      <c r="E1332" s="26">
        <f t="shared" si="50"/>
        <v>0</v>
      </c>
      <c r="I1332" s="29"/>
      <c r="J1332" s="29"/>
      <c r="K1332" s="29"/>
      <c r="L1332" s="29"/>
      <c r="M1332" s="29"/>
      <c r="N1332" s="29"/>
      <c r="O1332" s="29"/>
      <c r="P1332" s="30"/>
      <c r="Q1332" s="30"/>
      <c r="R1332" s="30"/>
      <c r="S1332" s="31"/>
      <c r="T1332" s="31"/>
      <c r="U1332" s="31"/>
      <c r="V1332" s="31"/>
      <c r="W1332" s="31"/>
      <c r="X1332" s="32"/>
      <c r="Y1332" s="32"/>
      <c r="Z1332" s="32"/>
    </row>
    <row r="1333" spans="1:26">
      <c r="A1333" s="28"/>
      <c r="B1333" s="17">
        <f t="shared" si="49"/>
        <v>46319</v>
      </c>
      <c r="C1333" s="26">
        <f>I1333+J1333+K1333+L1333+M1333+N1333+O1333+IF(P1333="",0,P1333*サマリー!$B$9)+IF(Q1333="",0,IF(Q1333=200,サマリー!$B$10,IF(Q1333=100,サマリー!$B$11,0)))+IF(R1333="",0,R1333*サマリー!$B$12)</f>
        <v>0</v>
      </c>
      <c r="D1333" s="26">
        <f>S1333+T1333+U1333+V1333+W1333+IF(X1333="",0,X1333*サマリー!$B$9)+IF(Y1333="",0,IF(Y1333=200,サマリー!$B$10,IF(Y1333=100,サマリー!$B$11,0)))+IF(Z1333="",0,Z1333*サマリー!$B$12)</f>
        <v>0</v>
      </c>
      <c r="E1333" s="26">
        <f t="shared" si="50"/>
        <v>0</v>
      </c>
      <c r="I1333" s="29"/>
      <c r="J1333" s="29"/>
      <c r="K1333" s="29"/>
      <c r="L1333" s="29"/>
      <c r="M1333" s="29"/>
      <c r="N1333" s="29"/>
      <c r="O1333" s="29"/>
      <c r="P1333" s="30"/>
      <c r="Q1333" s="30"/>
      <c r="R1333" s="30"/>
      <c r="S1333" s="31"/>
      <c r="T1333" s="31"/>
      <c r="U1333" s="31"/>
      <c r="V1333" s="31"/>
      <c r="W1333" s="31"/>
      <c r="X1333" s="32"/>
      <c r="Y1333" s="32"/>
      <c r="Z1333" s="32"/>
    </row>
    <row r="1334" spans="1:26">
      <c r="A1334" s="28"/>
      <c r="B1334" s="17">
        <f t="shared" si="49"/>
        <v>46319</v>
      </c>
      <c r="C1334" s="26">
        <f>I1334+J1334+K1334+L1334+M1334+N1334+O1334+IF(P1334="",0,P1334*サマリー!$B$9)+IF(Q1334="",0,IF(Q1334=200,サマリー!$B$10,IF(Q1334=100,サマリー!$B$11,0)))+IF(R1334="",0,R1334*サマリー!$B$12)</f>
        <v>0</v>
      </c>
      <c r="D1334" s="26">
        <f>S1334+T1334+U1334+V1334+W1334+IF(X1334="",0,X1334*サマリー!$B$9)+IF(Y1334="",0,IF(Y1334=200,サマリー!$B$10,IF(Y1334=100,サマリー!$B$11,0)))+IF(Z1334="",0,Z1334*サマリー!$B$12)</f>
        <v>0</v>
      </c>
      <c r="E1334" s="26">
        <f t="shared" si="50"/>
        <v>0</v>
      </c>
      <c r="I1334" s="29"/>
      <c r="J1334" s="29"/>
      <c r="K1334" s="29"/>
      <c r="L1334" s="29"/>
      <c r="M1334" s="29"/>
      <c r="N1334" s="29"/>
      <c r="O1334" s="29"/>
      <c r="P1334" s="30"/>
      <c r="Q1334" s="30"/>
      <c r="R1334" s="30"/>
      <c r="S1334" s="31"/>
      <c r="T1334" s="31"/>
      <c r="U1334" s="31"/>
      <c r="V1334" s="31"/>
      <c r="W1334" s="31"/>
      <c r="X1334" s="32"/>
      <c r="Y1334" s="32"/>
      <c r="Z1334" s="32"/>
    </row>
    <row r="1335" spans="1:26">
      <c r="A1335" s="28"/>
      <c r="B1335" s="17">
        <f t="shared" si="49"/>
        <v>46319</v>
      </c>
      <c r="C1335" s="26">
        <f>I1335+J1335+K1335+L1335+M1335+N1335+O1335+IF(P1335="",0,P1335*サマリー!$B$9)+IF(Q1335="",0,IF(Q1335=200,サマリー!$B$10,IF(Q1335=100,サマリー!$B$11,0)))+IF(R1335="",0,R1335*サマリー!$B$12)</f>
        <v>0</v>
      </c>
      <c r="D1335" s="26">
        <f>S1335+T1335+U1335+V1335+W1335+IF(X1335="",0,X1335*サマリー!$B$9)+IF(Y1335="",0,IF(Y1335=200,サマリー!$B$10,IF(Y1335=100,サマリー!$B$11,0)))+IF(Z1335="",0,Z1335*サマリー!$B$12)</f>
        <v>0</v>
      </c>
      <c r="E1335" s="26">
        <f t="shared" si="50"/>
        <v>0</v>
      </c>
      <c r="I1335" s="29"/>
      <c r="J1335" s="29"/>
      <c r="K1335" s="29"/>
      <c r="L1335" s="29"/>
      <c r="M1335" s="29"/>
      <c r="N1335" s="29"/>
      <c r="O1335" s="29"/>
      <c r="P1335" s="30"/>
      <c r="Q1335" s="30"/>
      <c r="R1335" s="30"/>
      <c r="S1335" s="31"/>
      <c r="T1335" s="31"/>
      <c r="U1335" s="31"/>
      <c r="V1335" s="31"/>
      <c r="W1335" s="31"/>
      <c r="X1335" s="32"/>
      <c r="Y1335" s="32"/>
      <c r="Z1335" s="32"/>
    </row>
    <row r="1336" spans="1:26">
      <c r="A1336" s="28"/>
      <c r="B1336" s="17">
        <f t="shared" si="49"/>
        <v>46319</v>
      </c>
      <c r="C1336" s="26">
        <f>I1336+J1336+K1336+L1336+M1336+N1336+O1336+IF(P1336="",0,P1336*サマリー!$B$9)+IF(Q1336="",0,IF(Q1336=200,サマリー!$B$10,IF(Q1336=100,サマリー!$B$11,0)))+IF(R1336="",0,R1336*サマリー!$B$12)</f>
        <v>0</v>
      </c>
      <c r="D1336" s="26">
        <f>S1336+T1336+U1336+V1336+W1336+IF(X1336="",0,X1336*サマリー!$B$9)+IF(Y1336="",0,IF(Y1336=200,サマリー!$B$10,IF(Y1336=100,サマリー!$B$11,0)))+IF(Z1336="",0,Z1336*サマリー!$B$12)</f>
        <v>0</v>
      </c>
      <c r="E1336" s="26">
        <f t="shared" si="50"/>
        <v>0</v>
      </c>
      <c r="I1336" s="29"/>
      <c r="J1336" s="29"/>
      <c r="K1336" s="29"/>
      <c r="L1336" s="29"/>
      <c r="M1336" s="29"/>
      <c r="N1336" s="29"/>
      <c r="O1336" s="29"/>
      <c r="P1336" s="30"/>
      <c r="Q1336" s="30"/>
      <c r="R1336" s="30"/>
      <c r="S1336" s="31"/>
      <c r="T1336" s="31"/>
      <c r="U1336" s="31"/>
      <c r="V1336" s="31"/>
      <c r="W1336" s="31"/>
      <c r="X1336" s="32"/>
      <c r="Y1336" s="32"/>
      <c r="Z1336" s="32"/>
    </row>
    <row r="1337" spans="1:26">
      <c r="A1337" s="28"/>
      <c r="B1337" s="17">
        <f t="shared" si="49"/>
        <v>46319</v>
      </c>
      <c r="C1337" s="26">
        <f>I1337+J1337+K1337+L1337+M1337+N1337+O1337+IF(P1337="",0,P1337*サマリー!$B$9)+IF(Q1337="",0,IF(Q1337=200,サマリー!$B$10,IF(Q1337=100,サマリー!$B$11,0)))+IF(R1337="",0,R1337*サマリー!$B$12)</f>
        <v>0</v>
      </c>
      <c r="D1337" s="26">
        <f>S1337+T1337+U1337+V1337+W1337+IF(X1337="",0,X1337*サマリー!$B$9)+IF(Y1337="",0,IF(Y1337=200,サマリー!$B$10,IF(Y1337=100,サマリー!$B$11,0)))+IF(Z1337="",0,Z1337*サマリー!$B$12)</f>
        <v>0</v>
      </c>
      <c r="E1337" s="26">
        <f t="shared" si="50"/>
        <v>0</v>
      </c>
      <c r="I1337" s="29"/>
      <c r="J1337" s="29"/>
      <c r="K1337" s="29"/>
      <c r="L1337" s="29"/>
      <c r="M1337" s="29"/>
      <c r="N1337" s="29"/>
      <c r="O1337" s="29"/>
      <c r="P1337" s="30"/>
      <c r="Q1337" s="30"/>
      <c r="R1337" s="30"/>
      <c r="S1337" s="31"/>
      <c r="T1337" s="31"/>
      <c r="U1337" s="31"/>
      <c r="V1337" s="31"/>
      <c r="W1337" s="31"/>
      <c r="X1337" s="32"/>
      <c r="Y1337" s="32"/>
      <c r="Z1337" s="32"/>
    </row>
    <row r="1338" spans="1:26">
      <c r="A1338" s="28"/>
      <c r="B1338" s="17">
        <f t="shared" si="49"/>
        <v>46319</v>
      </c>
      <c r="C1338" s="26">
        <f>I1338+J1338+K1338+L1338+M1338+N1338+O1338+IF(P1338="",0,P1338*サマリー!$B$9)+IF(Q1338="",0,IF(Q1338=200,サマリー!$B$10,IF(Q1338=100,サマリー!$B$11,0)))+IF(R1338="",0,R1338*サマリー!$B$12)</f>
        <v>0</v>
      </c>
      <c r="D1338" s="26">
        <f>S1338+T1338+U1338+V1338+W1338+IF(X1338="",0,X1338*サマリー!$B$9)+IF(Y1338="",0,IF(Y1338=200,サマリー!$B$10,IF(Y1338=100,サマリー!$B$11,0)))+IF(Z1338="",0,Z1338*サマリー!$B$12)</f>
        <v>0</v>
      </c>
      <c r="E1338" s="26">
        <f t="shared" si="50"/>
        <v>0</v>
      </c>
      <c r="I1338" s="29"/>
      <c r="J1338" s="29"/>
      <c r="K1338" s="29"/>
      <c r="L1338" s="29"/>
      <c r="M1338" s="29"/>
      <c r="N1338" s="29"/>
      <c r="O1338" s="29"/>
      <c r="P1338" s="30"/>
      <c r="Q1338" s="30"/>
      <c r="R1338" s="30"/>
      <c r="S1338" s="31"/>
      <c r="T1338" s="31"/>
      <c r="U1338" s="31"/>
      <c r="V1338" s="31"/>
      <c r="W1338" s="31"/>
      <c r="X1338" s="32"/>
      <c r="Y1338" s="32"/>
      <c r="Z1338" s="32"/>
    </row>
    <row r="1339" spans="1:26">
      <c r="A1339" s="28"/>
      <c r="B1339" s="17">
        <f t="shared" si="49"/>
        <v>46319</v>
      </c>
      <c r="C1339" s="26">
        <f>I1339+J1339+K1339+L1339+M1339+N1339+O1339+IF(P1339="",0,P1339*サマリー!$B$9)+IF(Q1339="",0,IF(Q1339=200,サマリー!$B$10,IF(Q1339=100,サマリー!$B$11,0)))+IF(R1339="",0,R1339*サマリー!$B$12)</f>
        <v>0</v>
      </c>
      <c r="D1339" s="26">
        <f>S1339+T1339+U1339+V1339+W1339+IF(X1339="",0,X1339*サマリー!$B$9)+IF(Y1339="",0,IF(Y1339=200,サマリー!$B$10,IF(Y1339=100,サマリー!$B$11,0)))+IF(Z1339="",0,Z1339*サマリー!$B$12)</f>
        <v>0</v>
      </c>
      <c r="E1339" s="26">
        <f t="shared" si="50"/>
        <v>0</v>
      </c>
      <c r="I1339" s="29"/>
      <c r="J1339" s="29"/>
      <c r="K1339" s="29"/>
      <c r="L1339" s="29"/>
      <c r="M1339" s="29"/>
      <c r="N1339" s="29"/>
      <c r="O1339" s="29"/>
      <c r="P1339" s="30"/>
      <c r="Q1339" s="30"/>
      <c r="R1339" s="30"/>
      <c r="S1339" s="31"/>
      <c r="T1339" s="31"/>
      <c r="U1339" s="31"/>
      <c r="V1339" s="31"/>
      <c r="W1339" s="31"/>
      <c r="X1339" s="32"/>
      <c r="Y1339" s="32"/>
      <c r="Z1339" s="32"/>
    </row>
    <row r="1340" spans="1:26">
      <c r="A1340" s="28"/>
      <c r="B1340" s="17">
        <f t="shared" si="49"/>
        <v>46319</v>
      </c>
      <c r="C1340" s="26">
        <f>I1340+J1340+K1340+L1340+M1340+N1340+O1340+IF(P1340="",0,P1340*サマリー!$B$9)+IF(Q1340="",0,IF(Q1340=200,サマリー!$B$10,IF(Q1340=100,サマリー!$B$11,0)))+IF(R1340="",0,R1340*サマリー!$B$12)</f>
        <v>0</v>
      </c>
      <c r="D1340" s="26">
        <f>S1340+T1340+U1340+V1340+W1340+IF(X1340="",0,X1340*サマリー!$B$9)+IF(Y1340="",0,IF(Y1340=200,サマリー!$B$10,IF(Y1340=100,サマリー!$B$11,0)))+IF(Z1340="",0,Z1340*サマリー!$B$12)</f>
        <v>0</v>
      </c>
      <c r="E1340" s="26">
        <f t="shared" si="50"/>
        <v>0</v>
      </c>
      <c r="I1340" s="29"/>
      <c r="J1340" s="29"/>
      <c r="K1340" s="29"/>
      <c r="L1340" s="29"/>
      <c r="M1340" s="29"/>
      <c r="N1340" s="29"/>
      <c r="O1340" s="29"/>
      <c r="P1340" s="30"/>
      <c r="Q1340" s="30"/>
      <c r="R1340" s="30"/>
      <c r="S1340" s="31"/>
      <c r="T1340" s="31"/>
      <c r="U1340" s="31"/>
      <c r="V1340" s="31"/>
      <c r="W1340" s="31"/>
      <c r="X1340" s="32"/>
      <c r="Y1340" s="32"/>
      <c r="Z1340" s="32"/>
    </row>
    <row r="1341" spans="1:26">
      <c r="A1341" s="28"/>
      <c r="B1341" s="17">
        <f t="shared" si="49"/>
        <v>46319</v>
      </c>
      <c r="C1341" s="26">
        <f>I1341+J1341+K1341+L1341+M1341+N1341+O1341+IF(P1341="",0,P1341*サマリー!$B$9)+IF(Q1341="",0,IF(Q1341=200,サマリー!$B$10,IF(Q1341=100,サマリー!$B$11,0)))+IF(R1341="",0,R1341*サマリー!$B$12)</f>
        <v>0</v>
      </c>
      <c r="D1341" s="26">
        <f>S1341+T1341+U1341+V1341+W1341+IF(X1341="",0,X1341*サマリー!$B$9)+IF(Y1341="",0,IF(Y1341=200,サマリー!$B$10,IF(Y1341=100,サマリー!$B$11,0)))+IF(Z1341="",0,Z1341*サマリー!$B$12)</f>
        <v>0</v>
      </c>
      <c r="E1341" s="26">
        <f t="shared" si="50"/>
        <v>0</v>
      </c>
      <c r="I1341" s="29"/>
      <c r="J1341" s="29"/>
      <c r="K1341" s="29"/>
      <c r="L1341" s="29"/>
      <c r="M1341" s="29"/>
      <c r="N1341" s="29"/>
      <c r="O1341" s="29"/>
      <c r="P1341" s="30"/>
      <c r="Q1341" s="30"/>
      <c r="R1341" s="30"/>
      <c r="S1341" s="31"/>
      <c r="T1341" s="31"/>
      <c r="U1341" s="31"/>
      <c r="V1341" s="31"/>
      <c r="W1341" s="31"/>
      <c r="X1341" s="32"/>
      <c r="Y1341" s="32"/>
      <c r="Z1341" s="32"/>
    </row>
    <row r="1342" spans="1:26">
      <c r="A1342" s="28"/>
      <c r="B1342" s="17">
        <f t="shared" si="49"/>
        <v>46319</v>
      </c>
      <c r="C1342" s="26">
        <f>I1342+J1342+K1342+L1342+M1342+N1342+O1342+IF(P1342="",0,P1342*サマリー!$B$9)+IF(Q1342="",0,IF(Q1342=200,サマリー!$B$10,IF(Q1342=100,サマリー!$B$11,0)))+IF(R1342="",0,R1342*サマリー!$B$12)</f>
        <v>0</v>
      </c>
      <c r="D1342" s="26">
        <f>S1342+T1342+U1342+V1342+W1342+IF(X1342="",0,X1342*サマリー!$B$9)+IF(Y1342="",0,IF(Y1342=200,サマリー!$B$10,IF(Y1342=100,サマリー!$B$11,0)))+IF(Z1342="",0,Z1342*サマリー!$B$12)</f>
        <v>0</v>
      </c>
      <c r="E1342" s="26">
        <f t="shared" si="50"/>
        <v>0</v>
      </c>
      <c r="I1342" s="29"/>
      <c r="J1342" s="29"/>
      <c r="K1342" s="29"/>
      <c r="L1342" s="29"/>
      <c r="M1342" s="29"/>
      <c r="N1342" s="29"/>
      <c r="O1342" s="29"/>
      <c r="P1342" s="30"/>
      <c r="Q1342" s="30"/>
      <c r="R1342" s="30"/>
      <c r="S1342" s="31"/>
      <c r="T1342" s="31"/>
      <c r="U1342" s="31"/>
      <c r="V1342" s="31"/>
      <c r="W1342" s="31"/>
      <c r="X1342" s="32"/>
      <c r="Y1342" s="32"/>
      <c r="Z1342" s="32"/>
    </row>
    <row r="1343" spans="1:26">
      <c r="A1343" s="28"/>
      <c r="B1343" s="17">
        <f t="shared" si="49"/>
        <v>46319</v>
      </c>
      <c r="C1343" s="26">
        <f>I1343+J1343+K1343+L1343+M1343+N1343+O1343+IF(P1343="",0,P1343*サマリー!$B$9)+IF(Q1343="",0,IF(Q1343=200,サマリー!$B$10,IF(Q1343=100,サマリー!$B$11,0)))+IF(R1343="",0,R1343*サマリー!$B$12)</f>
        <v>0</v>
      </c>
      <c r="D1343" s="26">
        <f>S1343+T1343+U1343+V1343+W1343+IF(X1343="",0,X1343*サマリー!$B$9)+IF(Y1343="",0,IF(Y1343=200,サマリー!$B$10,IF(Y1343=100,サマリー!$B$11,0)))+IF(Z1343="",0,Z1343*サマリー!$B$12)</f>
        <v>0</v>
      </c>
      <c r="E1343" s="26">
        <f t="shared" si="50"/>
        <v>0</v>
      </c>
      <c r="I1343" s="29"/>
      <c r="J1343" s="29"/>
      <c r="K1343" s="29"/>
      <c r="L1343" s="29"/>
      <c r="M1343" s="29"/>
      <c r="N1343" s="29"/>
      <c r="O1343" s="29"/>
      <c r="P1343" s="30"/>
      <c r="Q1343" s="30"/>
      <c r="R1343" s="30"/>
      <c r="S1343" s="31"/>
      <c r="T1343" s="31"/>
      <c r="U1343" s="31"/>
      <c r="V1343" s="31"/>
      <c r="W1343" s="31"/>
      <c r="X1343" s="32"/>
      <c r="Y1343" s="32"/>
      <c r="Z1343" s="32"/>
    </row>
    <row r="1344" spans="1:26">
      <c r="A1344" s="28"/>
      <c r="B1344" s="17">
        <f t="shared" si="49"/>
        <v>46319</v>
      </c>
      <c r="C1344" s="26">
        <f>I1344+J1344+K1344+L1344+M1344+N1344+O1344+IF(P1344="",0,P1344*サマリー!$B$9)+IF(Q1344="",0,IF(Q1344=200,サマリー!$B$10,IF(Q1344=100,サマリー!$B$11,0)))+IF(R1344="",0,R1344*サマリー!$B$12)</f>
        <v>0</v>
      </c>
      <c r="D1344" s="26">
        <f>S1344+T1344+U1344+V1344+W1344+IF(X1344="",0,X1344*サマリー!$B$9)+IF(Y1344="",0,IF(Y1344=200,サマリー!$B$10,IF(Y1344=100,サマリー!$B$11,0)))+IF(Z1344="",0,Z1344*サマリー!$B$12)</f>
        <v>0</v>
      </c>
      <c r="E1344" s="26">
        <f t="shared" si="50"/>
        <v>0</v>
      </c>
      <c r="I1344" s="29"/>
      <c r="J1344" s="29"/>
      <c r="K1344" s="29"/>
      <c r="L1344" s="29"/>
      <c r="M1344" s="29"/>
      <c r="N1344" s="29"/>
      <c r="O1344" s="29"/>
      <c r="P1344" s="30"/>
      <c r="Q1344" s="30"/>
      <c r="R1344" s="30"/>
      <c r="S1344" s="31"/>
      <c r="T1344" s="31"/>
      <c r="U1344" s="31"/>
      <c r="V1344" s="31"/>
      <c r="W1344" s="31"/>
      <c r="X1344" s="32"/>
      <c r="Y1344" s="32"/>
      <c r="Z1344" s="32"/>
    </row>
    <row r="1345" spans="1:26">
      <c r="A1345" s="28"/>
      <c r="B1345" s="17">
        <f t="shared" ref="B1345:B1384" si="51">IF(A1345="",B1344,IF(A1345&lt;DAY(B1344),DATE(YEAR(B1344),MONTH(B1344)+1,A1345),DATE(YEAR(B1344),MONTH(B1344),A1345)))</f>
        <v>46319</v>
      </c>
      <c r="C1345" s="26">
        <f>I1345+J1345+K1345+L1345+M1345+N1345+O1345+IF(P1345="",0,P1345*サマリー!$B$9)+IF(Q1345="",0,IF(Q1345=200,サマリー!$B$10,IF(Q1345=100,サマリー!$B$11,0)))+IF(R1345="",0,R1345*サマリー!$B$12)</f>
        <v>0</v>
      </c>
      <c r="D1345" s="26">
        <f>S1345+T1345+U1345+V1345+W1345+IF(X1345="",0,X1345*サマリー!$B$9)+IF(Y1345="",0,IF(Y1345=200,サマリー!$B$10,IF(Y1345=100,サマリー!$B$11,0)))+IF(Z1345="",0,Z1345*サマリー!$B$12)</f>
        <v>0</v>
      </c>
      <c r="E1345" s="26">
        <f t="shared" si="50"/>
        <v>0</v>
      </c>
      <c r="I1345" s="29"/>
      <c r="J1345" s="29"/>
      <c r="K1345" s="29"/>
      <c r="L1345" s="29"/>
      <c r="M1345" s="29"/>
      <c r="N1345" s="29"/>
      <c r="O1345" s="29"/>
      <c r="P1345" s="30"/>
      <c r="Q1345" s="30"/>
      <c r="R1345" s="30"/>
      <c r="S1345" s="31"/>
      <c r="T1345" s="31"/>
      <c r="U1345" s="31"/>
      <c r="V1345" s="31"/>
      <c r="W1345" s="31"/>
      <c r="X1345" s="32"/>
      <c r="Y1345" s="32"/>
      <c r="Z1345" s="32"/>
    </row>
    <row r="1346" spans="1:26">
      <c r="A1346" s="28"/>
      <c r="B1346" s="17">
        <f t="shared" si="51"/>
        <v>46319</v>
      </c>
      <c r="C1346" s="26">
        <f>I1346+J1346+K1346+L1346+M1346+N1346+O1346+IF(P1346="",0,P1346*サマリー!$B$9)+IF(Q1346="",0,IF(Q1346=200,サマリー!$B$10,IF(Q1346=100,サマリー!$B$11,0)))+IF(R1346="",0,R1346*サマリー!$B$12)</f>
        <v>0</v>
      </c>
      <c r="D1346" s="26">
        <f>S1346+T1346+U1346+V1346+W1346+IF(X1346="",0,X1346*サマリー!$B$9)+IF(Y1346="",0,IF(Y1346=200,サマリー!$B$10,IF(Y1346=100,サマリー!$B$11,0)))+IF(Z1346="",0,Z1346*サマリー!$B$12)</f>
        <v>0</v>
      </c>
      <c r="E1346" s="26">
        <f t="shared" si="50"/>
        <v>0</v>
      </c>
      <c r="I1346" s="29"/>
      <c r="J1346" s="29"/>
      <c r="K1346" s="29"/>
      <c r="L1346" s="29"/>
      <c r="M1346" s="29"/>
      <c r="N1346" s="29"/>
      <c r="O1346" s="29"/>
      <c r="P1346" s="30"/>
      <c r="Q1346" s="30"/>
      <c r="R1346" s="30"/>
      <c r="S1346" s="31"/>
      <c r="T1346" s="31"/>
      <c r="U1346" s="31"/>
      <c r="V1346" s="31"/>
      <c r="W1346" s="31"/>
      <c r="X1346" s="32"/>
      <c r="Y1346" s="32"/>
      <c r="Z1346" s="32"/>
    </row>
    <row r="1347" spans="1:26">
      <c r="A1347" s="28"/>
      <c r="B1347" s="17">
        <f t="shared" si="51"/>
        <v>46319</v>
      </c>
      <c r="C1347" s="26">
        <f>I1347+J1347+K1347+L1347+M1347+N1347+O1347+IF(P1347="",0,P1347*サマリー!$B$9)+IF(Q1347="",0,IF(Q1347=200,サマリー!$B$10,IF(Q1347=100,サマリー!$B$11,0)))+IF(R1347="",0,R1347*サマリー!$B$12)</f>
        <v>0</v>
      </c>
      <c r="D1347" s="26">
        <f>S1347+T1347+U1347+V1347+W1347+IF(X1347="",0,X1347*サマリー!$B$9)+IF(Y1347="",0,IF(Y1347=200,サマリー!$B$10,IF(Y1347=100,サマリー!$B$11,0)))+IF(Z1347="",0,Z1347*サマリー!$B$12)</f>
        <v>0</v>
      </c>
      <c r="E1347" s="26">
        <f t="shared" si="50"/>
        <v>0</v>
      </c>
      <c r="I1347" s="29"/>
      <c r="J1347" s="29"/>
      <c r="K1347" s="29"/>
      <c r="L1347" s="29"/>
      <c r="M1347" s="29"/>
      <c r="N1347" s="29"/>
      <c r="O1347" s="29"/>
      <c r="P1347" s="30"/>
      <c r="Q1347" s="30"/>
      <c r="R1347" s="30"/>
      <c r="S1347" s="31"/>
      <c r="T1347" s="31"/>
      <c r="U1347" s="31"/>
      <c r="V1347" s="31"/>
      <c r="W1347" s="31"/>
      <c r="X1347" s="32"/>
      <c r="Y1347" s="32"/>
      <c r="Z1347" s="32"/>
    </row>
    <row r="1348" spans="1:26">
      <c r="A1348" s="28"/>
      <c r="B1348" s="17">
        <f t="shared" si="51"/>
        <v>46319</v>
      </c>
      <c r="C1348" s="26">
        <f>I1348+J1348+K1348+L1348+M1348+N1348+O1348+IF(P1348="",0,P1348*サマリー!$B$9)+IF(Q1348="",0,IF(Q1348=200,サマリー!$B$10,IF(Q1348=100,サマリー!$B$11,0)))+IF(R1348="",0,R1348*サマリー!$B$12)</f>
        <v>0</v>
      </c>
      <c r="D1348" s="26">
        <f>S1348+T1348+U1348+V1348+W1348+IF(X1348="",0,X1348*サマリー!$B$9)+IF(Y1348="",0,IF(Y1348=200,サマリー!$B$10,IF(Y1348=100,サマリー!$B$11,0)))+IF(Z1348="",0,Z1348*サマリー!$B$12)</f>
        <v>0</v>
      </c>
      <c r="E1348" s="26">
        <f t="shared" si="50"/>
        <v>0</v>
      </c>
      <c r="I1348" s="29"/>
      <c r="J1348" s="29"/>
      <c r="K1348" s="29"/>
      <c r="L1348" s="29"/>
      <c r="M1348" s="29"/>
      <c r="N1348" s="29"/>
      <c r="O1348" s="29"/>
      <c r="P1348" s="30"/>
      <c r="Q1348" s="30"/>
      <c r="R1348" s="30"/>
      <c r="S1348" s="31"/>
      <c r="T1348" s="31"/>
      <c r="U1348" s="31"/>
      <c r="V1348" s="31"/>
      <c r="W1348" s="31"/>
      <c r="X1348" s="32"/>
      <c r="Y1348" s="32"/>
      <c r="Z1348" s="32"/>
    </row>
    <row r="1349" spans="1:26">
      <c r="A1349" s="28"/>
      <c r="B1349" s="17">
        <f t="shared" si="51"/>
        <v>46319</v>
      </c>
      <c r="C1349" s="26">
        <f>I1349+J1349+K1349+L1349+M1349+N1349+O1349+IF(P1349="",0,P1349*サマリー!$B$9)+IF(Q1349="",0,IF(Q1349=200,サマリー!$B$10,IF(Q1349=100,サマリー!$B$11,0)))+IF(R1349="",0,R1349*サマリー!$B$12)</f>
        <v>0</v>
      </c>
      <c r="D1349" s="26">
        <f>S1349+T1349+U1349+V1349+W1349+IF(X1349="",0,X1349*サマリー!$B$9)+IF(Y1349="",0,IF(Y1349=200,サマリー!$B$10,IF(Y1349=100,サマリー!$B$11,0)))+IF(Z1349="",0,Z1349*サマリー!$B$12)</f>
        <v>0</v>
      </c>
      <c r="E1349" s="26">
        <f t="shared" si="50"/>
        <v>0</v>
      </c>
      <c r="I1349" s="29"/>
      <c r="J1349" s="29"/>
      <c r="K1349" s="29"/>
      <c r="L1349" s="29"/>
      <c r="M1349" s="29"/>
      <c r="N1349" s="29"/>
      <c r="O1349" s="29"/>
      <c r="P1349" s="30"/>
      <c r="Q1349" s="30"/>
      <c r="R1349" s="30"/>
      <c r="S1349" s="31"/>
      <c r="T1349" s="31"/>
      <c r="U1349" s="31"/>
      <c r="V1349" s="31"/>
      <c r="W1349" s="31"/>
      <c r="X1349" s="32"/>
      <c r="Y1349" s="32"/>
      <c r="Z1349" s="32"/>
    </row>
    <row r="1350" spans="1:26">
      <c r="A1350" s="28"/>
      <c r="B1350" s="17">
        <f t="shared" si="51"/>
        <v>46319</v>
      </c>
      <c r="C1350" s="26">
        <f>I1350+J1350+K1350+L1350+M1350+N1350+O1350+IF(P1350="",0,P1350*サマリー!$B$9)+IF(Q1350="",0,IF(Q1350=200,サマリー!$B$10,IF(Q1350=100,サマリー!$B$11,0)))+IF(R1350="",0,R1350*サマリー!$B$12)</f>
        <v>0</v>
      </c>
      <c r="D1350" s="26">
        <f>S1350+T1350+U1350+V1350+W1350+IF(X1350="",0,X1350*サマリー!$B$9)+IF(Y1350="",0,IF(Y1350=200,サマリー!$B$10,IF(Y1350=100,サマリー!$B$11,0)))+IF(Z1350="",0,Z1350*サマリー!$B$12)</f>
        <v>0</v>
      </c>
      <c r="E1350" s="26">
        <f t="shared" si="50"/>
        <v>0</v>
      </c>
      <c r="I1350" s="29"/>
      <c r="J1350" s="29"/>
      <c r="K1350" s="29"/>
      <c r="L1350" s="29"/>
      <c r="M1350" s="29"/>
      <c r="N1350" s="29"/>
      <c r="O1350" s="29"/>
      <c r="P1350" s="30"/>
      <c r="Q1350" s="30"/>
      <c r="R1350" s="30"/>
      <c r="S1350" s="31"/>
      <c r="T1350" s="31"/>
      <c r="U1350" s="31"/>
      <c r="V1350" s="31"/>
      <c r="W1350" s="31"/>
      <c r="X1350" s="32"/>
      <c r="Y1350" s="32"/>
      <c r="Z1350" s="32"/>
    </row>
    <row r="1351" spans="1:26">
      <c r="A1351" s="28"/>
      <c r="B1351" s="17">
        <f t="shared" si="51"/>
        <v>46319</v>
      </c>
      <c r="C1351" s="26">
        <f>I1351+J1351+K1351+L1351+M1351+N1351+O1351+IF(P1351="",0,P1351*サマリー!$B$9)+IF(Q1351="",0,IF(Q1351=200,サマリー!$B$10,IF(Q1351=100,サマリー!$B$11,0)))+IF(R1351="",0,R1351*サマリー!$B$12)</f>
        <v>0</v>
      </c>
      <c r="D1351" s="26">
        <f>S1351+T1351+U1351+V1351+W1351+IF(X1351="",0,X1351*サマリー!$B$9)+IF(Y1351="",0,IF(Y1351=200,サマリー!$B$10,IF(Y1351=100,サマリー!$B$11,0)))+IF(Z1351="",0,Z1351*サマリー!$B$12)</f>
        <v>0</v>
      </c>
      <c r="E1351" s="26">
        <f t="shared" si="50"/>
        <v>0</v>
      </c>
      <c r="I1351" s="29"/>
      <c r="J1351" s="29"/>
      <c r="K1351" s="29"/>
      <c r="L1351" s="29"/>
      <c r="M1351" s="29"/>
      <c r="N1351" s="29"/>
      <c r="O1351" s="29"/>
      <c r="P1351" s="30"/>
      <c r="Q1351" s="30"/>
      <c r="R1351" s="30"/>
      <c r="S1351" s="31"/>
      <c r="T1351" s="31"/>
      <c r="U1351" s="31"/>
      <c r="V1351" s="31"/>
      <c r="W1351" s="31"/>
      <c r="X1351" s="32"/>
      <c r="Y1351" s="32"/>
      <c r="Z1351" s="32"/>
    </row>
    <row r="1352" spans="1:26">
      <c r="A1352" s="28"/>
      <c r="B1352" s="17">
        <f t="shared" si="51"/>
        <v>46319</v>
      </c>
      <c r="C1352" s="26">
        <f>I1352+J1352+K1352+L1352+M1352+N1352+O1352+IF(P1352="",0,P1352*サマリー!$B$9)+IF(Q1352="",0,IF(Q1352=200,サマリー!$B$10,IF(Q1352=100,サマリー!$B$11,0)))+IF(R1352="",0,R1352*サマリー!$B$12)</f>
        <v>0</v>
      </c>
      <c r="D1352" s="26">
        <f>S1352+T1352+U1352+V1352+W1352+IF(X1352="",0,X1352*サマリー!$B$9)+IF(Y1352="",0,IF(Y1352=200,サマリー!$B$10,IF(Y1352=100,サマリー!$B$11,0)))+IF(Z1352="",0,Z1352*サマリー!$B$12)</f>
        <v>0</v>
      </c>
      <c r="E1352" s="26">
        <f t="shared" si="50"/>
        <v>0</v>
      </c>
      <c r="I1352" s="29"/>
      <c r="J1352" s="29"/>
      <c r="K1352" s="29"/>
      <c r="L1352" s="29"/>
      <c r="M1352" s="29"/>
      <c r="N1352" s="29"/>
      <c r="O1352" s="29"/>
      <c r="P1352" s="30"/>
      <c r="Q1352" s="30"/>
      <c r="R1352" s="30"/>
      <c r="S1352" s="31"/>
      <c r="T1352" s="31"/>
      <c r="U1352" s="31"/>
      <c r="V1352" s="31"/>
      <c r="W1352" s="31"/>
      <c r="X1352" s="32"/>
      <c r="Y1352" s="32"/>
      <c r="Z1352" s="32"/>
    </row>
    <row r="1353" spans="1:26">
      <c r="A1353" s="28"/>
      <c r="B1353" s="17">
        <f t="shared" si="51"/>
        <v>46319</v>
      </c>
      <c r="C1353" s="26">
        <f>I1353+J1353+K1353+L1353+M1353+N1353+O1353+IF(P1353="",0,P1353*サマリー!$B$9)+IF(Q1353="",0,IF(Q1353=200,サマリー!$B$10,IF(Q1353=100,サマリー!$B$11,0)))+IF(R1353="",0,R1353*サマリー!$B$12)</f>
        <v>0</v>
      </c>
      <c r="D1353" s="26">
        <f>S1353+T1353+U1353+V1353+W1353+IF(X1353="",0,X1353*サマリー!$B$9)+IF(Y1353="",0,IF(Y1353=200,サマリー!$B$10,IF(Y1353=100,サマリー!$B$11,0)))+IF(Z1353="",0,Z1353*サマリー!$B$12)</f>
        <v>0</v>
      </c>
      <c r="E1353" s="26">
        <f t="shared" si="50"/>
        <v>0</v>
      </c>
      <c r="I1353" s="29"/>
      <c r="J1353" s="29"/>
      <c r="K1353" s="29"/>
      <c r="L1353" s="29"/>
      <c r="M1353" s="29"/>
      <c r="N1353" s="29"/>
      <c r="O1353" s="29"/>
      <c r="P1353" s="30"/>
      <c r="Q1353" s="30"/>
      <c r="R1353" s="30"/>
      <c r="S1353" s="31"/>
      <c r="T1353" s="31"/>
      <c r="U1353" s="31"/>
      <c r="V1353" s="31"/>
      <c r="W1353" s="31"/>
      <c r="X1353" s="32"/>
      <c r="Y1353" s="32"/>
      <c r="Z1353" s="32"/>
    </row>
    <row r="1354" spans="1:26">
      <c r="A1354" s="28"/>
      <c r="B1354" s="17">
        <f t="shared" si="51"/>
        <v>46319</v>
      </c>
      <c r="C1354" s="26">
        <f>I1354+J1354+K1354+L1354+M1354+N1354+O1354+IF(P1354="",0,P1354*サマリー!$B$9)+IF(Q1354="",0,IF(Q1354=200,サマリー!$B$10,IF(Q1354=100,サマリー!$B$11,0)))+IF(R1354="",0,R1354*サマリー!$B$12)</f>
        <v>0</v>
      </c>
      <c r="D1354" s="26">
        <f>S1354+T1354+U1354+V1354+W1354+IF(X1354="",0,X1354*サマリー!$B$9)+IF(Y1354="",0,IF(Y1354=200,サマリー!$B$10,IF(Y1354=100,サマリー!$B$11,0)))+IF(Z1354="",0,Z1354*サマリー!$B$12)</f>
        <v>0</v>
      </c>
      <c r="E1354" s="26">
        <f t="shared" si="50"/>
        <v>0</v>
      </c>
      <c r="I1354" s="29"/>
      <c r="J1354" s="29"/>
      <c r="K1354" s="29"/>
      <c r="L1354" s="29"/>
      <c r="M1354" s="29"/>
      <c r="N1354" s="29"/>
      <c r="O1354" s="29"/>
      <c r="P1354" s="30"/>
      <c r="Q1354" s="30"/>
      <c r="R1354" s="30"/>
      <c r="S1354" s="31"/>
      <c r="T1354" s="31"/>
      <c r="U1354" s="31"/>
      <c r="V1354" s="31"/>
      <c r="W1354" s="31"/>
      <c r="X1354" s="32"/>
      <c r="Y1354" s="32"/>
      <c r="Z1354" s="32"/>
    </row>
    <row r="1355" spans="1:26">
      <c r="A1355" s="28"/>
      <c r="B1355" s="17">
        <f t="shared" si="51"/>
        <v>46319</v>
      </c>
      <c r="C1355" s="26">
        <f>I1355+J1355+K1355+L1355+M1355+N1355+O1355+IF(P1355="",0,P1355*サマリー!$B$9)+IF(Q1355="",0,IF(Q1355=200,サマリー!$B$10,IF(Q1355=100,サマリー!$B$11,0)))+IF(R1355="",0,R1355*サマリー!$B$12)</f>
        <v>0</v>
      </c>
      <c r="D1355" s="26">
        <f>S1355+T1355+U1355+V1355+W1355+IF(X1355="",0,X1355*サマリー!$B$9)+IF(Y1355="",0,IF(Y1355=200,サマリー!$B$10,IF(Y1355=100,サマリー!$B$11,0)))+IF(Z1355="",0,Z1355*サマリー!$B$12)</f>
        <v>0</v>
      </c>
      <c r="E1355" s="26">
        <f t="shared" si="50"/>
        <v>0</v>
      </c>
      <c r="I1355" s="29"/>
      <c r="J1355" s="29"/>
      <c r="K1355" s="29"/>
      <c r="L1355" s="29"/>
      <c r="M1355" s="29"/>
      <c r="N1355" s="29"/>
      <c r="O1355" s="29"/>
      <c r="P1355" s="30"/>
      <c r="Q1355" s="30"/>
      <c r="R1355" s="30"/>
      <c r="S1355" s="31"/>
      <c r="T1355" s="31"/>
      <c r="U1355" s="31"/>
      <c r="V1355" s="31"/>
      <c r="W1355" s="31"/>
      <c r="X1355" s="32"/>
      <c r="Y1355" s="32"/>
      <c r="Z1355" s="32"/>
    </row>
    <row r="1356" spans="1:26">
      <c r="A1356" s="28"/>
      <c r="B1356" s="17">
        <f t="shared" si="51"/>
        <v>46319</v>
      </c>
      <c r="C1356" s="26">
        <f>I1356+J1356+K1356+L1356+M1356+N1356+O1356+IF(P1356="",0,P1356*サマリー!$B$9)+IF(Q1356="",0,IF(Q1356=200,サマリー!$B$10,IF(Q1356=100,サマリー!$B$11,0)))+IF(R1356="",0,R1356*サマリー!$B$12)</f>
        <v>0</v>
      </c>
      <c r="D1356" s="26">
        <f>S1356+T1356+U1356+V1356+W1356+IF(X1356="",0,X1356*サマリー!$B$9)+IF(Y1356="",0,IF(Y1356=200,サマリー!$B$10,IF(Y1356=100,サマリー!$B$11,0)))+IF(Z1356="",0,Z1356*サマリー!$B$12)</f>
        <v>0</v>
      </c>
      <c r="E1356" s="26">
        <f t="shared" si="50"/>
        <v>0</v>
      </c>
      <c r="I1356" s="29"/>
      <c r="J1356" s="29"/>
      <c r="K1356" s="29"/>
      <c r="L1356" s="29"/>
      <c r="M1356" s="29"/>
      <c r="N1356" s="29"/>
      <c r="O1356" s="29"/>
      <c r="P1356" s="30"/>
      <c r="Q1356" s="30"/>
      <c r="R1356" s="30"/>
      <c r="S1356" s="31"/>
      <c r="T1356" s="31"/>
      <c r="U1356" s="31"/>
      <c r="V1356" s="31"/>
      <c r="W1356" s="31"/>
      <c r="X1356" s="32"/>
      <c r="Y1356" s="32"/>
      <c r="Z1356" s="32"/>
    </row>
    <row r="1357" spans="1:26">
      <c r="A1357" s="28"/>
      <c r="B1357" s="17">
        <f t="shared" si="51"/>
        <v>46319</v>
      </c>
      <c r="C1357" s="26">
        <f>I1357+J1357+K1357+L1357+M1357+N1357+O1357+IF(P1357="",0,P1357*サマリー!$B$9)+IF(Q1357="",0,IF(Q1357=200,サマリー!$B$10,IF(Q1357=100,サマリー!$B$11,0)))+IF(R1357="",0,R1357*サマリー!$B$12)</f>
        <v>0</v>
      </c>
      <c r="D1357" s="26">
        <f>S1357+T1357+U1357+V1357+W1357+IF(X1357="",0,X1357*サマリー!$B$9)+IF(Y1357="",0,IF(Y1357=200,サマリー!$B$10,IF(Y1357=100,サマリー!$B$11,0)))+IF(Z1357="",0,Z1357*サマリー!$B$12)</f>
        <v>0</v>
      </c>
      <c r="E1357" s="26">
        <f t="shared" si="50"/>
        <v>0</v>
      </c>
      <c r="I1357" s="29"/>
      <c r="J1357" s="29"/>
      <c r="K1357" s="29"/>
      <c r="L1357" s="29"/>
      <c r="M1357" s="29"/>
      <c r="N1357" s="29"/>
      <c r="O1357" s="29"/>
      <c r="P1357" s="30"/>
      <c r="Q1357" s="30"/>
      <c r="R1357" s="30"/>
      <c r="S1357" s="31"/>
      <c r="T1357" s="31"/>
      <c r="U1357" s="31"/>
      <c r="V1357" s="31"/>
      <c r="W1357" s="31"/>
      <c r="X1357" s="32"/>
      <c r="Y1357" s="32"/>
      <c r="Z1357" s="32"/>
    </row>
    <row r="1358" spans="1:26">
      <c r="A1358" s="28"/>
      <c r="B1358" s="17">
        <f t="shared" si="51"/>
        <v>46319</v>
      </c>
      <c r="C1358" s="26">
        <f>I1358+J1358+K1358+L1358+M1358+N1358+O1358+IF(P1358="",0,P1358*サマリー!$B$9)+IF(Q1358="",0,IF(Q1358=200,サマリー!$B$10,IF(Q1358=100,サマリー!$B$11,0)))+IF(R1358="",0,R1358*サマリー!$B$12)</f>
        <v>0</v>
      </c>
      <c r="D1358" s="26">
        <f>S1358+T1358+U1358+V1358+W1358+IF(X1358="",0,X1358*サマリー!$B$9)+IF(Y1358="",0,IF(Y1358=200,サマリー!$B$10,IF(Y1358=100,サマリー!$B$11,0)))+IF(Z1358="",0,Z1358*サマリー!$B$12)</f>
        <v>0</v>
      </c>
      <c r="E1358" s="26">
        <f t="shared" si="50"/>
        <v>0</v>
      </c>
      <c r="I1358" s="29"/>
      <c r="J1358" s="29"/>
      <c r="K1358" s="29"/>
      <c r="L1358" s="29"/>
      <c r="M1358" s="29"/>
      <c r="N1358" s="29"/>
      <c r="O1358" s="29"/>
      <c r="P1358" s="30"/>
      <c r="Q1358" s="30"/>
      <c r="R1358" s="30"/>
      <c r="S1358" s="31"/>
      <c r="T1358" s="31"/>
      <c r="U1358" s="31"/>
      <c r="V1358" s="31"/>
      <c r="W1358" s="31"/>
      <c r="X1358" s="32"/>
      <c r="Y1358" s="32"/>
      <c r="Z1358" s="32"/>
    </row>
    <row r="1359" spans="1:26">
      <c r="A1359" s="28"/>
      <c r="B1359" s="17">
        <f t="shared" si="51"/>
        <v>46319</v>
      </c>
      <c r="C1359" s="26">
        <f>I1359+J1359+K1359+L1359+M1359+N1359+O1359+IF(P1359="",0,P1359*サマリー!$B$9)+IF(Q1359="",0,IF(Q1359=200,サマリー!$B$10,IF(Q1359=100,サマリー!$B$11,0)))+IF(R1359="",0,R1359*サマリー!$B$12)</f>
        <v>0</v>
      </c>
      <c r="D1359" s="26">
        <f>S1359+T1359+U1359+V1359+W1359+IF(X1359="",0,X1359*サマリー!$B$9)+IF(Y1359="",0,IF(Y1359=200,サマリー!$B$10,IF(Y1359=100,サマリー!$B$11,0)))+IF(Z1359="",0,Z1359*サマリー!$B$12)</f>
        <v>0</v>
      </c>
      <c r="E1359" s="26">
        <f t="shared" si="50"/>
        <v>0</v>
      </c>
      <c r="I1359" s="29"/>
      <c r="J1359" s="29"/>
      <c r="K1359" s="29"/>
      <c r="L1359" s="29"/>
      <c r="M1359" s="29"/>
      <c r="N1359" s="29"/>
      <c r="O1359" s="29"/>
      <c r="P1359" s="30"/>
      <c r="Q1359" s="30"/>
      <c r="R1359" s="30"/>
      <c r="S1359" s="31"/>
      <c r="T1359" s="31"/>
      <c r="U1359" s="31"/>
      <c r="V1359" s="31"/>
      <c r="W1359" s="31"/>
      <c r="X1359" s="32"/>
      <c r="Y1359" s="32"/>
      <c r="Z1359" s="32"/>
    </row>
    <row r="1360" spans="1:26">
      <c r="A1360" s="28"/>
      <c r="B1360" s="17">
        <f t="shared" si="51"/>
        <v>46319</v>
      </c>
      <c r="C1360" s="26">
        <f>I1360+J1360+K1360+L1360+M1360+N1360+O1360+IF(P1360="",0,P1360*サマリー!$B$9)+IF(Q1360="",0,IF(Q1360=200,サマリー!$B$10,IF(Q1360=100,サマリー!$B$11,0)))+IF(R1360="",0,R1360*サマリー!$B$12)</f>
        <v>0</v>
      </c>
      <c r="D1360" s="26">
        <f>S1360+T1360+U1360+V1360+W1360+IF(X1360="",0,X1360*サマリー!$B$9)+IF(Y1360="",0,IF(Y1360=200,サマリー!$B$10,IF(Y1360=100,サマリー!$B$11,0)))+IF(Z1360="",0,Z1360*サマリー!$B$12)</f>
        <v>0</v>
      </c>
      <c r="E1360" s="26">
        <f t="shared" si="50"/>
        <v>0</v>
      </c>
      <c r="I1360" s="29"/>
      <c r="J1360" s="29"/>
      <c r="K1360" s="29"/>
      <c r="L1360" s="29"/>
      <c r="M1360" s="29"/>
      <c r="N1360" s="29"/>
      <c r="O1360" s="29"/>
      <c r="P1360" s="30"/>
      <c r="Q1360" s="30"/>
      <c r="R1360" s="30"/>
      <c r="S1360" s="31"/>
      <c r="T1360" s="31"/>
      <c r="U1360" s="31"/>
      <c r="V1360" s="31"/>
      <c r="W1360" s="31"/>
      <c r="X1360" s="32"/>
      <c r="Y1360" s="32"/>
      <c r="Z1360" s="32"/>
    </row>
    <row r="1361" spans="1:26">
      <c r="A1361" s="28"/>
      <c r="B1361" s="17">
        <f t="shared" si="51"/>
        <v>46319</v>
      </c>
      <c r="C1361" s="26">
        <f>I1361+J1361+K1361+L1361+M1361+N1361+O1361+IF(P1361="",0,P1361*サマリー!$B$9)+IF(Q1361="",0,IF(Q1361=200,サマリー!$B$10,IF(Q1361=100,サマリー!$B$11,0)))+IF(R1361="",0,R1361*サマリー!$B$12)</f>
        <v>0</v>
      </c>
      <c r="D1361" s="26">
        <f>S1361+T1361+U1361+V1361+W1361+IF(X1361="",0,X1361*サマリー!$B$9)+IF(Y1361="",0,IF(Y1361=200,サマリー!$B$10,IF(Y1361=100,サマリー!$B$11,0)))+IF(Z1361="",0,Z1361*サマリー!$B$12)</f>
        <v>0</v>
      </c>
      <c r="E1361" s="26">
        <f t="shared" si="50"/>
        <v>0</v>
      </c>
      <c r="I1361" s="29"/>
      <c r="J1361" s="29"/>
      <c r="K1361" s="29"/>
      <c r="L1361" s="29"/>
      <c r="M1361" s="29"/>
      <c r="N1361" s="29"/>
      <c r="O1361" s="29"/>
      <c r="P1361" s="30"/>
      <c r="Q1361" s="30"/>
      <c r="R1361" s="30"/>
      <c r="S1361" s="31"/>
      <c r="T1361" s="31"/>
      <c r="U1361" s="31"/>
      <c r="V1361" s="31"/>
      <c r="W1361" s="31"/>
      <c r="X1361" s="32"/>
      <c r="Y1361" s="32"/>
      <c r="Z1361" s="32"/>
    </row>
    <row r="1362" spans="1:26">
      <c r="A1362" s="28"/>
      <c r="B1362" s="17">
        <f t="shared" si="51"/>
        <v>46319</v>
      </c>
      <c r="C1362" s="26">
        <f>I1362+J1362+K1362+L1362+M1362+N1362+O1362+IF(P1362="",0,P1362*サマリー!$B$9)+IF(Q1362="",0,IF(Q1362=200,サマリー!$B$10,IF(Q1362=100,サマリー!$B$11,0)))+IF(R1362="",0,R1362*サマリー!$B$12)</f>
        <v>0</v>
      </c>
      <c r="D1362" s="26">
        <f>S1362+T1362+U1362+V1362+W1362+IF(X1362="",0,X1362*サマリー!$B$9)+IF(Y1362="",0,IF(Y1362=200,サマリー!$B$10,IF(Y1362=100,サマリー!$B$11,0)))+IF(Z1362="",0,Z1362*サマリー!$B$12)</f>
        <v>0</v>
      </c>
      <c r="E1362" s="26">
        <f t="shared" si="50"/>
        <v>0</v>
      </c>
      <c r="I1362" s="29"/>
      <c r="J1362" s="29"/>
      <c r="K1362" s="29"/>
      <c r="L1362" s="29"/>
      <c r="M1362" s="29"/>
      <c r="N1362" s="29"/>
      <c r="O1362" s="29"/>
      <c r="P1362" s="30"/>
      <c r="Q1362" s="30"/>
      <c r="R1362" s="30"/>
      <c r="S1362" s="31"/>
      <c r="T1362" s="31"/>
      <c r="U1362" s="31"/>
      <c r="V1362" s="31"/>
      <c r="W1362" s="31"/>
      <c r="X1362" s="32"/>
      <c r="Y1362" s="32"/>
      <c r="Z1362" s="32"/>
    </row>
    <row r="1363" spans="1:26">
      <c r="A1363" s="28"/>
      <c r="B1363" s="17">
        <f t="shared" si="51"/>
        <v>46319</v>
      </c>
      <c r="C1363" s="26">
        <f>I1363+J1363+K1363+L1363+M1363+N1363+O1363+IF(P1363="",0,P1363*サマリー!$B$9)+IF(Q1363="",0,IF(Q1363=200,サマリー!$B$10,IF(Q1363=100,サマリー!$B$11,0)))+IF(R1363="",0,R1363*サマリー!$B$12)</f>
        <v>0</v>
      </c>
      <c r="D1363" s="26">
        <f>S1363+T1363+U1363+V1363+W1363+IF(X1363="",0,X1363*サマリー!$B$9)+IF(Y1363="",0,IF(Y1363=200,サマリー!$B$10,IF(Y1363=100,サマリー!$B$11,0)))+IF(Z1363="",0,Z1363*サマリー!$B$12)</f>
        <v>0</v>
      </c>
      <c r="E1363" s="26">
        <f t="shared" si="50"/>
        <v>0</v>
      </c>
      <c r="I1363" s="29"/>
      <c r="J1363" s="29"/>
      <c r="K1363" s="29"/>
      <c r="L1363" s="29"/>
      <c r="M1363" s="29"/>
      <c r="N1363" s="29"/>
      <c r="O1363" s="29"/>
      <c r="P1363" s="30"/>
      <c r="Q1363" s="30"/>
      <c r="R1363" s="30"/>
      <c r="S1363" s="31"/>
      <c r="T1363" s="31"/>
      <c r="U1363" s="31"/>
      <c r="V1363" s="31"/>
      <c r="W1363" s="31"/>
      <c r="X1363" s="32"/>
      <c r="Y1363" s="32"/>
      <c r="Z1363" s="32"/>
    </row>
    <row r="1364" spans="1:26">
      <c r="A1364" s="28"/>
      <c r="B1364" s="17">
        <f t="shared" si="51"/>
        <v>46319</v>
      </c>
      <c r="C1364" s="26">
        <f>I1364+J1364+K1364+L1364+M1364+N1364+O1364+IF(P1364="",0,P1364*サマリー!$B$9)+IF(Q1364="",0,IF(Q1364=200,サマリー!$B$10,IF(Q1364=100,サマリー!$B$11,0)))+IF(R1364="",0,R1364*サマリー!$B$12)</f>
        <v>0</v>
      </c>
      <c r="D1364" s="26">
        <f>S1364+T1364+U1364+V1364+W1364+IF(X1364="",0,X1364*サマリー!$B$9)+IF(Y1364="",0,IF(Y1364=200,サマリー!$B$10,IF(Y1364=100,サマリー!$B$11,0)))+IF(Z1364="",0,Z1364*サマリー!$B$12)</f>
        <v>0</v>
      </c>
      <c r="E1364" s="26">
        <f t="shared" si="50"/>
        <v>0</v>
      </c>
      <c r="I1364" s="29"/>
      <c r="J1364" s="29"/>
      <c r="K1364" s="29"/>
      <c r="L1364" s="29"/>
      <c r="M1364" s="29"/>
      <c r="N1364" s="29"/>
      <c r="O1364" s="29"/>
      <c r="P1364" s="30"/>
      <c r="Q1364" s="30"/>
      <c r="R1364" s="30"/>
      <c r="S1364" s="31"/>
      <c r="T1364" s="31"/>
      <c r="U1364" s="31"/>
      <c r="V1364" s="31"/>
      <c r="W1364" s="31"/>
      <c r="X1364" s="32"/>
      <c r="Y1364" s="32"/>
      <c r="Z1364" s="32"/>
    </row>
    <row r="1365" spans="1:26">
      <c r="A1365" s="28"/>
      <c r="B1365" s="17">
        <f t="shared" si="51"/>
        <v>46319</v>
      </c>
      <c r="C1365" s="26">
        <f>I1365+J1365+K1365+L1365+M1365+N1365+O1365+IF(P1365="",0,P1365*サマリー!$B$9)+IF(Q1365="",0,IF(Q1365=200,サマリー!$B$10,IF(Q1365=100,サマリー!$B$11,0)))+IF(R1365="",0,R1365*サマリー!$B$12)</f>
        <v>0</v>
      </c>
      <c r="D1365" s="26">
        <f>S1365+T1365+U1365+V1365+W1365+IF(X1365="",0,X1365*サマリー!$B$9)+IF(Y1365="",0,IF(Y1365=200,サマリー!$B$10,IF(Y1365=100,サマリー!$B$11,0)))+IF(Z1365="",0,Z1365*サマリー!$B$12)</f>
        <v>0</v>
      </c>
      <c r="E1365" s="26">
        <f t="shared" si="50"/>
        <v>0</v>
      </c>
      <c r="I1365" s="29"/>
      <c r="J1365" s="29"/>
      <c r="K1365" s="29"/>
      <c r="L1365" s="29"/>
      <c r="M1365" s="29"/>
      <c r="N1365" s="29"/>
      <c r="O1365" s="29"/>
      <c r="P1365" s="30"/>
      <c r="Q1365" s="30"/>
      <c r="R1365" s="30"/>
      <c r="S1365" s="31"/>
      <c r="T1365" s="31"/>
      <c r="U1365" s="31"/>
      <c r="V1365" s="31"/>
      <c r="W1365" s="31"/>
      <c r="X1365" s="32"/>
      <c r="Y1365" s="32"/>
      <c r="Z1365" s="32"/>
    </row>
    <row r="1366" spans="1:26">
      <c r="A1366" s="28"/>
      <c r="B1366" s="17">
        <f t="shared" si="51"/>
        <v>46319</v>
      </c>
      <c r="C1366" s="26">
        <f>I1366+J1366+K1366+L1366+M1366+N1366+O1366+IF(P1366="",0,P1366*サマリー!$B$9)+IF(Q1366="",0,IF(Q1366=200,サマリー!$B$10,IF(Q1366=100,サマリー!$B$11,0)))+IF(R1366="",0,R1366*サマリー!$B$12)</f>
        <v>0</v>
      </c>
      <c r="D1366" s="26">
        <f>S1366+T1366+U1366+V1366+W1366+IF(X1366="",0,X1366*サマリー!$B$9)+IF(Y1366="",0,IF(Y1366=200,サマリー!$B$10,IF(Y1366=100,サマリー!$B$11,0)))+IF(Z1366="",0,Z1366*サマリー!$B$12)</f>
        <v>0</v>
      </c>
      <c r="E1366" s="26">
        <f t="shared" si="50"/>
        <v>0</v>
      </c>
      <c r="I1366" s="29"/>
      <c r="J1366" s="29"/>
      <c r="K1366" s="29"/>
      <c r="L1366" s="29"/>
      <c r="M1366" s="29"/>
      <c r="N1366" s="29"/>
      <c r="O1366" s="29"/>
      <c r="P1366" s="30"/>
      <c r="Q1366" s="30"/>
      <c r="R1366" s="30"/>
      <c r="S1366" s="31"/>
      <c r="T1366" s="31"/>
      <c r="U1366" s="31"/>
      <c r="V1366" s="31"/>
      <c r="W1366" s="31"/>
      <c r="X1366" s="32"/>
      <c r="Y1366" s="32"/>
      <c r="Z1366" s="32"/>
    </row>
    <row r="1367" spans="1:26">
      <c r="A1367" s="28"/>
      <c r="B1367" s="17">
        <f t="shared" si="51"/>
        <v>46319</v>
      </c>
      <c r="C1367" s="26">
        <f>I1367+J1367+K1367+L1367+M1367+N1367+O1367+IF(P1367="",0,P1367*サマリー!$B$9)+IF(Q1367="",0,IF(Q1367=200,サマリー!$B$10,IF(Q1367=100,サマリー!$B$11,0)))+IF(R1367="",0,R1367*サマリー!$B$12)</f>
        <v>0</v>
      </c>
      <c r="D1367" s="26">
        <f>S1367+T1367+U1367+V1367+W1367+IF(X1367="",0,X1367*サマリー!$B$9)+IF(Y1367="",0,IF(Y1367=200,サマリー!$B$10,IF(Y1367=100,サマリー!$B$11,0)))+IF(Z1367="",0,Z1367*サマリー!$B$12)</f>
        <v>0</v>
      </c>
      <c r="E1367" s="26">
        <f t="shared" si="50"/>
        <v>0</v>
      </c>
      <c r="I1367" s="29"/>
      <c r="J1367" s="29"/>
      <c r="K1367" s="29"/>
      <c r="L1367" s="29"/>
      <c r="M1367" s="29"/>
      <c r="N1367" s="29"/>
      <c r="O1367" s="29"/>
      <c r="P1367" s="30"/>
      <c r="Q1367" s="30"/>
      <c r="R1367" s="30"/>
      <c r="S1367" s="31"/>
      <c r="T1367" s="31"/>
      <c r="U1367" s="31"/>
      <c r="V1367" s="31"/>
      <c r="W1367" s="31"/>
      <c r="X1367" s="32"/>
      <c r="Y1367" s="32"/>
      <c r="Z1367" s="32"/>
    </row>
    <row r="1368" spans="1:26">
      <c r="A1368" s="28"/>
      <c r="B1368" s="17">
        <f t="shared" si="51"/>
        <v>46319</v>
      </c>
      <c r="C1368" s="26">
        <f>I1368+J1368+K1368+L1368+M1368+N1368+O1368+IF(P1368="",0,P1368*サマリー!$B$9)+IF(Q1368="",0,IF(Q1368=200,サマリー!$B$10,IF(Q1368=100,サマリー!$B$11,0)))+IF(R1368="",0,R1368*サマリー!$B$12)</f>
        <v>0</v>
      </c>
      <c r="D1368" s="26">
        <f>S1368+T1368+U1368+V1368+W1368+IF(X1368="",0,X1368*サマリー!$B$9)+IF(Y1368="",0,IF(Y1368=200,サマリー!$B$10,IF(Y1368=100,サマリー!$B$11,0)))+IF(Z1368="",0,Z1368*サマリー!$B$12)</f>
        <v>0</v>
      </c>
      <c r="E1368" s="26">
        <f t="shared" si="50"/>
        <v>0</v>
      </c>
      <c r="I1368" s="29"/>
      <c r="J1368" s="29"/>
      <c r="K1368" s="29"/>
      <c r="L1368" s="29"/>
      <c r="M1368" s="29"/>
      <c r="N1368" s="29"/>
      <c r="O1368" s="29"/>
      <c r="P1368" s="30"/>
      <c r="Q1368" s="30"/>
      <c r="R1368" s="30"/>
      <c r="S1368" s="31"/>
      <c r="T1368" s="31"/>
      <c r="U1368" s="31"/>
      <c r="V1368" s="31"/>
      <c r="W1368" s="31"/>
      <c r="X1368" s="32"/>
      <c r="Y1368" s="32"/>
      <c r="Z1368" s="32"/>
    </row>
    <row r="1369" spans="1:26">
      <c r="A1369" s="28"/>
      <c r="B1369" s="17">
        <f t="shared" si="51"/>
        <v>46319</v>
      </c>
      <c r="C1369" s="26">
        <f>I1369+J1369+K1369+L1369+M1369+N1369+O1369+IF(P1369="",0,P1369*サマリー!$B$9)+IF(Q1369="",0,IF(Q1369=200,サマリー!$B$10,IF(Q1369=100,サマリー!$B$11,0)))+IF(R1369="",0,R1369*サマリー!$B$12)</f>
        <v>0</v>
      </c>
      <c r="D1369" s="26">
        <f>S1369+T1369+U1369+V1369+W1369+IF(X1369="",0,X1369*サマリー!$B$9)+IF(Y1369="",0,IF(Y1369=200,サマリー!$B$10,IF(Y1369=100,サマリー!$B$11,0)))+IF(Z1369="",0,Z1369*サマリー!$B$12)</f>
        <v>0</v>
      </c>
      <c r="E1369" s="26">
        <f t="shared" si="50"/>
        <v>0</v>
      </c>
      <c r="I1369" s="29"/>
      <c r="J1369" s="29"/>
      <c r="K1369" s="29"/>
      <c r="L1369" s="29"/>
      <c r="M1369" s="29"/>
      <c r="N1369" s="29"/>
      <c r="O1369" s="29"/>
      <c r="P1369" s="30"/>
      <c r="Q1369" s="30"/>
      <c r="R1369" s="30"/>
      <c r="S1369" s="31"/>
      <c r="T1369" s="31"/>
      <c r="U1369" s="31"/>
      <c r="V1369" s="31"/>
      <c r="W1369" s="31"/>
      <c r="X1369" s="32"/>
      <c r="Y1369" s="32"/>
      <c r="Z1369" s="32"/>
    </row>
    <row r="1370" spans="1:26">
      <c r="A1370" s="28"/>
      <c r="B1370" s="17">
        <f t="shared" si="51"/>
        <v>46319</v>
      </c>
      <c r="C1370" s="26">
        <f>I1370+J1370+K1370+L1370+M1370+N1370+O1370+IF(P1370="",0,P1370*サマリー!$B$9)+IF(Q1370="",0,IF(Q1370=200,サマリー!$B$10,IF(Q1370=100,サマリー!$B$11,0)))+IF(R1370="",0,R1370*サマリー!$B$12)</f>
        <v>0</v>
      </c>
      <c r="D1370" s="26">
        <f>S1370+T1370+U1370+V1370+W1370+IF(X1370="",0,X1370*サマリー!$B$9)+IF(Y1370="",0,IF(Y1370=200,サマリー!$B$10,IF(Y1370=100,サマリー!$B$11,0)))+IF(Z1370="",0,Z1370*サマリー!$B$12)</f>
        <v>0</v>
      </c>
      <c r="E1370" s="26">
        <f t="shared" si="50"/>
        <v>0</v>
      </c>
      <c r="I1370" s="29"/>
      <c r="J1370" s="29"/>
      <c r="K1370" s="29"/>
      <c r="L1370" s="29"/>
      <c r="M1370" s="29"/>
      <c r="N1370" s="29"/>
      <c r="O1370" s="29"/>
      <c r="P1370" s="30"/>
      <c r="Q1370" s="30"/>
      <c r="R1370" s="30"/>
      <c r="S1370" s="31"/>
      <c r="T1370" s="31"/>
      <c r="U1370" s="31"/>
      <c r="V1370" s="31"/>
      <c r="W1370" s="31"/>
      <c r="X1370" s="32"/>
      <c r="Y1370" s="32"/>
      <c r="Z1370" s="32"/>
    </row>
    <row r="1371" spans="1:26">
      <c r="A1371" s="28"/>
      <c r="B1371" s="17">
        <f t="shared" si="51"/>
        <v>46319</v>
      </c>
      <c r="C1371" s="26">
        <f>I1371+J1371+K1371+L1371+M1371+N1371+O1371+IF(P1371="",0,P1371*サマリー!$B$9)+IF(Q1371="",0,IF(Q1371=200,サマリー!$B$10,IF(Q1371=100,サマリー!$B$11,0)))+IF(R1371="",0,R1371*サマリー!$B$12)</f>
        <v>0</v>
      </c>
      <c r="D1371" s="26">
        <f>S1371+T1371+U1371+V1371+W1371+IF(X1371="",0,X1371*サマリー!$B$9)+IF(Y1371="",0,IF(Y1371=200,サマリー!$B$10,IF(Y1371=100,サマリー!$B$11,0)))+IF(Z1371="",0,Z1371*サマリー!$B$12)</f>
        <v>0</v>
      </c>
      <c r="E1371" s="26">
        <f t="shared" si="50"/>
        <v>0</v>
      </c>
      <c r="I1371" s="29"/>
      <c r="J1371" s="29"/>
      <c r="K1371" s="29"/>
      <c r="L1371" s="29"/>
      <c r="M1371" s="29"/>
      <c r="N1371" s="29"/>
      <c r="O1371" s="29"/>
      <c r="P1371" s="30"/>
      <c r="Q1371" s="30"/>
      <c r="R1371" s="30"/>
      <c r="S1371" s="31"/>
      <c r="T1371" s="31"/>
      <c r="U1371" s="31"/>
      <c r="V1371" s="31"/>
      <c r="W1371" s="31"/>
      <c r="X1371" s="32"/>
      <c r="Y1371" s="32"/>
      <c r="Z1371" s="32"/>
    </row>
    <row r="1372" spans="1:26">
      <c r="A1372" s="28"/>
      <c r="B1372" s="17">
        <f t="shared" si="51"/>
        <v>46319</v>
      </c>
      <c r="C1372" s="26">
        <f>I1372+J1372+K1372+L1372+M1372+N1372+O1372+IF(P1372="",0,P1372*サマリー!$B$9)+IF(Q1372="",0,IF(Q1372=200,サマリー!$B$10,IF(Q1372=100,サマリー!$B$11,0)))+IF(R1372="",0,R1372*サマリー!$B$12)</f>
        <v>0</v>
      </c>
      <c r="D1372" s="26">
        <f>S1372+T1372+U1372+V1372+W1372+IF(X1372="",0,X1372*サマリー!$B$9)+IF(Y1372="",0,IF(Y1372=200,サマリー!$B$10,IF(Y1372=100,サマリー!$B$11,0)))+IF(Z1372="",0,Z1372*サマリー!$B$12)</f>
        <v>0</v>
      </c>
      <c r="E1372" s="26">
        <f t="shared" si="50"/>
        <v>0</v>
      </c>
      <c r="I1372" s="29"/>
      <c r="J1372" s="29"/>
      <c r="K1372" s="29"/>
      <c r="L1372" s="29"/>
      <c r="M1372" s="29"/>
      <c r="N1372" s="29"/>
      <c r="O1372" s="29"/>
      <c r="P1372" s="30"/>
      <c r="Q1372" s="30"/>
      <c r="R1372" s="30"/>
      <c r="S1372" s="31"/>
      <c r="T1372" s="31"/>
      <c r="U1372" s="31"/>
      <c r="V1372" s="31"/>
      <c r="W1372" s="31"/>
      <c r="X1372" s="32"/>
      <c r="Y1372" s="32"/>
      <c r="Z1372" s="32"/>
    </row>
    <row r="1373" spans="1:26">
      <c r="A1373" s="28"/>
      <c r="B1373" s="17">
        <f t="shared" si="51"/>
        <v>46319</v>
      </c>
      <c r="C1373" s="26">
        <f>I1373+J1373+K1373+L1373+M1373+N1373+O1373+IF(P1373="",0,P1373*サマリー!$B$9)+IF(Q1373="",0,IF(Q1373=200,サマリー!$B$10,IF(Q1373=100,サマリー!$B$11,0)))+IF(R1373="",0,R1373*サマリー!$B$12)</f>
        <v>0</v>
      </c>
      <c r="D1373" s="26">
        <f>S1373+T1373+U1373+V1373+W1373+IF(X1373="",0,X1373*サマリー!$B$9)+IF(Y1373="",0,IF(Y1373=200,サマリー!$B$10,IF(Y1373=100,サマリー!$B$11,0)))+IF(Z1373="",0,Z1373*サマリー!$B$12)</f>
        <v>0</v>
      </c>
      <c r="E1373" s="26">
        <f t="shared" si="50"/>
        <v>0</v>
      </c>
      <c r="I1373" s="29"/>
      <c r="J1373" s="29"/>
      <c r="K1373" s="29"/>
      <c r="L1373" s="29"/>
      <c r="M1373" s="29"/>
      <c r="N1373" s="29"/>
      <c r="O1373" s="29"/>
      <c r="P1373" s="30"/>
      <c r="Q1373" s="30"/>
      <c r="R1373" s="30"/>
      <c r="S1373" s="31"/>
      <c r="T1373" s="31"/>
      <c r="U1373" s="31"/>
      <c r="V1373" s="31"/>
      <c r="W1373" s="31"/>
      <c r="X1373" s="32"/>
      <c r="Y1373" s="32"/>
      <c r="Z1373" s="32"/>
    </row>
    <row r="1374" spans="1:26">
      <c r="A1374" s="28"/>
      <c r="B1374" s="17">
        <f t="shared" si="51"/>
        <v>46319</v>
      </c>
      <c r="C1374" s="26">
        <f>I1374+J1374+K1374+L1374+M1374+N1374+O1374+IF(P1374="",0,P1374*サマリー!$B$9)+IF(Q1374="",0,IF(Q1374=200,サマリー!$B$10,IF(Q1374=100,サマリー!$B$11,0)))+IF(R1374="",0,R1374*サマリー!$B$12)</f>
        <v>0</v>
      </c>
      <c r="D1374" s="26">
        <f>S1374+T1374+U1374+V1374+W1374+IF(X1374="",0,X1374*サマリー!$B$9)+IF(Y1374="",0,IF(Y1374=200,サマリー!$B$10,IF(Y1374=100,サマリー!$B$11,0)))+IF(Z1374="",0,Z1374*サマリー!$B$12)</f>
        <v>0</v>
      </c>
      <c r="E1374" s="26">
        <f t="shared" si="50"/>
        <v>0</v>
      </c>
      <c r="I1374" s="29"/>
      <c r="J1374" s="29"/>
      <c r="K1374" s="29"/>
      <c r="L1374" s="29"/>
      <c r="M1374" s="29"/>
      <c r="N1374" s="29"/>
      <c r="O1374" s="29"/>
      <c r="P1374" s="30"/>
      <c r="Q1374" s="30"/>
      <c r="R1374" s="30"/>
      <c r="S1374" s="31"/>
      <c r="T1374" s="31"/>
      <c r="U1374" s="31"/>
      <c r="V1374" s="31"/>
      <c r="W1374" s="31"/>
      <c r="X1374" s="32"/>
      <c r="Y1374" s="32"/>
      <c r="Z1374" s="32"/>
    </row>
    <row r="1375" spans="1:26">
      <c r="A1375" s="28"/>
      <c r="B1375" s="17">
        <f t="shared" si="51"/>
        <v>46319</v>
      </c>
      <c r="C1375" s="26">
        <f>I1375+J1375+K1375+L1375+M1375+N1375+O1375+IF(P1375="",0,P1375*サマリー!$B$9)+IF(Q1375="",0,IF(Q1375=200,サマリー!$B$10,IF(Q1375=100,サマリー!$B$11,0)))+IF(R1375="",0,R1375*サマリー!$B$12)</f>
        <v>0</v>
      </c>
      <c r="D1375" s="26">
        <f>S1375+T1375+U1375+V1375+W1375+IF(X1375="",0,X1375*サマリー!$B$9)+IF(Y1375="",0,IF(Y1375=200,サマリー!$B$10,IF(Y1375=100,サマリー!$B$11,0)))+IF(Z1375="",0,Z1375*サマリー!$B$12)</f>
        <v>0</v>
      </c>
      <c r="E1375" s="26">
        <f t="shared" si="50"/>
        <v>0</v>
      </c>
      <c r="I1375" s="29"/>
      <c r="J1375" s="29"/>
      <c r="K1375" s="29"/>
      <c r="L1375" s="29"/>
      <c r="M1375" s="29"/>
      <c r="N1375" s="29"/>
      <c r="O1375" s="29"/>
      <c r="P1375" s="30"/>
      <c r="Q1375" s="30"/>
      <c r="R1375" s="30"/>
      <c r="S1375" s="31"/>
      <c r="T1375" s="31"/>
      <c r="U1375" s="31"/>
      <c r="V1375" s="31"/>
      <c r="W1375" s="31"/>
      <c r="X1375" s="32"/>
      <c r="Y1375" s="32"/>
      <c r="Z1375" s="32"/>
    </row>
    <row r="1376" spans="1:26">
      <c r="A1376" s="28"/>
      <c r="B1376" s="17">
        <f t="shared" si="51"/>
        <v>46319</v>
      </c>
      <c r="C1376" s="26">
        <f>I1376+J1376+K1376+L1376+M1376+N1376+O1376+IF(P1376="",0,P1376*サマリー!$B$9)+IF(Q1376="",0,IF(Q1376=200,サマリー!$B$10,IF(Q1376=100,サマリー!$B$11,0)))+IF(R1376="",0,R1376*サマリー!$B$12)</f>
        <v>0</v>
      </c>
      <c r="D1376" s="26">
        <f>S1376+T1376+U1376+V1376+W1376+IF(X1376="",0,X1376*サマリー!$B$9)+IF(Y1376="",0,IF(Y1376=200,サマリー!$B$10,IF(Y1376=100,サマリー!$B$11,0)))+IF(Z1376="",0,Z1376*サマリー!$B$12)</f>
        <v>0</v>
      </c>
      <c r="E1376" s="26">
        <f t="shared" si="50"/>
        <v>0</v>
      </c>
      <c r="I1376" s="29"/>
      <c r="J1376" s="29"/>
      <c r="K1376" s="29"/>
      <c r="L1376" s="29"/>
      <c r="M1376" s="29"/>
      <c r="N1376" s="29"/>
      <c r="O1376" s="29"/>
      <c r="P1376" s="30"/>
      <c r="Q1376" s="30"/>
      <c r="R1376" s="30"/>
      <c r="S1376" s="31"/>
      <c r="T1376" s="31"/>
      <c r="U1376" s="31"/>
      <c r="V1376" s="31"/>
      <c r="W1376" s="31"/>
      <c r="X1376" s="32"/>
      <c r="Y1376" s="32"/>
      <c r="Z1376" s="32"/>
    </row>
    <row r="1377" spans="1:26">
      <c r="A1377" s="28"/>
      <c r="B1377" s="17">
        <f t="shared" si="51"/>
        <v>46319</v>
      </c>
      <c r="C1377" s="26">
        <f>I1377+J1377+K1377+L1377+M1377+N1377+O1377+IF(P1377="",0,P1377*サマリー!$B$9)+IF(Q1377="",0,IF(Q1377=200,サマリー!$B$10,IF(Q1377=100,サマリー!$B$11,0)))+IF(R1377="",0,R1377*サマリー!$B$12)</f>
        <v>0</v>
      </c>
      <c r="D1377" s="26">
        <f>S1377+T1377+U1377+V1377+W1377+IF(X1377="",0,X1377*サマリー!$B$9)+IF(Y1377="",0,IF(Y1377=200,サマリー!$B$10,IF(Y1377=100,サマリー!$B$11,0)))+IF(Z1377="",0,Z1377*サマリー!$B$12)</f>
        <v>0</v>
      </c>
      <c r="E1377" s="26">
        <f t="shared" si="50"/>
        <v>0</v>
      </c>
      <c r="I1377" s="29"/>
      <c r="J1377" s="29"/>
      <c r="K1377" s="29"/>
      <c r="L1377" s="29"/>
      <c r="M1377" s="29"/>
      <c r="N1377" s="29"/>
      <c r="O1377" s="29"/>
      <c r="P1377" s="30"/>
      <c r="Q1377" s="30"/>
      <c r="R1377" s="30"/>
      <c r="S1377" s="31"/>
      <c r="T1377" s="31"/>
      <c r="U1377" s="31"/>
      <c r="V1377" s="31"/>
      <c r="W1377" s="31"/>
      <c r="X1377" s="32"/>
      <c r="Y1377" s="32"/>
      <c r="Z1377" s="32"/>
    </row>
    <row r="1378" spans="1:26">
      <c r="A1378" s="28"/>
      <c r="B1378" s="17">
        <f t="shared" si="51"/>
        <v>46319</v>
      </c>
      <c r="C1378" s="26">
        <f>I1378+J1378+K1378+L1378+M1378+N1378+O1378+IF(P1378="",0,P1378*サマリー!$B$9)+IF(Q1378="",0,IF(Q1378=200,サマリー!$B$10,IF(Q1378=100,サマリー!$B$11,0)))+IF(R1378="",0,R1378*サマリー!$B$12)</f>
        <v>0</v>
      </c>
      <c r="D1378" s="26">
        <f>S1378+T1378+U1378+V1378+W1378+IF(X1378="",0,X1378*サマリー!$B$9)+IF(Y1378="",0,IF(Y1378=200,サマリー!$B$10,IF(Y1378=100,サマリー!$B$11,0)))+IF(Z1378="",0,Z1378*サマリー!$B$12)</f>
        <v>0</v>
      </c>
      <c r="E1378" s="26">
        <f t="shared" si="50"/>
        <v>0</v>
      </c>
      <c r="I1378" s="29"/>
      <c r="J1378" s="29"/>
      <c r="K1378" s="29"/>
      <c r="L1378" s="29"/>
      <c r="M1378" s="29"/>
      <c r="N1378" s="29"/>
      <c r="O1378" s="29"/>
      <c r="P1378" s="30"/>
      <c r="Q1378" s="30"/>
      <c r="R1378" s="30"/>
      <c r="S1378" s="31"/>
      <c r="T1378" s="31"/>
      <c r="U1378" s="31"/>
      <c r="V1378" s="31"/>
      <c r="W1378" s="31"/>
      <c r="X1378" s="32"/>
      <c r="Y1378" s="32"/>
      <c r="Z1378" s="32"/>
    </row>
    <row r="1379" spans="1:26">
      <c r="A1379" s="28"/>
      <c r="B1379" s="17">
        <f t="shared" si="51"/>
        <v>46319</v>
      </c>
      <c r="C1379" s="26">
        <f>I1379+J1379+K1379+L1379+M1379+N1379+O1379+IF(P1379="",0,P1379*サマリー!$B$9)+IF(Q1379="",0,IF(Q1379=200,サマリー!$B$10,IF(Q1379=100,サマリー!$B$11,0)))+IF(R1379="",0,R1379*サマリー!$B$12)</f>
        <v>0</v>
      </c>
      <c r="D1379" s="26">
        <f>S1379+T1379+U1379+V1379+W1379+IF(X1379="",0,X1379*サマリー!$B$9)+IF(Y1379="",0,IF(Y1379=200,サマリー!$B$10,IF(Y1379=100,サマリー!$B$11,0)))+IF(Z1379="",0,Z1379*サマリー!$B$12)</f>
        <v>0</v>
      </c>
      <c r="E1379" s="26">
        <f t="shared" ref="E1379:E1384" si="52">C1379+D1379</f>
        <v>0</v>
      </c>
      <c r="I1379" s="29"/>
      <c r="J1379" s="29"/>
      <c r="K1379" s="29"/>
      <c r="L1379" s="29"/>
      <c r="M1379" s="29"/>
      <c r="N1379" s="29"/>
      <c r="O1379" s="29"/>
      <c r="P1379" s="30"/>
      <c r="Q1379" s="30"/>
      <c r="R1379" s="30"/>
      <c r="S1379" s="31"/>
      <c r="T1379" s="31"/>
      <c r="U1379" s="31"/>
      <c r="V1379" s="31"/>
      <c r="W1379" s="31"/>
      <c r="X1379" s="32"/>
      <c r="Y1379" s="32"/>
      <c r="Z1379" s="32"/>
    </row>
    <row r="1380" spans="1:26">
      <c r="A1380" s="28"/>
      <c r="B1380" s="17">
        <f t="shared" si="51"/>
        <v>46319</v>
      </c>
      <c r="C1380" s="26">
        <f>I1380+J1380+K1380+L1380+M1380+N1380+O1380+IF(P1380="",0,P1380*サマリー!$B$9)+IF(Q1380="",0,IF(Q1380=200,サマリー!$B$10,IF(Q1380=100,サマリー!$B$11,0)))+IF(R1380="",0,R1380*サマリー!$B$12)</f>
        <v>0</v>
      </c>
      <c r="D1380" s="26">
        <f>S1380+T1380+U1380+V1380+W1380+IF(X1380="",0,X1380*サマリー!$B$9)+IF(Y1380="",0,IF(Y1380=200,サマリー!$B$10,IF(Y1380=100,サマリー!$B$11,0)))+IF(Z1380="",0,Z1380*サマリー!$B$12)</f>
        <v>0</v>
      </c>
      <c r="E1380" s="26">
        <f t="shared" si="52"/>
        <v>0</v>
      </c>
      <c r="I1380" s="29"/>
      <c r="J1380" s="29"/>
      <c r="K1380" s="29"/>
      <c r="L1380" s="29"/>
      <c r="M1380" s="29"/>
      <c r="N1380" s="29"/>
      <c r="O1380" s="29"/>
      <c r="P1380" s="30"/>
      <c r="Q1380" s="30"/>
      <c r="R1380" s="30"/>
      <c r="S1380" s="31"/>
      <c r="T1380" s="31"/>
      <c r="U1380" s="31"/>
      <c r="V1380" s="31"/>
      <c r="W1380" s="31"/>
      <c r="X1380" s="32"/>
      <c r="Y1380" s="32"/>
      <c r="Z1380" s="32"/>
    </row>
    <row r="1381" spans="1:26">
      <c r="A1381" s="28"/>
      <c r="B1381" s="17">
        <f t="shared" si="51"/>
        <v>46319</v>
      </c>
      <c r="C1381" s="26">
        <f>I1381+J1381+K1381+L1381+M1381+N1381+O1381+IF(P1381="",0,P1381*サマリー!$B$9)+IF(Q1381="",0,IF(Q1381=200,サマリー!$B$10,IF(Q1381=100,サマリー!$B$11,0)))+IF(R1381="",0,R1381*サマリー!$B$12)</f>
        <v>0</v>
      </c>
      <c r="D1381" s="26">
        <f>S1381+T1381+U1381+V1381+W1381+IF(X1381="",0,X1381*サマリー!$B$9)+IF(Y1381="",0,IF(Y1381=200,サマリー!$B$10,IF(Y1381=100,サマリー!$B$11,0)))+IF(Z1381="",0,Z1381*サマリー!$B$12)</f>
        <v>0</v>
      </c>
      <c r="E1381" s="26">
        <f t="shared" si="52"/>
        <v>0</v>
      </c>
      <c r="I1381" s="29"/>
      <c r="J1381" s="29"/>
      <c r="K1381" s="29"/>
      <c r="L1381" s="29"/>
      <c r="M1381" s="29"/>
      <c r="N1381" s="29"/>
      <c r="O1381" s="29"/>
      <c r="P1381" s="30"/>
      <c r="Q1381" s="30"/>
      <c r="R1381" s="30"/>
      <c r="S1381" s="31"/>
      <c r="T1381" s="31"/>
      <c r="U1381" s="31"/>
      <c r="V1381" s="31"/>
      <c r="W1381" s="31"/>
      <c r="X1381" s="32"/>
      <c r="Y1381" s="32"/>
      <c r="Z1381" s="32"/>
    </row>
    <row r="1382" spans="1:26">
      <c r="A1382" s="28"/>
      <c r="B1382" s="17">
        <f t="shared" si="51"/>
        <v>46319</v>
      </c>
      <c r="C1382" s="26">
        <f>I1382+J1382+K1382+L1382+M1382+N1382+O1382+IF(P1382="",0,P1382*サマリー!$B$9)+IF(Q1382="",0,IF(Q1382=200,サマリー!$B$10,IF(Q1382=100,サマリー!$B$11,0)))+IF(R1382="",0,R1382*サマリー!$B$12)</f>
        <v>0</v>
      </c>
      <c r="D1382" s="26">
        <f>S1382+T1382+U1382+V1382+W1382+IF(X1382="",0,X1382*サマリー!$B$9)+IF(Y1382="",0,IF(Y1382=200,サマリー!$B$10,IF(Y1382=100,サマリー!$B$11,0)))+IF(Z1382="",0,Z1382*サマリー!$B$12)</f>
        <v>0</v>
      </c>
      <c r="E1382" s="26">
        <f t="shared" si="52"/>
        <v>0</v>
      </c>
      <c r="I1382" s="29"/>
      <c r="J1382" s="29"/>
      <c r="K1382" s="29"/>
      <c r="L1382" s="29"/>
      <c r="M1382" s="29"/>
      <c r="N1382" s="29"/>
      <c r="O1382" s="29"/>
      <c r="P1382" s="30"/>
      <c r="Q1382" s="30"/>
      <c r="R1382" s="30"/>
      <c r="S1382" s="31"/>
      <c r="T1382" s="31"/>
      <c r="U1382" s="31"/>
      <c r="V1382" s="31"/>
      <c r="W1382" s="31"/>
      <c r="X1382" s="32"/>
      <c r="Y1382" s="32"/>
      <c r="Z1382" s="32"/>
    </row>
    <row r="1383" spans="1:26">
      <c r="A1383" s="28"/>
      <c r="B1383" s="17">
        <f t="shared" si="51"/>
        <v>46319</v>
      </c>
      <c r="C1383" s="26">
        <f>I1383+J1383+K1383+L1383+M1383+N1383+O1383+IF(P1383="",0,P1383*サマリー!$B$9)+IF(Q1383="",0,IF(Q1383=200,サマリー!$B$10,IF(Q1383=100,サマリー!$B$11,0)))+IF(R1383="",0,R1383*サマリー!$B$12)</f>
        <v>0</v>
      </c>
      <c r="D1383" s="26">
        <f>S1383+T1383+U1383+V1383+W1383+IF(X1383="",0,X1383*サマリー!$B$9)+IF(Y1383="",0,IF(Y1383=200,サマリー!$B$10,IF(Y1383=100,サマリー!$B$11,0)))+IF(Z1383="",0,Z1383*サマリー!$B$12)</f>
        <v>0</v>
      </c>
      <c r="E1383" s="26">
        <f t="shared" si="52"/>
        <v>0</v>
      </c>
      <c r="I1383" s="29"/>
      <c r="J1383" s="29"/>
      <c r="K1383" s="29"/>
      <c r="L1383" s="29"/>
      <c r="M1383" s="29"/>
      <c r="N1383" s="29"/>
      <c r="O1383" s="29"/>
      <c r="P1383" s="30"/>
      <c r="Q1383" s="30"/>
      <c r="R1383" s="30"/>
      <c r="S1383" s="31"/>
      <c r="T1383" s="31"/>
      <c r="U1383" s="31"/>
      <c r="V1383" s="31"/>
      <c r="W1383" s="31"/>
      <c r="X1383" s="32"/>
      <c r="Y1383" s="32"/>
      <c r="Z1383" s="32"/>
    </row>
    <row r="1384" spans="1:26">
      <c r="A1384" s="28"/>
      <c r="B1384" s="17">
        <f t="shared" si="51"/>
        <v>46319</v>
      </c>
      <c r="C1384" s="26">
        <f>I1384+J1384+K1384+L1384+M1384+N1384+O1384+IF(P1384="",0,P1384*サマリー!$B$9)+IF(Q1384="",0,IF(Q1384=200,サマリー!$B$10,IF(Q1384=100,サマリー!$B$11,0)))+IF(R1384="",0,R1384*サマリー!$B$12)</f>
        <v>0</v>
      </c>
      <c r="D1384" s="26">
        <f>S1384+T1384+U1384+V1384+W1384+IF(X1384="",0,X1384*サマリー!$B$9)+IF(Y1384="",0,IF(Y1384=200,サマリー!$B$10,IF(Y1384=100,サマリー!$B$11,0)))+IF(Z1384="",0,Z1384*サマリー!$B$12)</f>
        <v>0</v>
      </c>
      <c r="E1384" s="26">
        <f t="shared" si="52"/>
        <v>0</v>
      </c>
      <c r="I1384" s="29"/>
      <c r="J1384" s="29"/>
      <c r="K1384" s="29"/>
      <c r="L1384" s="29"/>
      <c r="M1384" s="29"/>
      <c r="N1384" s="29"/>
      <c r="O1384" s="29"/>
      <c r="P1384" s="30"/>
      <c r="Q1384" s="30"/>
      <c r="R1384" s="30"/>
      <c r="S1384" s="31"/>
      <c r="T1384" s="31"/>
      <c r="U1384" s="31"/>
      <c r="V1384" s="31"/>
      <c r="W1384" s="31"/>
      <c r="X1384" s="32"/>
      <c r="Y1384" s="32"/>
      <c r="Z1384" s="32"/>
    </row>
  </sheetData>
  <mergeCells count="3">
    <mergeCell ref="A1:Z1"/>
    <mergeCell ref="I4:R4"/>
    <mergeCell ref="S4:Z4"/>
  </mergeCells>
  <phoneticPr fontId="19"/>
  <conditionalFormatting sqref="A6:Z165 A167:Z440 A459:Z1384 B166">
    <cfRule type="expression" dxfId="12" priority="6">
      <formula>AND(COUNTA($I6:$Z6)=0,COUNTA($I5:$Z5)&gt;0)</formula>
    </cfRule>
  </conditionalFormatting>
  <conditionalFormatting sqref="A166:Z166">
    <cfRule type="expression" dxfId="11" priority="1946">
      <formula>AND(COUNTA($I166:$Z166)=0,COUNTA(#REF!)&gt;0)</formula>
    </cfRule>
  </conditionalFormatting>
  <conditionalFormatting sqref="B6:B440 B459:B1384">
    <cfRule type="expression" dxfId="9" priority="1944">
      <formula>NOT(_xludf.isformula(B6))</formula>
    </cfRule>
  </conditionalFormatting>
  <conditionalFormatting sqref="B3:C3">
    <cfRule type="cellIs" dxfId="8" priority="1938" operator="equal">
      <formula>0</formula>
    </cfRule>
    <cfRule type="cellIs" dxfId="7" priority="1939" operator="greaterThan">
      <formula>0</formula>
    </cfRule>
  </conditionalFormatting>
  <conditionalFormatting sqref="E3">
    <cfRule type="cellIs" dxfId="6" priority="1940" operator="equal">
      <formula>0</formula>
    </cfRule>
    <cfRule type="cellIs" dxfId="5" priority="1941" operator="greaterThan">
      <formula>0</formula>
    </cfRule>
  </conditionalFormatting>
  <conditionalFormatting sqref="I6:Z440 I459:Z1384">
    <cfRule type="expression" dxfId="4" priority="5">
      <formula>NOT(ISBLANK(I6))</formula>
    </cfRule>
  </conditionalFormatting>
  <conditionalFormatting sqref="A441:Z441 A443:Z458 B442">
    <cfRule type="expression" dxfId="3" priority="2">
      <formula>AND(COUNTA($I441:$Z441)=0,COUNTA($I440:$Z440)&gt;0)</formula>
    </cfRule>
  </conditionalFormatting>
  <conditionalFormatting sqref="A442:Z442">
    <cfRule type="expression" dxfId="2" priority="4">
      <formula>AND(COUNTA($I442:$Z442)=0,COUNTA(#REF!)&gt;0)</formula>
    </cfRule>
  </conditionalFormatting>
  <conditionalFormatting sqref="B441:B458">
    <cfRule type="expression" dxfId="1" priority="3">
      <formula>NOT(_xludf.isformula(B441))</formula>
    </cfRule>
  </conditionalFormatting>
  <conditionalFormatting sqref="I441:Z458">
    <cfRule type="expression" dxfId="0" priority="1">
      <formula>NOT(ISBLANK(I441))</formula>
    </cfRule>
  </conditionalFormatting>
  <dataValidations count="5">
    <dataValidation type="whole" allowBlank="1" sqref="A6:A1384" xr:uid="{00000000-0002-0000-0100-000000000000}">
      <formula1>1</formula1>
      <formula2>31</formula2>
    </dataValidation>
    <dataValidation type="list" allowBlank="1" sqref="X6:X1384 P6:P1384" xr:uid="{00000000-0002-0000-0100-000001000000}">
      <formula1>"1,2,3,4"</formula1>
      <formula2>0</formula2>
    </dataValidation>
    <dataValidation type="list" allowBlank="1" sqref="Y6:Y1384 Q6:Q1384" xr:uid="{00000000-0002-0000-0100-000002000000}">
      <formula1>"100,200"</formula1>
      <formula2>0</formula2>
    </dataValidation>
    <dataValidation type="decimal" operator="greaterThanOrEqual" allowBlank="1" sqref="S6:W1384 I6:O1384" xr:uid="{00000000-0002-0000-0100-000003000000}">
      <formula1>0</formula1>
      <formula2>0</formula2>
    </dataValidation>
    <dataValidation type="whole" operator="greaterThanOrEqual" allowBlank="1" sqref="Z6:Z1384 R6:R1384" xr:uid="{00000000-0002-0000-0100-000004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58"/>
  <sheetViews>
    <sheetView showGridLines="0" zoomScaleNormal="100" workbookViewId="0">
      <pane ySplit="2" topLeftCell="A30" activePane="bottomLeft" state="frozen"/>
      <selection pane="bottomLeft" activeCell="D53" sqref="D53"/>
    </sheetView>
  </sheetViews>
  <sheetFormatPr defaultColWidth="8.7109375" defaultRowHeight="15"/>
  <cols>
    <col min="1" max="1" width="8" customWidth="1"/>
    <col min="2" max="3" width="12" customWidth="1"/>
    <col min="4" max="8" width="14" customWidth="1"/>
    <col min="9" max="11" width="10" customWidth="1"/>
  </cols>
  <sheetData>
    <row r="1" spans="1:11" ht="24" customHeight="1">
      <c r="A1" s="37" t="s">
        <v>74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30" customHeight="1">
      <c r="A2" s="12" t="s">
        <v>75</v>
      </c>
      <c r="B2" s="12" t="s">
        <v>76</v>
      </c>
      <c r="C2" s="12" t="s">
        <v>77</v>
      </c>
      <c r="D2" s="12" t="s">
        <v>78</v>
      </c>
      <c r="E2" s="12" t="s">
        <v>79</v>
      </c>
      <c r="F2" s="12" t="s">
        <v>80</v>
      </c>
      <c r="G2" s="12" t="s">
        <v>81</v>
      </c>
      <c r="H2" s="12" t="s">
        <v>82</v>
      </c>
      <c r="I2" s="12" t="s">
        <v>23</v>
      </c>
      <c r="J2" s="12" t="s">
        <v>83</v>
      </c>
      <c r="K2" s="12" t="s">
        <v>84</v>
      </c>
    </row>
    <row r="3" spans="1:11">
      <c r="A3" s="13">
        <v>1</v>
      </c>
      <c r="B3" s="17">
        <f>サマリー!$B$14-WEEKDAY(サマリー!$B$14,2)+1+(1-1)*7</f>
        <v>45957</v>
      </c>
      <c r="C3" s="17">
        <f t="shared" ref="C3:C34" si="0">B3+6</f>
        <v>45963</v>
      </c>
      <c r="D3" s="14">
        <f>SUMIFS(受注ログ!$C$6:$C$99901,受注ログ!$B$6:$B$99901,"&gt;="&amp;B3,受注ログ!$B$6:$B$99901,"&lt;="&amp;C3)</f>
        <v>0</v>
      </c>
      <c r="E3" s="14">
        <f>SUMIFS(受注ログ!$D$6:$D$99901,受注ログ!$B$6:$B$99901,"&gt;="&amp;B3,受注ログ!$B$6:$B$99901,"&lt;="&amp;C3)</f>
        <v>0</v>
      </c>
      <c r="F3" s="14">
        <f t="shared" ref="F3:F34" si="1">D3+E3</f>
        <v>0</v>
      </c>
      <c r="G3" s="14">
        <f>サマリー!$B$15</f>
        <v>500000</v>
      </c>
      <c r="H3" s="33">
        <f t="shared" ref="H3:H34" si="2">F3-G3</f>
        <v>-500000</v>
      </c>
      <c r="I3" s="15">
        <f t="shared" ref="I3:I34" si="3">IFERROR(F3/G3,0)</f>
        <v>0</v>
      </c>
      <c r="J3" s="15">
        <f>IFERROR(D3/サマリー!$B$7,0)</f>
        <v>0</v>
      </c>
      <c r="K3" s="15">
        <f>IFERROR(E3/サマリー!$B$7,0)</f>
        <v>0</v>
      </c>
    </row>
    <row r="4" spans="1:11">
      <c r="A4" s="13">
        <v>2</v>
      </c>
      <c r="B4" s="17">
        <f>サマリー!$B$14-WEEKDAY(サマリー!$B$14,2)+1+(2-1)*7</f>
        <v>45964</v>
      </c>
      <c r="C4" s="17">
        <f t="shared" si="0"/>
        <v>45970</v>
      </c>
      <c r="D4" s="14">
        <f>SUMIFS(受注ログ!$C$6:$C$99901,受注ログ!$B$6:$B$99901,"&gt;="&amp;B4,受注ログ!$B$6:$B$99901,"&lt;="&amp;C4)</f>
        <v>0</v>
      </c>
      <c r="E4" s="14">
        <f>SUMIFS(受注ログ!$D$6:$D$99901,受注ログ!$B$6:$B$99901,"&gt;="&amp;B4,受注ログ!$B$6:$B$99901,"&lt;="&amp;C4)</f>
        <v>0</v>
      </c>
      <c r="F4" s="14">
        <f t="shared" si="1"/>
        <v>0</v>
      </c>
      <c r="G4" s="14">
        <f>サマリー!$B$15</f>
        <v>500000</v>
      </c>
      <c r="H4" s="33">
        <f t="shared" si="2"/>
        <v>-500000</v>
      </c>
      <c r="I4" s="15">
        <f t="shared" si="3"/>
        <v>0</v>
      </c>
      <c r="J4" s="15">
        <f>IFERROR(D4/サマリー!$B$7,0)</f>
        <v>0</v>
      </c>
      <c r="K4" s="15">
        <f>IFERROR(E4/サマリー!$B$7,0)</f>
        <v>0</v>
      </c>
    </row>
    <row r="5" spans="1:11">
      <c r="A5" s="13">
        <v>3</v>
      </c>
      <c r="B5" s="17">
        <f>サマリー!$B$14-WEEKDAY(サマリー!$B$14,2)+1+(3-1)*7</f>
        <v>45971</v>
      </c>
      <c r="C5" s="17">
        <f t="shared" si="0"/>
        <v>45977</v>
      </c>
      <c r="D5" s="14">
        <f>SUMIFS(受注ログ!$C$6:$C$99901,受注ログ!$B$6:$B$99901,"&gt;="&amp;B5,受注ログ!$B$6:$B$99901,"&lt;="&amp;C5)</f>
        <v>0</v>
      </c>
      <c r="E5" s="14">
        <f>SUMIFS(受注ログ!$D$6:$D$99901,受注ログ!$B$6:$B$99901,"&gt;="&amp;B5,受注ログ!$B$6:$B$99901,"&lt;="&amp;C5)</f>
        <v>0</v>
      </c>
      <c r="F5" s="14">
        <f t="shared" si="1"/>
        <v>0</v>
      </c>
      <c r="G5" s="14">
        <f>サマリー!$B$15</f>
        <v>500000</v>
      </c>
      <c r="H5" s="33">
        <f t="shared" si="2"/>
        <v>-500000</v>
      </c>
      <c r="I5" s="15">
        <f t="shared" si="3"/>
        <v>0</v>
      </c>
      <c r="J5" s="15">
        <f>IFERROR(D5/サマリー!$B$7,0)</f>
        <v>0</v>
      </c>
      <c r="K5" s="15">
        <f>IFERROR(E5/サマリー!$B$7,0)</f>
        <v>0</v>
      </c>
    </row>
    <row r="6" spans="1:11">
      <c r="A6" s="13">
        <v>4</v>
      </c>
      <c r="B6" s="17">
        <f>サマリー!$B$14-WEEKDAY(サマリー!$B$14,2)+1+(4-1)*7</f>
        <v>45978</v>
      </c>
      <c r="C6" s="17">
        <f t="shared" si="0"/>
        <v>45984</v>
      </c>
      <c r="D6" s="14">
        <f>SUMIFS(受注ログ!$C$6:$C$99901,受注ログ!$B$6:$B$99901,"&gt;="&amp;B6,受注ログ!$B$6:$B$99901,"&lt;="&amp;C6)</f>
        <v>0</v>
      </c>
      <c r="E6" s="14">
        <f>SUMIFS(受注ログ!$D$6:$D$99901,受注ログ!$B$6:$B$99901,"&gt;="&amp;B6,受注ログ!$B$6:$B$99901,"&lt;="&amp;C6)</f>
        <v>0</v>
      </c>
      <c r="F6" s="14">
        <f t="shared" si="1"/>
        <v>0</v>
      </c>
      <c r="G6" s="14">
        <f>サマリー!$B$15</f>
        <v>500000</v>
      </c>
      <c r="H6" s="33">
        <f t="shared" si="2"/>
        <v>-500000</v>
      </c>
      <c r="I6" s="15">
        <f t="shared" si="3"/>
        <v>0</v>
      </c>
      <c r="J6" s="15">
        <f>IFERROR(D6/サマリー!$B$7,0)</f>
        <v>0</v>
      </c>
      <c r="K6" s="15">
        <f>IFERROR(E6/サマリー!$B$7,0)</f>
        <v>0</v>
      </c>
    </row>
    <row r="7" spans="1:11">
      <c r="A7" s="13">
        <v>5</v>
      </c>
      <c r="B7" s="17">
        <f>サマリー!$B$14-WEEKDAY(サマリー!$B$14,2)+1+(5-1)*7</f>
        <v>45985</v>
      </c>
      <c r="C7" s="17">
        <f t="shared" si="0"/>
        <v>45991</v>
      </c>
      <c r="D7" s="14">
        <f>SUMIFS(受注ログ!$C$6:$C$99901,受注ログ!$B$6:$B$99901,"&gt;="&amp;B7,受注ログ!$B$6:$B$99901,"&lt;="&amp;C7)</f>
        <v>0</v>
      </c>
      <c r="E7" s="14">
        <f>SUMIFS(受注ログ!$D$6:$D$99901,受注ログ!$B$6:$B$99901,"&gt;="&amp;B7,受注ログ!$B$6:$B$99901,"&lt;="&amp;C7)</f>
        <v>0</v>
      </c>
      <c r="F7" s="14">
        <f t="shared" si="1"/>
        <v>0</v>
      </c>
      <c r="G7" s="14">
        <f>サマリー!$B$15</f>
        <v>500000</v>
      </c>
      <c r="H7" s="33">
        <f t="shared" si="2"/>
        <v>-500000</v>
      </c>
      <c r="I7" s="15">
        <f t="shared" si="3"/>
        <v>0</v>
      </c>
      <c r="J7" s="15">
        <f>IFERROR(D7/サマリー!$B$7,0)</f>
        <v>0</v>
      </c>
      <c r="K7" s="15">
        <f>IFERROR(E7/サマリー!$B$7,0)</f>
        <v>0</v>
      </c>
    </row>
    <row r="8" spans="1:11">
      <c r="A8" s="13">
        <v>6</v>
      </c>
      <c r="B8" s="17">
        <f>サマリー!$B$14-WEEKDAY(サマリー!$B$14,2)+1+(6-1)*7</f>
        <v>45992</v>
      </c>
      <c r="C8" s="17">
        <f t="shared" si="0"/>
        <v>45998</v>
      </c>
      <c r="D8" s="14">
        <f>SUMIFS(受注ログ!$C$6:$C$99901,受注ログ!$B$6:$B$99901,"&gt;="&amp;B8,受注ログ!$B$6:$B$99901,"&lt;="&amp;C8)</f>
        <v>0</v>
      </c>
      <c r="E8" s="14">
        <f>SUMIFS(受注ログ!$D$6:$D$99901,受注ログ!$B$6:$B$99901,"&gt;="&amp;B8,受注ログ!$B$6:$B$99901,"&lt;="&amp;C8)</f>
        <v>0</v>
      </c>
      <c r="F8" s="14">
        <f t="shared" si="1"/>
        <v>0</v>
      </c>
      <c r="G8" s="14">
        <f>サマリー!$B$15</f>
        <v>500000</v>
      </c>
      <c r="H8" s="33">
        <f t="shared" si="2"/>
        <v>-500000</v>
      </c>
      <c r="I8" s="15">
        <f t="shared" si="3"/>
        <v>0</v>
      </c>
      <c r="J8" s="15">
        <f>IFERROR(D8/サマリー!$B$7,0)</f>
        <v>0</v>
      </c>
      <c r="K8" s="15">
        <f>IFERROR(E8/サマリー!$B$7,0)</f>
        <v>0</v>
      </c>
    </row>
    <row r="9" spans="1:11">
      <c r="A9" s="13">
        <v>7</v>
      </c>
      <c r="B9" s="17">
        <f>サマリー!$B$14-WEEKDAY(サマリー!$B$14,2)+1+(7-1)*7</f>
        <v>45999</v>
      </c>
      <c r="C9" s="17">
        <f t="shared" si="0"/>
        <v>46005</v>
      </c>
      <c r="D9" s="14">
        <f>SUMIFS(受注ログ!$C$6:$C$99901,受注ログ!$B$6:$B$99901,"&gt;="&amp;B9,受注ログ!$B$6:$B$99901,"&lt;="&amp;C9)</f>
        <v>0</v>
      </c>
      <c r="E9" s="14">
        <f>SUMIFS(受注ログ!$D$6:$D$99901,受注ログ!$B$6:$B$99901,"&gt;="&amp;B9,受注ログ!$B$6:$B$99901,"&lt;="&amp;C9)</f>
        <v>0</v>
      </c>
      <c r="F9" s="14">
        <f t="shared" si="1"/>
        <v>0</v>
      </c>
      <c r="G9" s="14">
        <f>サマリー!$B$15</f>
        <v>500000</v>
      </c>
      <c r="H9" s="33">
        <f t="shared" si="2"/>
        <v>-500000</v>
      </c>
      <c r="I9" s="15">
        <f t="shared" si="3"/>
        <v>0</v>
      </c>
      <c r="J9" s="15">
        <f>IFERROR(D9/サマリー!$B$7,0)</f>
        <v>0</v>
      </c>
      <c r="K9" s="15">
        <f>IFERROR(E9/サマリー!$B$7,0)</f>
        <v>0</v>
      </c>
    </row>
    <row r="10" spans="1:11">
      <c r="A10" s="13">
        <v>8</v>
      </c>
      <c r="B10" s="17">
        <f>サマリー!$B$14-WEEKDAY(サマリー!$B$14,2)+1+(8-1)*7</f>
        <v>46006</v>
      </c>
      <c r="C10" s="17">
        <f t="shared" si="0"/>
        <v>46012</v>
      </c>
      <c r="D10" s="14">
        <f>SUMIFS(受注ログ!$C$6:$C$99901,受注ログ!$B$6:$B$99901,"&gt;="&amp;B10,受注ログ!$B$6:$B$99901,"&lt;="&amp;C10)</f>
        <v>0</v>
      </c>
      <c r="E10" s="14">
        <f>SUMIFS(受注ログ!$D$6:$D$99901,受注ログ!$B$6:$B$99901,"&gt;="&amp;B10,受注ログ!$B$6:$B$99901,"&lt;="&amp;C10)</f>
        <v>0</v>
      </c>
      <c r="F10" s="14">
        <f t="shared" si="1"/>
        <v>0</v>
      </c>
      <c r="G10" s="14">
        <f>サマリー!$B$15</f>
        <v>500000</v>
      </c>
      <c r="H10" s="33">
        <f t="shared" si="2"/>
        <v>-500000</v>
      </c>
      <c r="I10" s="15">
        <f t="shared" si="3"/>
        <v>0</v>
      </c>
      <c r="J10" s="15">
        <f>IFERROR(D10/サマリー!$B$7,0)</f>
        <v>0</v>
      </c>
      <c r="K10" s="15">
        <f>IFERROR(E10/サマリー!$B$7,0)</f>
        <v>0</v>
      </c>
    </row>
    <row r="11" spans="1:11">
      <c r="A11" s="13">
        <v>9</v>
      </c>
      <c r="B11" s="17">
        <f>サマリー!$B$14-WEEKDAY(サマリー!$B$14,2)+1+(9-1)*7</f>
        <v>46013</v>
      </c>
      <c r="C11" s="17">
        <f t="shared" si="0"/>
        <v>46019</v>
      </c>
      <c r="D11" s="14">
        <f>SUMIFS(受注ログ!$C$6:$C$99901,受注ログ!$B$6:$B$99901,"&gt;="&amp;B11,受注ログ!$B$6:$B$99901,"&lt;="&amp;C11)</f>
        <v>0</v>
      </c>
      <c r="E11" s="14">
        <f>SUMIFS(受注ログ!$D$6:$D$99901,受注ログ!$B$6:$B$99901,"&gt;="&amp;B11,受注ログ!$B$6:$B$99901,"&lt;="&amp;C11)</f>
        <v>0</v>
      </c>
      <c r="F11" s="14">
        <f t="shared" si="1"/>
        <v>0</v>
      </c>
      <c r="G11" s="14">
        <f>サマリー!$B$15</f>
        <v>500000</v>
      </c>
      <c r="H11" s="33">
        <f t="shared" si="2"/>
        <v>-500000</v>
      </c>
      <c r="I11" s="15">
        <f t="shared" si="3"/>
        <v>0</v>
      </c>
      <c r="J11" s="15">
        <f>IFERROR(D11/サマリー!$B$7,0)</f>
        <v>0</v>
      </c>
      <c r="K11" s="15">
        <f>IFERROR(E11/サマリー!$B$7,0)</f>
        <v>0</v>
      </c>
    </row>
    <row r="12" spans="1:11">
      <c r="A12" s="13">
        <v>10</v>
      </c>
      <c r="B12" s="17">
        <f>サマリー!$B$14-WEEKDAY(サマリー!$B$14,2)+1+(10-1)*7</f>
        <v>46020</v>
      </c>
      <c r="C12" s="17">
        <f t="shared" si="0"/>
        <v>46026</v>
      </c>
      <c r="D12" s="14">
        <f>SUMIFS(受注ログ!$C$6:$C$99901,受注ログ!$B$6:$B$99901,"&gt;="&amp;B12,受注ログ!$B$6:$B$99901,"&lt;="&amp;C12)</f>
        <v>0</v>
      </c>
      <c r="E12" s="14">
        <f>SUMIFS(受注ログ!$D$6:$D$99901,受注ログ!$B$6:$B$99901,"&gt;="&amp;B12,受注ログ!$B$6:$B$99901,"&lt;="&amp;C12)</f>
        <v>0</v>
      </c>
      <c r="F12" s="14">
        <f t="shared" si="1"/>
        <v>0</v>
      </c>
      <c r="G12" s="14">
        <f>サマリー!$B$15</f>
        <v>500000</v>
      </c>
      <c r="H12" s="33">
        <f t="shared" si="2"/>
        <v>-500000</v>
      </c>
      <c r="I12" s="15">
        <f t="shared" si="3"/>
        <v>0</v>
      </c>
      <c r="J12" s="15">
        <f>IFERROR(D12/サマリー!$B$7,0)</f>
        <v>0</v>
      </c>
      <c r="K12" s="15">
        <f>IFERROR(E12/サマリー!$B$7,0)</f>
        <v>0</v>
      </c>
    </row>
    <row r="13" spans="1:11">
      <c r="A13" s="13">
        <v>11</v>
      </c>
      <c r="B13" s="17">
        <f>サマリー!$B$14-WEEKDAY(サマリー!$B$14,2)+1+(11-1)*7</f>
        <v>46027</v>
      </c>
      <c r="C13" s="17">
        <f t="shared" si="0"/>
        <v>46033</v>
      </c>
      <c r="D13" s="14">
        <f>SUMIFS(受注ログ!$C$6:$C$99901,受注ログ!$B$6:$B$99901,"&gt;="&amp;B13,受注ログ!$B$6:$B$99901,"&lt;="&amp;C13)</f>
        <v>0</v>
      </c>
      <c r="E13" s="14">
        <f>SUMIFS(受注ログ!$D$6:$D$99901,受注ログ!$B$6:$B$99901,"&gt;="&amp;B13,受注ログ!$B$6:$B$99901,"&lt;="&amp;C13)</f>
        <v>0</v>
      </c>
      <c r="F13" s="14">
        <f t="shared" si="1"/>
        <v>0</v>
      </c>
      <c r="G13" s="14">
        <f>サマリー!$B$15</f>
        <v>500000</v>
      </c>
      <c r="H13" s="33">
        <f t="shared" si="2"/>
        <v>-500000</v>
      </c>
      <c r="I13" s="15">
        <f t="shared" si="3"/>
        <v>0</v>
      </c>
      <c r="J13" s="15">
        <f>IFERROR(D13/サマリー!$B$7,0)</f>
        <v>0</v>
      </c>
      <c r="K13" s="15">
        <f>IFERROR(E13/サマリー!$B$7,0)</f>
        <v>0</v>
      </c>
    </row>
    <row r="14" spans="1:11">
      <c r="A14" s="13">
        <v>12</v>
      </c>
      <c r="B14" s="17">
        <f>サマリー!$B$14-WEEKDAY(サマリー!$B$14,2)+1+(12-1)*7</f>
        <v>46034</v>
      </c>
      <c r="C14" s="17">
        <f t="shared" si="0"/>
        <v>46040</v>
      </c>
      <c r="D14" s="14">
        <f>SUMIFS(受注ログ!$C$6:$C$99901,受注ログ!$B$6:$B$99901,"&gt;="&amp;B14,受注ログ!$B$6:$B$99901,"&lt;="&amp;C14)</f>
        <v>0</v>
      </c>
      <c r="E14" s="14">
        <f>SUMIFS(受注ログ!$D$6:$D$99901,受注ログ!$B$6:$B$99901,"&gt;="&amp;B14,受注ログ!$B$6:$B$99901,"&lt;="&amp;C14)</f>
        <v>0</v>
      </c>
      <c r="F14" s="14">
        <f t="shared" si="1"/>
        <v>0</v>
      </c>
      <c r="G14" s="14">
        <f>サマリー!$B$15</f>
        <v>500000</v>
      </c>
      <c r="H14" s="33">
        <f t="shared" si="2"/>
        <v>-500000</v>
      </c>
      <c r="I14" s="15">
        <f t="shared" si="3"/>
        <v>0</v>
      </c>
      <c r="J14" s="15">
        <f>IFERROR(D14/サマリー!$B$7,0)</f>
        <v>0</v>
      </c>
      <c r="K14" s="15">
        <f>IFERROR(E14/サマリー!$B$7,0)</f>
        <v>0</v>
      </c>
    </row>
    <row r="15" spans="1:11">
      <c r="A15" s="13">
        <v>13</v>
      </c>
      <c r="B15" s="17">
        <f>サマリー!$B$14-WEEKDAY(サマリー!$B$14,2)+1+(13-1)*7</f>
        <v>46041</v>
      </c>
      <c r="C15" s="17">
        <f t="shared" si="0"/>
        <v>46047</v>
      </c>
      <c r="D15" s="14">
        <f>SUMIFS(受注ログ!$C$6:$C$99901,受注ログ!$B$6:$B$99901,"&gt;="&amp;B15,受注ログ!$B$6:$B$99901,"&lt;="&amp;C15)</f>
        <v>0</v>
      </c>
      <c r="E15" s="14">
        <f>SUMIFS(受注ログ!$D$6:$D$99901,受注ログ!$B$6:$B$99901,"&gt;="&amp;B15,受注ログ!$B$6:$B$99901,"&lt;="&amp;C15)</f>
        <v>0</v>
      </c>
      <c r="F15" s="14">
        <f t="shared" si="1"/>
        <v>0</v>
      </c>
      <c r="G15" s="14">
        <f>サマリー!$B$15</f>
        <v>500000</v>
      </c>
      <c r="H15" s="33">
        <f t="shared" si="2"/>
        <v>-500000</v>
      </c>
      <c r="I15" s="15">
        <f t="shared" si="3"/>
        <v>0</v>
      </c>
      <c r="J15" s="15">
        <f>IFERROR(D15/サマリー!$B$7,0)</f>
        <v>0</v>
      </c>
      <c r="K15" s="15">
        <f>IFERROR(E15/サマリー!$B$7,0)</f>
        <v>0</v>
      </c>
    </row>
    <row r="16" spans="1:11">
      <c r="A16" s="13">
        <v>14</v>
      </c>
      <c r="B16" s="17">
        <f>サマリー!$B$14-WEEKDAY(サマリー!$B$14,2)+1+(14-1)*7</f>
        <v>46048</v>
      </c>
      <c r="C16" s="17">
        <f t="shared" si="0"/>
        <v>46054</v>
      </c>
      <c r="D16" s="14">
        <f>SUMIFS(受注ログ!$C$6:$C$99901,受注ログ!$B$6:$B$99901,"&gt;="&amp;B16,受注ログ!$B$6:$B$99901,"&lt;="&amp;C16)</f>
        <v>0</v>
      </c>
      <c r="E16" s="14">
        <f>SUMIFS(受注ログ!$D$6:$D$99901,受注ログ!$B$6:$B$99901,"&gt;="&amp;B16,受注ログ!$B$6:$B$99901,"&lt;="&amp;C16)</f>
        <v>0</v>
      </c>
      <c r="F16" s="14">
        <f t="shared" si="1"/>
        <v>0</v>
      </c>
      <c r="G16" s="14">
        <f>サマリー!$B$15</f>
        <v>500000</v>
      </c>
      <c r="H16" s="33">
        <f t="shared" si="2"/>
        <v>-500000</v>
      </c>
      <c r="I16" s="15">
        <f t="shared" si="3"/>
        <v>0</v>
      </c>
      <c r="J16" s="15">
        <f>IFERROR(D16/サマリー!$B$7,0)</f>
        <v>0</v>
      </c>
      <c r="K16" s="15">
        <f>IFERROR(E16/サマリー!$B$7,0)</f>
        <v>0</v>
      </c>
    </row>
    <row r="17" spans="1:11">
      <c r="A17" s="13">
        <v>15</v>
      </c>
      <c r="B17" s="17">
        <f>サマリー!$B$14-WEEKDAY(サマリー!$B$14,2)+1+(15-1)*7</f>
        <v>46055</v>
      </c>
      <c r="C17" s="17">
        <f t="shared" si="0"/>
        <v>46061</v>
      </c>
      <c r="D17" s="14">
        <f>SUMIFS(受注ログ!$C$6:$C$99901,受注ログ!$B$6:$B$99901,"&gt;="&amp;B17,受注ログ!$B$6:$B$99901,"&lt;="&amp;C17)</f>
        <v>0</v>
      </c>
      <c r="E17" s="14">
        <f>SUMIFS(受注ログ!$D$6:$D$99901,受注ログ!$B$6:$B$99901,"&gt;="&amp;B17,受注ログ!$B$6:$B$99901,"&lt;="&amp;C17)</f>
        <v>0</v>
      </c>
      <c r="F17" s="14">
        <f t="shared" si="1"/>
        <v>0</v>
      </c>
      <c r="G17" s="14">
        <f>サマリー!$B$15</f>
        <v>500000</v>
      </c>
      <c r="H17" s="33">
        <f t="shared" si="2"/>
        <v>-500000</v>
      </c>
      <c r="I17" s="15">
        <f t="shared" si="3"/>
        <v>0</v>
      </c>
      <c r="J17" s="15">
        <f>IFERROR(D17/サマリー!$B$7,0)</f>
        <v>0</v>
      </c>
      <c r="K17" s="15">
        <f>IFERROR(E17/サマリー!$B$7,0)</f>
        <v>0</v>
      </c>
    </row>
    <row r="18" spans="1:11">
      <c r="A18" s="13">
        <v>16</v>
      </c>
      <c r="B18" s="17">
        <f>サマリー!$B$14-WEEKDAY(サマリー!$B$14,2)+1+(16-1)*7</f>
        <v>46062</v>
      </c>
      <c r="C18" s="17">
        <f t="shared" si="0"/>
        <v>46068</v>
      </c>
      <c r="D18" s="14">
        <f>SUMIFS(受注ログ!$C$6:$C$99901,受注ログ!$B$6:$B$99901,"&gt;="&amp;B18,受注ログ!$B$6:$B$99901,"&lt;="&amp;C18)</f>
        <v>0</v>
      </c>
      <c r="E18" s="14">
        <f>SUMIFS(受注ログ!$D$6:$D$99901,受注ログ!$B$6:$B$99901,"&gt;="&amp;B18,受注ログ!$B$6:$B$99901,"&lt;="&amp;C18)</f>
        <v>0</v>
      </c>
      <c r="F18" s="14">
        <f t="shared" si="1"/>
        <v>0</v>
      </c>
      <c r="G18" s="14">
        <f>サマリー!$B$15</f>
        <v>500000</v>
      </c>
      <c r="H18" s="33">
        <f t="shared" si="2"/>
        <v>-500000</v>
      </c>
      <c r="I18" s="15">
        <f t="shared" si="3"/>
        <v>0</v>
      </c>
      <c r="J18" s="15">
        <f>IFERROR(D18/サマリー!$B$7,0)</f>
        <v>0</v>
      </c>
      <c r="K18" s="15">
        <f>IFERROR(E18/サマリー!$B$7,0)</f>
        <v>0</v>
      </c>
    </row>
    <row r="19" spans="1:11">
      <c r="A19" s="13">
        <v>17</v>
      </c>
      <c r="B19" s="17">
        <f>サマリー!$B$14-WEEKDAY(サマリー!$B$14,2)+1+(17-1)*7</f>
        <v>46069</v>
      </c>
      <c r="C19" s="17">
        <f t="shared" si="0"/>
        <v>46075</v>
      </c>
      <c r="D19" s="14">
        <f>SUMIFS(受注ログ!$C$6:$C$99901,受注ログ!$B$6:$B$99901,"&gt;="&amp;B19,受注ログ!$B$6:$B$99901,"&lt;="&amp;C19)</f>
        <v>0</v>
      </c>
      <c r="E19" s="14">
        <f>SUMIFS(受注ログ!$D$6:$D$99901,受注ログ!$B$6:$B$99901,"&gt;="&amp;B19,受注ログ!$B$6:$B$99901,"&lt;="&amp;C19)</f>
        <v>0</v>
      </c>
      <c r="F19" s="14">
        <f t="shared" si="1"/>
        <v>0</v>
      </c>
      <c r="G19" s="14">
        <f>サマリー!$B$15</f>
        <v>500000</v>
      </c>
      <c r="H19" s="33">
        <f t="shared" si="2"/>
        <v>-500000</v>
      </c>
      <c r="I19" s="15">
        <f t="shared" si="3"/>
        <v>0</v>
      </c>
      <c r="J19" s="15">
        <f>IFERROR(D19/サマリー!$B$7,0)</f>
        <v>0</v>
      </c>
      <c r="K19" s="15">
        <f>IFERROR(E19/サマリー!$B$7,0)</f>
        <v>0</v>
      </c>
    </row>
    <row r="20" spans="1:11">
      <c r="A20" s="13">
        <v>18</v>
      </c>
      <c r="B20" s="17">
        <f>サマリー!$B$14-WEEKDAY(サマリー!$B$14,2)+1+(18-1)*7</f>
        <v>46076</v>
      </c>
      <c r="C20" s="17">
        <f t="shared" si="0"/>
        <v>46082</v>
      </c>
      <c r="D20" s="14">
        <f>SUMIFS(受注ログ!$C$6:$C$99901,受注ログ!$B$6:$B$99901,"&gt;="&amp;B20,受注ログ!$B$6:$B$99901,"&lt;="&amp;C20)</f>
        <v>0</v>
      </c>
      <c r="E20" s="14">
        <f>SUMIFS(受注ログ!$D$6:$D$99901,受注ログ!$B$6:$B$99901,"&gt;="&amp;B20,受注ログ!$B$6:$B$99901,"&lt;="&amp;C20)</f>
        <v>0</v>
      </c>
      <c r="F20" s="14">
        <f t="shared" si="1"/>
        <v>0</v>
      </c>
      <c r="G20" s="14">
        <f>サマリー!$B$15</f>
        <v>500000</v>
      </c>
      <c r="H20" s="33">
        <f t="shared" si="2"/>
        <v>-500000</v>
      </c>
      <c r="I20" s="15">
        <f t="shared" si="3"/>
        <v>0</v>
      </c>
      <c r="J20" s="15">
        <f>IFERROR(D20/サマリー!$B$7,0)</f>
        <v>0</v>
      </c>
      <c r="K20" s="15">
        <f>IFERROR(E20/サマリー!$B$7,0)</f>
        <v>0</v>
      </c>
    </row>
    <row r="21" spans="1:11">
      <c r="A21" s="13">
        <v>19</v>
      </c>
      <c r="B21" s="17">
        <f>サマリー!$B$14-WEEKDAY(サマリー!$B$14,2)+1+(19-1)*7</f>
        <v>46083</v>
      </c>
      <c r="C21" s="17">
        <f t="shared" si="0"/>
        <v>46089</v>
      </c>
      <c r="D21" s="14">
        <f>SUMIFS(受注ログ!$C$6:$C$99901,受注ログ!$B$6:$B$99901,"&gt;="&amp;B21,受注ログ!$B$6:$B$99901,"&lt;="&amp;C21)</f>
        <v>0</v>
      </c>
      <c r="E21" s="14">
        <f>SUMIFS(受注ログ!$D$6:$D$99901,受注ログ!$B$6:$B$99901,"&gt;="&amp;B21,受注ログ!$B$6:$B$99901,"&lt;="&amp;C21)</f>
        <v>0</v>
      </c>
      <c r="F21" s="14">
        <f t="shared" si="1"/>
        <v>0</v>
      </c>
      <c r="G21" s="14">
        <f>サマリー!$B$15</f>
        <v>500000</v>
      </c>
      <c r="H21" s="33">
        <f t="shared" si="2"/>
        <v>-500000</v>
      </c>
      <c r="I21" s="15">
        <f t="shared" si="3"/>
        <v>0</v>
      </c>
      <c r="J21" s="15">
        <f>IFERROR(D21/サマリー!$B$7,0)</f>
        <v>0</v>
      </c>
      <c r="K21" s="15">
        <f>IFERROR(E21/サマリー!$B$7,0)</f>
        <v>0</v>
      </c>
    </row>
    <row r="22" spans="1:11">
      <c r="A22" s="13">
        <v>20</v>
      </c>
      <c r="B22" s="17">
        <f>サマリー!$B$14-WEEKDAY(サマリー!$B$14,2)+1+(20-1)*7</f>
        <v>46090</v>
      </c>
      <c r="C22" s="17">
        <f t="shared" si="0"/>
        <v>46096</v>
      </c>
      <c r="D22" s="14">
        <f>SUMIFS(受注ログ!$C$6:$C$99901,受注ログ!$B$6:$B$99901,"&gt;="&amp;B22,受注ログ!$B$6:$B$99901,"&lt;="&amp;C22)</f>
        <v>0</v>
      </c>
      <c r="E22" s="14">
        <f>SUMIFS(受注ログ!$D$6:$D$99901,受注ログ!$B$6:$B$99901,"&gt;="&amp;B22,受注ログ!$B$6:$B$99901,"&lt;="&amp;C22)</f>
        <v>0</v>
      </c>
      <c r="F22" s="14">
        <f t="shared" si="1"/>
        <v>0</v>
      </c>
      <c r="G22" s="14">
        <f>サマリー!$B$15</f>
        <v>500000</v>
      </c>
      <c r="H22" s="33">
        <f t="shared" si="2"/>
        <v>-500000</v>
      </c>
      <c r="I22" s="15">
        <f t="shared" si="3"/>
        <v>0</v>
      </c>
      <c r="J22" s="15">
        <f>IFERROR(D22/サマリー!$B$7,0)</f>
        <v>0</v>
      </c>
      <c r="K22" s="15">
        <f>IFERROR(E22/サマリー!$B$7,0)</f>
        <v>0</v>
      </c>
    </row>
    <row r="23" spans="1:11">
      <c r="A23" s="13">
        <v>21</v>
      </c>
      <c r="B23" s="17">
        <f>サマリー!$B$14-WEEKDAY(サマリー!$B$14,2)+1+(21-1)*7</f>
        <v>46097</v>
      </c>
      <c r="C23" s="17">
        <f t="shared" si="0"/>
        <v>46103</v>
      </c>
      <c r="D23" s="14">
        <f>SUMIFS(受注ログ!$C$6:$C$99901,受注ログ!$B$6:$B$99901,"&gt;="&amp;B23,受注ログ!$B$6:$B$99901,"&lt;="&amp;C23)</f>
        <v>0</v>
      </c>
      <c r="E23" s="14">
        <f>SUMIFS(受注ログ!$D$6:$D$99901,受注ログ!$B$6:$B$99901,"&gt;="&amp;B23,受注ログ!$B$6:$B$99901,"&lt;="&amp;C23)</f>
        <v>0</v>
      </c>
      <c r="F23" s="14">
        <f t="shared" si="1"/>
        <v>0</v>
      </c>
      <c r="G23" s="14">
        <f>サマリー!$B$15</f>
        <v>500000</v>
      </c>
      <c r="H23" s="33">
        <f t="shared" si="2"/>
        <v>-500000</v>
      </c>
      <c r="I23" s="15">
        <f t="shared" si="3"/>
        <v>0</v>
      </c>
      <c r="J23" s="15">
        <f>IFERROR(D23/サマリー!$B$7,0)</f>
        <v>0</v>
      </c>
      <c r="K23" s="15">
        <f>IFERROR(E23/サマリー!$B$7,0)</f>
        <v>0</v>
      </c>
    </row>
    <row r="24" spans="1:11">
      <c r="A24" s="13">
        <v>22</v>
      </c>
      <c r="B24" s="17">
        <f>サマリー!$B$14-WEEKDAY(サマリー!$B$14,2)+1+(22-1)*7</f>
        <v>46104</v>
      </c>
      <c r="C24" s="17">
        <f t="shared" si="0"/>
        <v>46110</v>
      </c>
      <c r="D24" s="14">
        <f>SUMIFS(受注ログ!$C$6:$C$99901,受注ログ!$B$6:$B$99901,"&gt;="&amp;B24,受注ログ!$B$6:$B$99901,"&lt;="&amp;C24)</f>
        <v>0</v>
      </c>
      <c r="E24" s="14">
        <f>SUMIFS(受注ログ!$D$6:$D$99901,受注ログ!$B$6:$B$99901,"&gt;="&amp;B24,受注ログ!$B$6:$B$99901,"&lt;="&amp;C24)</f>
        <v>0</v>
      </c>
      <c r="F24" s="14">
        <f t="shared" si="1"/>
        <v>0</v>
      </c>
      <c r="G24" s="14">
        <f>サマリー!$B$15</f>
        <v>500000</v>
      </c>
      <c r="H24" s="33">
        <f t="shared" si="2"/>
        <v>-500000</v>
      </c>
      <c r="I24" s="15">
        <f t="shared" si="3"/>
        <v>0</v>
      </c>
      <c r="J24" s="15">
        <f>IFERROR(D24/サマリー!$B$7,0)</f>
        <v>0</v>
      </c>
      <c r="K24" s="15">
        <f>IFERROR(E24/サマリー!$B$7,0)</f>
        <v>0</v>
      </c>
    </row>
    <row r="25" spans="1:11">
      <c r="A25" s="13">
        <v>23</v>
      </c>
      <c r="B25" s="17">
        <f>サマリー!$B$14-WEEKDAY(サマリー!$B$14,2)+1+(23-1)*7</f>
        <v>46111</v>
      </c>
      <c r="C25" s="17">
        <f t="shared" si="0"/>
        <v>46117</v>
      </c>
      <c r="D25" s="14">
        <f>SUMIFS(受注ログ!$C$6:$C$99901,受注ログ!$B$6:$B$99901,"&gt;="&amp;B25,受注ログ!$B$6:$B$99901,"&lt;="&amp;C25)</f>
        <v>0</v>
      </c>
      <c r="E25" s="14">
        <f>SUMIFS(受注ログ!$D$6:$D$99901,受注ログ!$B$6:$B$99901,"&gt;="&amp;B25,受注ログ!$B$6:$B$99901,"&lt;="&amp;C25)</f>
        <v>0</v>
      </c>
      <c r="F25" s="14">
        <f t="shared" si="1"/>
        <v>0</v>
      </c>
      <c r="G25" s="14">
        <f>サマリー!$B$15</f>
        <v>500000</v>
      </c>
      <c r="H25" s="33">
        <f t="shared" si="2"/>
        <v>-500000</v>
      </c>
      <c r="I25" s="15">
        <f t="shared" si="3"/>
        <v>0</v>
      </c>
      <c r="J25" s="15">
        <f>IFERROR(D25/サマリー!$B$7,0)</f>
        <v>0</v>
      </c>
      <c r="K25" s="15">
        <f>IFERROR(E25/サマリー!$B$7,0)</f>
        <v>0</v>
      </c>
    </row>
    <row r="26" spans="1:11">
      <c r="A26" s="13">
        <v>24</v>
      </c>
      <c r="B26" s="17">
        <f>サマリー!$B$14-WEEKDAY(サマリー!$B$14,2)+1+(24-1)*7</f>
        <v>46118</v>
      </c>
      <c r="C26" s="17">
        <f t="shared" si="0"/>
        <v>46124</v>
      </c>
      <c r="D26" s="14">
        <f>SUMIFS(受注ログ!$C$6:$C$99901,受注ログ!$B$6:$B$99901,"&gt;="&amp;B26,受注ログ!$B$6:$B$99901,"&lt;="&amp;C26)</f>
        <v>0</v>
      </c>
      <c r="E26" s="14">
        <f>SUMIFS(受注ログ!$D$6:$D$99901,受注ログ!$B$6:$B$99901,"&gt;="&amp;B26,受注ログ!$B$6:$B$99901,"&lt;="&amp;C26)</f>
        <v>0</v>
      </c>
      <c r="F26" s="14">
        <f t="shared" si="1"/>
        <v>0</v>
      </c>
      <c r="G26" s="14">
        <f>サマリー!$B$15</f>
        <v>500000</v>
      </c>
      <c r="H26" s="33">
        <f t="shared" si="2"/>
        <v>-500000</v>
      </c>
      <c r="I26" s="15">
        <f t="shared" si="3"/>
        <v>0</v>
      </c>
      <c r="J26" s="15">
        <f>IFERROR(D26/サマリー!$B$7,0)</f>
        <v>0</v>
      </c>
      <c r="K26" s="15">
        <f>IFERROR(E26/サマリー!$B$7,0)</f>
        <v>0</v>
      </c>
    </row>
    <row r="27" spans="1:11">
      <c r="A27" s="13">
        <v>25</v>
      </c>
      <c r="B27" s="17">
        <f>サマリー!$B$14-WEEKDAY(サマリー!$B$14,2)+1+(25-1)*7</f>
        <v>46125</v>
      </c>
      <c r="C27" s="17">
        <f t="shared" si="0"/>
        <v>46131</v>
      </c>
      <c r="D27" s="14">
        <f>SUMIFS(受注ログ!$C$6:$C$99901,受注ログ!$B$6:$B$99901,"&gt;="&amp;B27,受注ログ!$B$6:$B$99901,"&lt;="&amp;C27)</f>
        <v>0</v>
      </c>
      <c r="E27" s="14">
        <f>SUMIFS(受注ログ!$D$6:$D$99901,受注ログ!$B$6:$B$99901,"&gt;="&amp;B27,受注ログ!$B$6:$B$99901,"&lt;="&amp;C27)</f>
        <v>0</v>
      </c>
      <c r="F27" s="14">
        <f t="shared" si="1"/>
        <v>0</v>
      </c>
      <c r="G27" s="14">
        <f>サマリー!$B$15</f>
        <v>500000</v>
      </c>
      <c r="H27" s="33">
        <f t="shared" si="2"/>
        <v>-500000</v>
      </c>
      <c r="I27" s="15">
        <f t="shared" si="3"/>
        <v>0</v>
      </c>
      <c r="J27" s="15">
        <f>IFERROR(D27/サマリー!$B$7,0)</f>
        <v>0</v>
      </c>
      <c r="K27" s="15">
        <f>IFERROR(E27/サマリー!$B$7,0)</f>
        <v>0</v>
      </c>
    </row>
    <row r="28" spans="1:11">
      <c r="A28" s="13">
        <v>26</v>
      </c>
      <c r="B28" s="17">
        <f>サマリー!$B$14-WEEKDAY(サマリー!$B$14,2)+1+(26-1)*7</f>
        <v>46132</v>
      </c>
      <c r="C28" s="17">
        <f t="shared" si="0"/>
        <v>46138</v>
      </c>
      <c r="D28" s="14">
        <f>SUMIFS(受注ログ!$C$6:$C$99901,受注ログ!$B$6:$B$99901,"&gt;="&amp;B28,受注ログ!$B$6:$B$99901,"&lt;="&amp;C28)</f>
        <v>0</v>
      </c>
      <c r="E28" s="14">
        <f>SUMIFS(受注ログ!$D$6:$D$99901,受注ログ!$B$6:$B$99901,"&gt;="&amp;B28,受注ログ!$B$6:$B$99901,"&lt;="&amp;C28)</f>
        <v>0</v>
      </c>
      <c r="F28" s="14">
        <f t="shared" si="1"/>
        <v>0</v>
      </c>
      <c r="G28" s="14">
        <f>サマリー!$B$15</f>
        <v>500000</v>
      </c>
      <c r="H28" s="33">
        <f t="shared" si="2"/>
        <v>-500000</v>
      </c>
      <c r="I28" s="15">
        <f t="shared" si="3"/>
        <v>0</v>
      </c>
      <c r="J28" s="15">
        <f>IFERROR(D28/サマリー!$B$7,0)</f>
        <v>0</v>
      </c>
      <c r="K28" s="15">
        <f>IFERROR(E28/サマリー!$B$7,0)</f>
        <v>0</v>
      </c>
    </row>
    <row r="29" spans="1:11">
      <c r="A29" s="13">
        <v>27</v>
      </c>
      <c r="B29" s="17">
        <f>サマリー!$B$14-WEEKDAY(サマリー!$B$14,2)+1+(27-1)*7</f>
        <v>46139</v>
      </c>
      <c r="C29" s="17">
        <f t="shared" si="0"/>
        <v>46145</v>
      </c>
      <c r="D29" s="14">
        <f>SUMIFS(受注ログ!$C$6:$C$99901,受注ログ!$B$6:$B$99901,"&gt;="&amp;B29,受注ログ!$B$6:$B$99901,"&lt;="&amp;C29)</f>
        <v>351570</v>
      </c>
      <c r="E29" s="14">
        <f>SUMIFS(受注ログ!$D$6:$D$99901,受注ログ!$B$6:$B$99901,"&gt;="&amp;B29,受注ログ!$B$6:$B$99901,"&lt;="&amp;C29)</f>
        <v>98855</v>
      </c>
      <c r="F29" s="14">
        <f t="shared" si="1"/>
        <v>450425</v>
      </c>
      <c r="G29" s="14">
        <f>サマリー!$B$15</f>
        <v>500000</v>
      </c>
      <c r="H29" s="33">
        <f t="shared" si="2"/>
        <v>-49575</v>
      </c>
      <c r="I29" s="15">
        <f t="shared" si="3"/>
        <v>0.90085000000000004</v>
      </c>
      <c r="J29" s="15">
        <f>IFERROR(D29/サマリー!$B$7,0)</f>
        <v>1.40628</v>
      </c>
      <c r="K29" s="15">
        <f>IFERROR(E29/サマリー!$B$7,0)</f>
        <v>0.39541999999999999</v>
      </c>
    </row>
    <row r="30" spans="1:11">
      <c r="A30" s="13">
        <v>28</v>
      </c>
      <c r="B30" s="17">
        <f>サマリー!$B$14-WEEKDAY(サマリー!$B$14,2)+1+(28-1)*7</f>
        <v>46146</v>
      </c>
      <c r="C30" s="17">
        <f t="shared" si="0"/>
        <v>46152</v>
      </c>
      <c r="D30" s="14">
        <f>SUMIFS(受注ログ!$C$6:$C$99901,受注ログ!$B$6:$B$99901,"&gt;="&amp;B30,受注ログ!$B$6:$B$99901,"&lt;="&amp;C30)</f>
        <v>165074</v>
      </c>
      <c r="E30" s="14">
        <f>SUMIFS(受注ログ!$D$6:$D$99901,受注ログ!$B$6:$B$99901,"&gt;="&amp;B30,受注ログ!$B$6:$B$99901,"&lt;="&amp;C30)</f>
        <v>812830</v>
      </c>
      <c r="F30" s="14">
        <f t="shared" si="1"/>
        <v>977904</v>
      </c>
      <c r="G30" s="14">
        <f>サマリー!$B$15</f>
        <v>500000</v>
      </c>
      <c r="H30" s="33">
        <f t="shared" si="2"/>
        <v>477904</v>
      </c>
      <c r="I30" s="15">
        <f t="shared" si="3"/>
        <v>1.955808</v>
      </c>
      <c r="J30" s="15">
        <f>IFERROR(D30/サマリー!$B$7,0)</f>
        <v>0.66029599999999999</v>
      </c>
      <c r="K30" s="15">
        <f>IFERROR(E30/サマリー!$B$7,0)</f>
        <v>3.2513200000000002</v>
      </c>
    </row>
    <row r="31" spans="1:11">
      <c r="A31" s="13">
        <v>29</v>
      </c>
      <c r="B31" s="17">
        <f>サマリー!$B$14-WEEKDAY(サマリー!$B$14,2)+1+(29-1)*7</f>
        <v>46153</v>
      </c>
      <c r="C31" s="17">
        <f t="shared" si="0"/>
        <v>46159</v>
      </c>
      <c r="D31" s="14">
        <f>SUMIFS(受注ログ!$C$6:$C$99901,受注ログ!$B$6:$B$99901,"&gt;="&amp;B31,受注ログ!$B$6:$B$99901,"&lt;="&amp;C31)</f>
        <v>233705</v>
      </c>
      <c r="E31" s="14">
        <f>SUMIFS(受注ログ!$D$6:$D$99901,受注ログ!$B$6:$B$99901,"&gt;="&amp;B31,受注ログ!$B$6:$B$99901,"&lt;="&amp;C31)</f>
        <v>283078</v>
      </c>
      <c r="F31" s="14">
        <f t="shared" si="1"/>
        <v>516783</v>
      </c>
      <c r="G31" s="14">
        <f>サマリー!$B$15</f>
        <v>500000</v>
      </c>
      <c r="H31" s="33">
        <f t="shared" si="2"/>
        <v>16783</v>
      </c>
      <c r="I31" s="15">
        <f t="shared" si="3"/>
        <v>1.033566</v>
      </c>
      <c r="J31" s="15">
        <f>IFERROR(D31/サマリー!$B$7,0)</f>
        <v>0.93481999999999998</v>
      </c>
      <c r="K31" s="15">
        <f>IFERROR(E31/サマリー!$B$7,0)</f>
        <v>1.132312</v>
      </c>
    </row>
    <row r="32" spans="1:11">
      <c r="A32" s="13">
        <v>30</v>
      </c>
      <c r="B32" s="17">
        <f>サマリー!$B$14-WEEKDAY(サマリー!$B$14,2)+1+(30-1)*7</f>
        <v>46160</v>
      </c>
      <c r="C32" s="17">
        <f t="shared" si="0"/>
        <v>46166</v>
      </c>
      <c r="D32" s="14">
        <f>SUMIFS(受注ログ!$C$6:$C$99901,受注ログ!$B$6:$B$99901,"&gt;="&amp;B32,受注ログ!$B$6:$B$99901,"&lt;="&amp;C32)</f>
        <v>237372</v>
      </c>
      <c r="E32" s="14">
        <f>SUMIFS(受注ログ!$D$6:$D$99901,受注ログ!$B$6:$B$99901,"&gt;="&amp;B32,受注ログ!$B$6:$B$99901,"&lt;="&amp;C32)</f>
        <v>233457</v>
      </c>
      <c r="F32" s="14">
        <f t="shared" si="1"/>
        <v>470829</v>
      </c>
      <c r="G32" s="14">
        <f>サマリー!$B$15</f>
        <v>500000</v>
      </c>
      <c r="H32" s="33">
        <f t="shared" si="2"/>
        <v>-29171</v>
      </c>
      <c r="I32" s="15">
        <f t="shared" si="3"/>
        <v>0.941658</v>
      </c>
      <c r="J32" s="15">
        <f>IFERROR(D32/サマリー!$B$7,0)</f>
        <v>0.949488</v>
      </c>
      <c r="K32" s="15">
        <f>IFERROR(E32/サマリー!$B$7,0)</f>
        <v>0.93382799999999999</v>
      </c>
    </row>
    <row r="33" spans="1:11">
      <c r="A33" s="13">
        <v>31</v>
      </c>
      <c r="B33" s="17">
        <f>サマリー!$B$14-WEEKDAY(サマリー!$B$14,2)+1+(31-1)*7</f>
        <v>46167</v>
      </c>
      <c r="C33" s="17">
        <f t="shared" si="0"/>
        <v>46173</v>
      </c>
      <c r="D33" s="14">
        <f>SUMIFS(受注ログ!$C$6:$C$99901,受注ログ!$B$6:$B$99901,"&gt;="&amp;B33,受注ログ!$B$6:$B$99901,"&lt;="&amp;C33)</f>
        <v>261198</v>
      </c>
      <c r="E33" s="14">
        <f>SUMIFS(受注ログ!$D$6:$D$99901,受注ログ!$B$6:$B$99901,"&gt;="&amp;B33,受注ログ!$B$6:$B$99901,"&lt;="&amp;C33)</f>
        <v>164679</v>
      </c>
      <c r="F33" s="14">
        <f t="shared" si="1"/>
        <v>425877</v>
      </c>
      <c r="G33" s="14">
        <f>サマリー!$B$15</f>
        <v>500000</v>
      </c>
      <c r="H33" s="33">
        <f t="shared" si="2"/>
        <v>-74123</v>
      </c>
      <c r="I33" s="15">
        <f t="shared" si="3"/>
        <v>0.85175400000000001</v>
      </c>
      <c r="J33" s="15">
        <f>IFERROR(D33/サマリー!$B$7,0)</f>
        <v>1.0447919999999999</v>
      </c>
      <c r="K33" s="15">
        <f>IFERROR(E33/サマリー!$B$7,0)</f>
        <v>0.65871599999999997</v>
      </c>
    </row>
    <row r="34" spans="1:11">
      <c r="A34" s="13">
        <v>32</v>
      </c>
      <c r="B34" s="17">
        <f>サマリー!$B$14-WEEKDAY(サマリー!$B$14,2)+1+(32-1)*7</f>
        <v>46174</v>
      </c>
      <c r="C34" s="17">
        <f t="shared" si="0"/>
        <v>46180</v>
      </c>
      <c r="D34" s="14">
        <f>SUMIFS(受注ログ!$C$6:$C$99901,受注ログ!$B$6:$B$99901,"&gt;="&amp;B34,受注ログ!$B$6:$B$99901,"&lt;="&amp;C34)</f>
        <v>144358</v>
      </c>
      <c r="E34" s="14">
        <f>SUMIFS(受注ログ!$D$6:$D$99901,受注ログ!$B$6:$B$99901,"&gt;="&amp;B34,受注ログ!$B$6:$B$99901,"&lt;="&amp;C34)</f>
        <v>227156</v>
      </c>
      <c r="F34" s="14">
        <f t="shared" si="1"/>
        <v>371514</v>
      </c>
      <c r="G34" s="14">
        <f>サマリー!$B$15</f>
        <v>500000</v>
      </c>
      <c r="H34" s="33">
        <f t="shared" si="2"/>
        <v>-128486</v>
      </c>
      <c r="I34" s="15">
        <f t="shared" si="3"/>
        <v>0.74302800000000002</v>
      </c>
      <c r="J34" s="15">
        <f>IFERROR(D34/サマリー!$B$7,0)</f>
        <v>0.57743199999999995</v>
      </c>
      <c r="K34" s="15">
        <f>IFERROR(E34/サマリー!$B$7,0)</f>
        <v>0.90862399999999999</v>
      </c>
    </row>
    <row r="35" spans="1:11">
      <c r="A35" s="13">
        <v>33</v>
      </c>
      <c r="B35" s="17">
        <f>サマリー!$B$14-WEEKDAY(サマリー!$B$14,2)+1+(33-1)*7</f>
        <v>46181</v>
      </c>
      <c r="C35" s="17">
        <f t="shared" ref="C35:C56" si="4">B35+6</f>
        <v>46187</v>
      </c>
      <c r="D35" s="14">
        <f>SUMIFS(受注ログ!$C$6:$C$99901,受注ログ!$B$6:$B$99901,"&gt;="&amp;B35,受注ログ!$B$6:$B$99901,"&lt;="&amp;C35)</f>
        <v>257743</v>
      </c>
      <c r="E35" s="14">
        <f>SUMIFS(受注ログ!$D$6:$D$99901,受注ログ!$B$6:$B$99901,"&gt;="&amp;B35,受注ログ!$B$6:$B$99901,"&lt;="&amp;C35)</f>
        <v>217213</v>
      </c>
      <c r="F35" s="14">
        <f t="shared" ref="F35:F56" si="5">D35+E35</f>
        <v>474956</v>
      </c>
      <c r="G35" s="14">
        <f>サマリー!$B$15</f>
        <v>500000</v>
      </c>
      <c r="H35" s="33">
        <f t="shared" ref="H35:H56" si="6">F35-G35</f>
        <v>-25044</v>
      </c>
      <c r="I35" s="15">
        <f t="shared" ref="I35:I56" si="7">IFERROR(F35/G35,0)</f>
        <v>0.94991199999999998</v>
      </c>
      <c r="J35" s="15">
        <f>IFERROR(D35/サマリー!$B$7,0)</f>
        <v>1.030972</v>
      </c>
      <c r="K35" s="15">
        <f>IFERROR(E35/サマリー!$B$7,0)</f>
        <v>0.86885199999999996</v>
      </c>
    </row>
    <row r="36" spans="1:11">
      <c r="A36" s="13">
        <v>34</v>
      </c>
      <c r="B36" s="17">
        <f>サマリー!$B$14-WEEKDAY(サマリー!$B$14,2)+1+(34-1)*7</f>
        <v>46188</v>
      </c>
      <c r="C36" s="17">
        <f t="shared" si="4"/>
        <v>46194</v>
      </c>
      <c r="D36" s="14">
        <f>SUMIFS(受注ログ!$C$6:$C$99901,受注ログ!$B$6:$B$99901,"&gt;="&amp;B36,受注ログ!$B$6:$B$99901,"&lt;="&amp;C36)</f>
        <v>264531</v>
      </c>
      <c r="E36" s="14">
        <f>SUMIFS(受注ログ!$D$6:$D$99901,受注ログ!$B$6:$B$99901,"&gt;="&amp;B36,受注ログ!$B$6:$B$99901,"&lt;="&amp;C36)</f>
        <v>226432</v>
      </c>
      <c r="F36" s="14">
        <f t="shared" si="5"/>
        <v>490963</v>
      </c>
      <c r="G36" s="14">
        <f>サマリー!$B$15</f>
        <v>500000</v>
      </c>
      <c r="H36" s="33">
        <f t="shared" si="6"/>
        <v>-9037</v>
      </c>
      <c r="I36" s="15">
        <f t="shared" si="7"/>
        <v>0.98192599999999997</v>
      </c>
      <c r="J36" s="15">
        <f>IFERROR(D36/サマリー!$B$7,0)</f>
        <v>1.0581240000000001</v>
      </c>
      <c r="K36" s="15">
        <f>IFERROR(E36/サマリー!$B$7,0)</f>
        <v>0.90572799999999998</v>
      </c>
    </row>
    <row r="37" spans="1:11">
      <c r="A37" s="13">
        <v>35</v>
      </c>
      <c r="B37" s="17">
        <f>サマリー!$B$14-WEEKDAY(サマリー!$B$14,2)+1+(35-1)*7</f>
        <v>46195</v>
      </c>
      <c r="C37" s="17">
        <f t="shared" si="4"/>
        <v>46201</v>
      </c>
      <c r="D37" s="14">
        <f>SUMIFS(受注ログ!$C$6:$C$99901,受注ログ!$B$6:$B$99901,"&gt;="&amp;B37,受注ログ!$B$6:$B$99901,"&lt;="&amp;C37)</f>
        <v>297531</v>
      </c>
      <c r="E37" s="14">
        <f>SUMIFS(受注ログ!$D$6:$D$99901,受注ログ!$B$6:$B$99901,"&gt;="&amp;B37,受注ログ!$B$6:$B$99901,"&lt;="&amp;C37)</f>
        <v>134271</v>
      </c>
      <c r="F37" s="14">
        <f t="shared" si="5"/>
        <v>431802</v>
      </c>
      <c r="G37" s="14">
        <f>サマリー!$B$15</f>
        <v>500000</v>
      </c>
      <c r="H37" s="33">
        <f t="shared" si="6"/>
        <v>-68198</v>
      </c>
      <c r="I37" s="15">
        <f t="shared" si="7"/>
        <v>0.86360400000000004</v>
      </c>
      <c r="J37" s="15">
        <f>IFERROR(D37/サマリー!$B$7,0)</f>
        <v>1.190124</v>
      </c>
      <c r="K37" s="15">
        <f>IFERROR(E37/サマリー!$B$7,0)</f>
        <v>0.53708400000000001</v>
      </c>
    </row>
    <row r="38" spans="1:11">
      <c r="A38" s="13">
        <v>36</v>
      </c>
      <c r="B38" s="17">
        <f>サマリー!$B$14-WEEKDAY(サマリー!$B$14,2)+1+(36-1)*7</f>
        <v>46202</v>
      </c>
      <c r="C38" s="17">
        <f t="shared" si="4"/>
        <v>46208</v>
      </c>
      <c r="D38" s="14">
        <f>SUMIFS(受注ログ!$C$6:$C$99901,受注ログ!$B$6:$B$99901,"&gt;="&amp;B38,受注ログ!$B$6:$B$99901,"&lt;="&amp;C38)</f>
        <v>245666</v>
      </c>
      <c r="E38" s="14">
        <f>SUMIFS(受注ログ!$D$6:$D$99901,受注ログ!$B$6:$B$99901,"&gt;="&amp;B38,受注ログ!$B$6:$B$99901,"&lt;="&amp;C38)</f>
        <v>90837</v>
      </c>
      <c r="F38" s="14">
        <f t="shared" si="5"/>
        <v>336503</v>
      </c>
      <c r="G38" s="14">
        <f>サマリー!$B$15</f>
        <v>500000</v>
      </c>
      <c r="H38" s="33">
        <f t="shared" si="6"/>
        <v>-163497</v>
      </c>
      <c r="I38" s="15">
        <f t="shared" si="7"/>
        <v>0.67300599999999999</v>
      </c>
      <c r="J38" s="15">
        <f>IFERROR(D38/サマリー!$B$7,0)</f>
        <v>0.98266399999999998</v>
      </c>
      <c r="K38" s="15">
        <f>IFERROR(E38/サマリー!$B$7,0)</f>
        <v>0.363348</v>
      </c>
    </row>
    <row r="39" spans="1:11">
      <c r="A39" s="13">
        <v>37</v>
      </c>
      <c r="B39" s="17">
        <f>サマリー!$B$14-WEEKDAY(サマリー!$B$14,2)+1+(37-1)*7</f>
        <v>46209</v>
      </c>
      <c r="C39" s="17">
        <f t="shared" si="4"/>
        <v>46215</v>
      </c>
      <c r="D39" s="14">
        <f>SUMIFS(受注ログ!$C$6:$C$99901,受注ログ!$B$6:$B$99901,"&gt;="&amp;B39,受注ログ!$B$6:$B$99901,"&lt;="&amp;C39)</f>
        <v>193955</v>
      </c>
      <c r="E39" s="14">
        <f>SUMIFS(受注ログ!$D$6:$D$99901,受注ログ!$B$6:$B$99901,"&gt;="&amp;B39,受注ログ!$B$6:$B$99901,"&lt;="&amp;C39)</f>
        <v>172580</v>
      </c>
      <c r="F39" s="14">
        <f t="shared" si="5"/>
        <v>366535</v>
      </c>
      <c r="G39" s="14">
        <f>サマリー!$B$15</f>
        <v>500000</v>
      </c>
      <c r="H39" s="33">
        <f t="shared" si="6"/>
        <v>-133465</v>
      </c>
      <c r="I39" s="15">
        <f t="shared" si="7"/>
        <v>0.73307</v>
      </c>
      <c r="J39" s="15">
        <f>IFERROR(D39/サマリー!$B$7,0)</f>
        <v>0.77581999999999995</v>
      </c>
      <c r="K39" s="15">
        <f>IFERROR(E39/サマリー!$B$7,0)</f>
        <v>0.69032000000000004</v>
      </c>
    </row>
    <row r="40" spans="1:11">
      <c r="A40" s="13">
        <v>38</v>
      </c>
      <c r="B40" s="17">
        <f>サマリー!$B$14-WEEKDAY(サマリー!$B$14,2)+1+(38-1)*7</f>
        <v>46216</v>
      </c>
      <c r="C40" s="17">
        <f t="shared" si="4"/>
        <v>46222</v>
      </c>
      <c r="D40" s="14">
        <f>SUMIFS(受注ログ!$C$6:$C$99901,受注ログ!$B$6:$B$99901,"&gt;="&amp;B40,受注ログ!$B$6:$B$99901,"&lt;="&amp;C40)</f>
        <v>268580</v>
      </c>
      <c r="E40" s="14">
        <f>SUMIFS(受注ログ!$D$6:$D$99901,受注ログ!$B$6:$B$99901,"&gt;="&amp;B40,受注ログ!$B$6:$B$99901,"&lt;="&amp;C40)</f>
        <v>88808</v>
      </c>
      <c r="F40" s="14">
        <f t="shared" si="5"/>
        <v>357388</v>
      </c>
      <c r="G40" s="14">
        <f>サマリー!$B$15</f>
        <v>500000</v>
      </c>
      <c r="H40" s="33">
        <f t="shared" si="6"/>
        <v>-142612</v>
      </c>
      <c r="I40" s="15">
        <f t="shared" si="7"/>
        <v>0.71477599999999997</v>
      </c>
      <c r="J40" s="15">
        <f>IFERROR(D40/サマリー!$B$7,0)</f>
        <v>1.0743199999999999</v>
      </c>
      <c r="K40" s="15">
        <f>IFERROR(E40/サマリー!$B$7,0)</f>
        <v>0.35523199999999999</v>
      </c>
    </row>
    <row r="41" spans="1:11">
      <c r="A41" s="13">
        <v>39</v>
      </c>
      <c r="B41" s="17">
        <f>サマリー!$B$14-WEEKDAY(サマリー!$B$14,2)+1+(39-1)*7</f>
        <v>46223</v>
      </c>
      <c r="C41" s="17">
        <f t="shared" si="4"/>
        <v>46229</v>
      </c>
      <c r="D41" s="14">
        <f>SUMIFS(受注ログ!$C$6:$C$99901,受注ログ!$B$6:$B$99901,"&gt;="&amp;B41,受注ログ!$B$6:$B$99901,"&lt;="&amp;C41)</f>
        <v>292030</v>
      </c>
      <c r="E41" s="14">
        <f>SUMIFS(受注ログ!$D$6:$D$99901,受注ログ!$B$6:$B$99901,"&gt;="&amp;B41,受注ログ!$B$6:$B$99901,"&lt;="&amp;C41)</f>
        <v>206335</v>
      </c>
      <c r="F41" s="14">
        <f t="shared" si="5"/>
        <v>498365</v>
      </c>
      <c r="G41" s="14">
        <f>サマリー!$B$15</f>
        <v>500000</v>
      </c>
      <c r="H41" s="33">
        <f t="shared" si="6"/>
        <v>-1635</v>
      </c>
      <c r="I41" s="15">
        <f t="shared" si="7"/>
        <v>0.99673</v>
      </c>
      <c r="J41" s="15">
        <f>IFERROR(D41/サマリー!$B$7,0)</f>
        <v>1.16812</v>
      </c>
      <c r="K41" s="15">
        <f>IFERROR(E41/サマリー!$B$7,0)</f>
        <v>0.82533999999999996</v>
      </c>
    </row>
    <row r="42" spans="1:11">
      <c r="A42" s="13">
        <v>40</v>
      </c>
      <c r="B42" s="17">
        <f>サマリー!$B$14-WEEKDAY(サマリー!$B$14,2)+1+(40-1)*7</f>
        <v>46230</v>
      </c>
      <c r="C42" s="17">
        <f t="shared" si="4"/>
        <v>46236</v>
      </c>
      <c r="D42" s="14">
        <f>SUMIFS(受注ログ!$C$6:$C$99901,受注ログ!$B$6:$B$99901,"&gt;="&amp;B42,受注ログ!$B$6:$B$99901,"&lt;="&amp;C42)</f>
        <v>382208</v>
      </c>
      <c r="E42" s="14">
        <f>SUMIFS(受注ログ!$D$6:$D$99901,受注ログ!$B$6:$B$99901,"&gt;="&amp;B42,受注ログ!$B$6:$B$99901,"&lt;="&amp;C42)</f>
        <v>176366</v>
      </c>
      <c r="F42" s="14">
        <f t="shared" si="5"/>
        <v>558574</v>
      </c>
      <c r="G42" s="14">
        <f>サマリー!$B$15</f>
        <v>500000</v>
      </c>
      <c r="H42" s="33">
        <f t="shared" si="6"/>
        <v>58574</v>
      </c>
      <c r="I42" s="15">
        <f t="shared" si="7"/>
        <v>1.117148</v>
      </c>
      <c r="J42" s="15">
        <f>IFERROR(D42/サマリー!$B$7,0)</f>
        <v>1.528832</v>
      </c>
      <c r="K42" s="15">
        <f>IFERROR(E42/サマリー!$B$7,0)</f>
        <v>0.70546399999999998</v>
      </c>
    </row>
    <row r="43" spans="1:11">
      <c r="A43" s="13">
        <v>41</v>
      </c>
      <c r="B43" s="17">
        <f>サマリー!$B$14-WEEKDAY(サマリー!$B$14,2)+1+(41-1)*7</f>
        <v>46237</v>
      </c>
      <c r="C43" s="17">
        <f t="shared" si="4"/>
        <v>46243</v>
      </c>
      <c r="D43" s="14">
        <f>SUMIFS(受注ログ!$C$6:$C$99901,受注ログ!$B$6:$B$99901,"&gt;="&amp;B43,受注ログ!$B$6:$B$99901,"&lt;="&amp;C43)</f>
        <v>225230</v>
      </c>
      <c r="E43" s="14">
        <f>SUMIFS(受注ログ!$D$6:$D$99901,受注ログ!$B$6:$B$99901,"&gt;="&amp;B43,受注ログ!$B$6:$B$99901,"&lt;="&amp;C43)</f>
        <v>316208</v>
      </c>
      <c r="F43" s="14">
        <f t="shared" si="5"/>
        <v>541438</v>
      </c>
      <c r="G43" s="14">
        <f>サマリー!$B$15</f>
        <v>500000</v>
      </c>
      <c r="H43" s="33">
        <f t="shared" si="6"/>
        <v>41438</v>
      </c>
      <c r="I43" s="15">
        <f t="shared" si="7"/>
        <v>1.0828759999999999</v>
      </c>
      <c r="J43" s="15">
        <f>IFERROR(D43/サマリー!$B$7,0)</f>
        <v>0.90092000000000005</v>
      </c>
      <c r="K43" s="15">
        <f>IFERROR(E43/サマリー!$B$7,0)</f>
        <v>1.264832</v>
      </c>
    </row>
    <row r="44" spans="1:11">
      <c r="A44" s="13">
        <v>42</v>
      </c>
      <c r="B44" s="17">
        <f>サマリー!$B$14-WEEKDAY(サマリー!$B$14,2)+1+(42-1)*7</f>
        <v>46244</v>
      </c>
      <c r="C44" s="17">
        <f t="shared" si="4"/>
        <v>46250</v>
      </c>
      <c r="D44" s="14">
        <f>SUMIFS(受注ログ!$C$6:$C$99901,受注ログ!$B$6:$B$99901,"&gt;="&amp;B44,受注ログ!$B$6:$B$99901,"&lt;="&amp;C44)</f>
        <v>273320</v>
      </c>
      <c r="E44" s="14">
        <f>SUMIFS(受注ログ!$D$6:$D$99901,受注ログ!$B$6:$B$99901,"&gt;="&amp;B44,受注ログ!$B$6:$B$99901,"&lt;="&amp;C44)</f>
        <v>268854</v>
      </c>
      <c r="F44" s="14">
        <f t="shared" si="5"/>
        <v>542174</v>
      </c>
      <c r="G44" s="14">
        <f>サマリー!$B$15</f>
        <v>500000</v>
      </c>
      <c r="H44" s="33">
        <f t="shared" si="6"/>
        <v>42174</v>
      </c>
      <c r="I44" s="15">
        <f t="shared" si="7"/>
        <v>1.0843480000000001</v>
      </c>
      <c r="J44" s="15">
        <f>IFERROR(D44/サマリー!$B$7,0)</f>
        <v>1.09328</v>
      </c>
      <c r="K44" s="15">
        <f>IFERROR(E44/サマリー!$B$7,0)</f>
        <v>1.0754159999999999</v>
      </c>
    </row>
    <row r="45" spans="1:11">
      <c r="A45" s="13">
        <v>43</v>
      </c>
      <c r="B45" s="17">
        <f>サマリー!$B$14-WEEKDAY(サマリー!$B$14,2)+1+(43-1)*7</f>
        <v>46251</v>
      </c>
      <c r="C45" s="17">
        <f t="shared" si="4"/>
        <v>46257</v>
      </c>
      <c r="D45" s="14">
        <f>SUMIFS(受注ログ!$C$6:$C$99901,受注ログ!$B$6:$B$99901,"&gt;="&amp;B45,受注ログ!$B$6:$B$99901,"&lt;="&amp;C45)</f>
        <v>180639</v>
      </c>
      <c r="E45" s="14">
        <f>SUMIFS(受注ログ!$D$6:$D$99901,受注ログ!$B$6:$B$99901,"&gt;="&amp;B45,受注ログ!$B$6:$B$99901,"&lt;="&amp;C45)</f>
        <v>206145</v>
      </c>
      <c r="F45" s="14">
        <f t="shared" si="5"/>
        <v>386784</v>
      </c>
      <c r="G45" s="14">
        <f>サマリー!$B$15</f>
        <v>500000</v>
      </c>
      <c r="H45" s="33">
        <f t="shared" si="6"/>
        <v>-113216</v>
      </c>
      <c r="I45" s="15">
        <f t="shared" si="7"/>
        <v>0.77356800000000003</v>
      </c>
      <c r="J45" s="15">
        <f>IFERROR(D45/サマリー!$B$7,0)</f>
        <v>0.72255599999999998</v>
      </c>
      <c r="K45" s="15">
        <f>IFERROR(E45/サマリー!$B$7,0)</f>
        <v>0.82457999999999998</v>
      </c>
    </row>
    <row r="46" spans="1:11">
      <c r="A46" s="13">
        <v>44</v>
      </c>
      <c r="B46" s="17">
        <f>サマリー!$B$14-WEEKDAY(サマリー!$B$14,2)+1+(44-1)*7</f>
        <v>46258</v>
      </c>
      <c r="C46" s="17">
        <f t="shared" si="4"/>
        <v>46264</v>
      </c>
      <c r="D46" s="14">
        <f>SUMIFS(受注ログ!$C$6:$C$99901,受注ログ!$B$6:$B$99901,"&gt;="&amp;B46,受注ログ!$B$6:$B$99901,"&lt;="&amp;C46)</f>
        <v>247566</v>
      </c>
      <c r="E46" s="14">
        <f>SUMIFS(受注ログ!$D$6:$D$99901,受注ログ!$B$6:$B$99901,"&gt;="&amp;B46,受注ログ!$B$6:$B$99901,"&lt;="&amp;C46)</f>
        <v>65130</v>
      </c>
      <c r="F46" s="14">
        <f t="shared" si="5"/>
        <v>312696</v>
      </c>
      <c r="G46" s="14">
        <f>サマリー!$B$15</f>
        <v>500000</v>
      </c>
      <c r="H46" s="33">
        <f t="shared" si="6"/>
        <v>-187304</v>
      </c>
      <c r="I46" s="15">
        <f t="shared" si="7"/>
        <v>0.62539199999999995</v>
      </c>
      <c r="J46" s="15">
        <f>IFERROR(D46/サマリー!$B$7,0)</f>
        <v>0.99026400000000003</v>
      </c>
      <c r="K46" s="15">
        <f>IFERROR(E46/サマリー!$B$7,0)</f>
        <v>0.26051999999999997</v>
      </c>
    </row>
    <row r="47" spans="1:11">
      <c r="A47" s="13">
        <v>45</v>
      </c>
      <c r="B47" s="17">
        <f>サマリー!$B$14-WEEKDAY(サマリー!$B$14,2)+1+(45-1)*7</f>
        <v>46265</v>
      </c>
      <c r="C47" s="17">
        <f t="shared" si="4"/>
        <v>46271</v>
      </c>
      <c r="D47" s="14">
        <f>SUMIFS(受注ログ!$C$6:$C$99901,受注ログ!$B$6:$B$99901,"&gt;="&amp;B47,受注ログ!$B$6:$B$99901,"&lt;="&amp;C47)</f>
        <v>187564</v>
      </c>
      <c r="E47" s="14">
        <f>SUMIFS(受注ログ!$D$6:$D$99901,受注ログ!$B$6:$B$99901,"&gt;="&amp;B47,受注ログ!$B$6:$B$99901,"&lt;="&amp;C47)</f>
        <v>167415</v>
      </c>
      <c r="F47" s="14">
        <f t="shared" si="5"/>
        <v>354979</v>
      </c>
      <c r="G47" s="14">
        <f>サマリー!$B$15</f>
        <v>500000</v>
      </c>
      <c r="H47" s="33">
        <f t="shared" si="6"/>
        <v>-145021</v>
      </c>
      <c r="I47" s="15">
        <f t="shared" si="7"/>
        <v>0.70995799999999998</v>
      </c>
      <c r="J47" s="15">
        <f>IFERROR(D47/サマリー!$B$7,0)</f>
        <v>0.75025600000000003</v>
      </c>
      <c r="K47" s="15">
        <f>IFERROR(E47/サマリー!$B$7,0)</f>
        <v>0.66966000000000003</v>
      </c>
    </row>
    <row r="48" spans="1:11">
      <c r="A48" s="13">
        <v>46</v>
      </c>
      <c r="B48" s="17">
        <f>サマリー!$B$14-WEEKDAY(サマリー!$B$14,2)+1+(46-1)*7</f>
        <v>46272</v>
      </c>
      <c r="C48" s="17">
        <f t="shared" si="4"/>
        <v>46278</v>
      </c>
      <c r="D48" s="14">
        <f>SUMIFS(受注ログ!$C$6:$C$99901,受注ログ!$B$6:$B$99901,"&gt;="&amp;B48,受注ログ!$B$6:$B$99901,"&lt;="&amp;C48)</f>
        <v>484729</v>
      </c>
      <c r="E48" s="14">
        <f>SUMIFS(受注ログ!$D$6:$D$99901,受注ログ!$B$6:$B$99901,"&gt;="&amp;B48,受注ログ!$B$6:$B$99901,"&lt;="&amp;C48)</f>
        <v>120860</v>
      </c>
      <c r="F48" s="14">
        <f t="shared" si="5"/>
        <v>605589</v>
      </c>
      <c r="G48" s="14">
        <f>サマリー!$B$15</f>
        <v>500000</v>
      </c>
      <c r="H48" s="33">
        <f t="shared" si="6"/>
        <v>105589</v>
      </c>
      <c r="I48" s="15">
        <f t="shared" si="7"/>
        <v>1.2111780000000001</v>
      </c>
      <c r="J48" s="15">
        <f>IFERROR(D48/サマリー!$B$7,0)</f>
        <v>1.9389160000000001</v>
      </c>
      <c r="K48" s="15">
        <f>IFERROR(E48/サマリー!$B$7,0)</f>
        <v>0.48343999999999998</v>
      </c>
    </row>
    <row r="49" spans="1:11">
      <c r="A49" s="13">
        <v>47</v>
      </c>
      <c r="B49" s="17">
        <f>サマリー!$B$14-WEEKDAY(サマリー!$B$14,2)+1+(47-1)*7</f>
        <v>46279</v>
      </c>
      <c r="C49" s="17">
        <f t="shared" si="4"/>
        <v>46285</v>
      </c>
      <c r="D49" s="14">
        <f>SUMIFS(受注ログ!$C$6:$C$99901,受注ログ!$B$6:$B$99901,"&gt;="&amp;B49,受注ログ!$B$6:$B$99901,"&lt;="&amp;C49)</f>
        <v>181632</v>
      </c>
      <c r="E49" s="14">
        <f>SUMIFS(受注ログ!$D$6:$D$99901,受注ログ!$B$6:$B$99901,"&gt;="&amp;B49,受注ログ!$B$6:$B$99901,"&lt;="&amp;C49)</f>
        <v>263644</v>
      </c>
      <c r="F49" s="14">
        <f t="shared" si="5"/>
        <v>445276</v>
      </c>
      <c r="G49" s="14">
        <f>サマリー!$B$15</f>
        <v>500000</v>
      </c>
      <c r="H49" s="33">
        <f t="shared" si="6"/>
        <v>-54724</v>
      </c>
      <c r="I49" s="15">
        <f t="shared" si="7"/>
        <v>0.89055200000000001</v>
      </c>
      <c r="J49" s="15">
        <f>IFERROR(D49/サマリー!$B$7,0)</f>
        <v>0.72652799999999995</v>
      </c>
      <c r="K49" s="15">
        <f>IFERROR(E49/サマリー!$B$7,0)</f>
        <v>1.054576</v>
      </c>
    </row>
    <row r="50" spans="1:11">
      <c r="A50" s="13">
        <v>48</v>
      </c>
      <c r="B50" s="17">
        <f>サマリー!$B$14-WEEKDAY(サマリー!$B$14,2)+1+(48-1)*7</f>
        <v>46286</v>
      </c>
      <c r="C50" s="17">
        <f t="shared" si="4"/>
        <v>46292</v>
      </c>
      <c r="D50" s="14">
        <f>SUMIFS(受注ログ!$C$6:$C$99901,受注ログ!$B$6:$B$99901,"&gt;="&amp;B50,受注ログ!$B$6:$B$99901,"&lt;="&amp;C50)</f>
        <v>548303</v>
      </c>
      <c r="E50" s="14">
        <f>SUMIFS(受注ログ!$D$6:$D$99901,受注ログ!$B$6:$B$99901,"&gt;="&amp;B50,受注ログ!$B$6:$B$99901,"&lt;="&amp;C50)</f>
        <v>134609</v>
      </c>
      <c r="F50" s="14">
        <f t="shared" si="5"/>
        <v>682912</v>
      </c>
      <c r="G50" s="14">
        <f>サマリー!$B$15</f>
        <v>500000</v>
      </c>
      <c r="H50" s="33">
        <f t="shared" si="6"/>
        <v>182912</v>
      </c>
      <c r="I50" s="15">
        <f t="shared" si="7"/>
        <v>1.3658239999999999</v>
      </c>
      <c r="J50" s="15">
        <f>IFERROR(D50/サマリー!$B$7,0)</f>
        <v>2.1932119999999999</v>
      </c>
      <c r="K50" s="15">
        <f>IFERROR(E50/サマリー!$B$7,0)</f>
        <v>0.53843600000000003</v>
      </c>
    </row>
    <row r="51" spans="1:11">
      <c r="A51" s="13">
        <v>49</v>
      </c>
      <c r="B51" s="17">
        <f>サマリー!$B$14-WEEKDAY(サマリー!$B$14,2)+1+(49-1)*7</f>
        <v>46293</v>
      </c>
      <c r="C51" s="17">
        <f t="shared" si="4"/>
        <v>46299</v>
      </c>
      <c r="D51" s="14">
        <f>SUMIFS(受注ログ!$C$6:$C$99901,受注ログ!$B$6:$B$99901,"&gt;="&amp;B51,受注ログ!$B$6:$B$99901,"&lt;="&amp;C51)</f>
        <v>237838</v>
      </c>
      <c r="E51" s="14">
        <f>SUMIFS(受注ログ!$D$6:$D$99901,受注ログ!$B$6:$B$99901,"&gt;="&amp;B51,受注ログ!$B$6:$B$99901,"&lt;="&amp;C51)</f>
        <v>146832</v>
      </c>
      <c r="F51" s="14">
        <f t="shared" si="5"/>
        <v>384670</v>
      </c>
      <c r="G51" s="14">
        <f>サマリー!$B$15</f>
        <v>500000</v>
      </c>
      <c r="H51" s="33">
        <f t="shared" si="6"/>
        <v>-115330</v>
      </c>
      <c r="I51" s="15">
        <f t="shared" si="7"/>
        <v>0.76934000000000002</v>
      </c>
      <c r="J51" s="15">
        <f>IFERROR(D51/サマリー!$B$7,0)</f>
        <v>0.95135199999999998</v>
      </c>
      <c r="K51" s="15">
        <f>IFERROR(E51/サマリー!$B$7,0)</f>
        <v>0.58732799999999996</v>
      </c>
    </row>
    <row r="52" spans="1:11">
      <c r="A52" s="13">
        <v>50</v>
      </c>
      <c r="B52" s="17">
        <f>サマリー!$B$14-WEEKDAY(サマリー!$B$14,2)+1+(50-1)*7</f>
        <v>46300</v>
      </c>
      <c r="C52" s="17">
        <f t="shared" si="4"/>
        <v>46306</v>
      </c>
      <c r="D52" s="14">
        <f>SUMIFS(受注ログ!$C$6:$C$99901,受注ログ!$B$6:$B$99901,"&gt;="&amp;B52,受注ログ!$B$6:$B$99901,"&lt;="&amp;C52)</f>
        <v>356226</v>
      </c>
      <c r="E52" s="14">
        <f>SUMIFS(受注ログ!$D$6:$D$99901,受注ログ!$B$6:$B$99901,"&gt;="&amp;B52,受注ログ!$B$6:$B$99901,"&lt;="&amp;C52)</f>
        <v>173171</v>
      </c>
      <c r="F52" s="14">
        <f t="shared" si="5"/>
        <v>529397</v>
      </c>
      <c r="G52" s="14">
        <f>サマリー!$B$15</f>
        <v>500000</v>
      </c>
      <c r="H52" s="33">
        <f t="shared" si="6"/>
        <v>29397</v>
      </c>
      <c r="I52" s="15">
        <f t="shared" si="7"/>
        <v>1.058794</v>
      </c>
      <c r="J52" s="15">
        <f>IFERROR(D52/サマリー!$B$7,0)</f>
        <v>1.4249039999999999</v>
      </c>
      <c r="K52" s="15">
        <f>IFERROR(E52/サマリー!$B$7,0)</f>
        <v>0.69268399999999997</v>
      </c>
    </row>
    <row r="53" spans="1:11">
      <c r="A53" s="13">
        <v>51</v>
      </c>
      <c r="B53" s="17">
        <f>サマリー!$B$14-WEEKDAY(サマリー!$B$14,2)+1+(51-1)*7</f>
        <v>46307</v>
      </c>
      <c r="C53" s="17">
        <f t="shared" si="4"/>
        <v>46313</v>
      </c>
      <c r="D53" s="14">
        <f>SUMIFS(受注ログ!$C$6:$C$99901,受注ログ!$B$6:$B$99901,"&gt;="&amp;B53,受注ログ!$B$6:$B$99901,"&lt;="&amp;C53)</f>
        <v>162323</v>
      </c>
      <c r="E53" s="14">
        <f>SUMIFS(受注ログ!$D$6:$D$99901,受注ログ!$B$6:$B$99901,"&gt;="&amp;B53,受注ログ!$B$6:$B$99901,"&lt;="&amp;C53)</f>
        <v>125960</v>
      </c>
      <c r="F53" s="14">
        <f t="shared" si="5"/>
        <v>288283</v>
      </c>
      <c r="G53" s="14">
        <f>サマリー!$B$15</f>
        <v>500000</v>
      </c>
      <c r="H53" s="33">
        <f t="shared" si="6"/>
        <v>-211717</v>
      </c>
      <c r="I53" s="15">
        <f t="shared" si="7"/>
        <v>0.57656600000000002</v>
      </c>
      <c r="J53" s="15">
        <f>IFERROR(D53/サマリー!$B$7,0)</f>
        <v>0.64929199999999998</v>
      </c>
      <c r="K53" s="15">
        <f>IFERROR(E53/サマリー!$B$7,0)</f>
        <v>0.50383999999999995</v>
      </c>
    </row>
    <row r="54" spans="1:11">
      <c r="A54" s="13">
        <v>52</v>
      </c>
      <c r="B54" s="17">
        <f>サマリー!$B$14-WEEKDAY(サマリー!$B$14,2)+1+(52-1)*7</f>
        <v>46314</v>
      </c>
      <c r="C54" s="17">
        <f t="shared" si="4"/>
        <v>46320</v>
      </c>
      <c r="D54" s="14">
        <f>SUMIFS(受注ログ!$C$6:$C$99901,受注ログ!$B$6:$B$99901,"&gt;="&amp;B54,受注ログ!$B$6:$B$99901,"&lt;="&amp;C54)</f>
        <v>258259</v>
      </c>
      <c r="E54" s="14">
        <f>SUMIFS(受注ログ!$D$6:$D$99901,受注ログ!$B$6:$B$99901,"&gt;="&amp;B54,受注ログ!$B$6:$B$99901,"&lt;="&amp;C54)</f>
        <v>198722</v>
      </c>
      <c r="F54" s="14">
        <f t="shared" si="5"/>
        <v>456981</v>
      </c>
      <c r="G54" s="14">
        <f>サマリー!$B$15</f>
        <v>500000</v>
      </c>
      <c r="H54" s="33">
        <f t="shared" si="6"/>
        <v>-43019</v>
      </c>
      <c r="I54" s="15">
        <f t="shared" si="7"/>
        <v>0.91396200000000005</v>
      </c>
      <c r="J54" s="15">
        <f>IFERROR(D54/サマリー!$B$7,0)</f>
        <v>1.0330360000000001</v>
      </c>
      <c r="K54" s="15">
        <f>IFERROR(E54/サマリー!$B$7,0)</f>
        <v>0.79488800000000004</v>
      </c>
    </row>
    <row r="55" spans="1:11">
      <c r="A55" s="13">
        <v>53</v>
      </c>
      <c r="B55" s="17">
        <f>サマリー!$B$14-WEEKDAY(サマリー!$B$14,2)+1+(53-1)*7</f>
        <v>46321</v>
      </c>
      <c r="C55" s="17">
        <f t="shared" si="4"/>
        <v>46327</v>
      </c>
      <c r="D55" s="14">
        <f>SUMIFS(受注ログ!$C$6:$C$99901,受注ログ!$B$6:$B$99901,"&gt;="&amp;B55,受注ログ!$B$6:$B$99901,"&lt;="&amp;C55)</f>
        <v>0</v>
      </c>
      <c r="E55" s="14">
        <f>SUMIFS(受注ログ!$D$6:$D$99901,受注ログ!$B$6:$B$99901,"&gt;="&amp;B55,受注ログ!$B$6:$B$99901,"&lt;="&amp;C55)</f>
        <v>0</v>
      </c>
      <c r="F55" s="14">
        <f t="shared" si="5"/>
        <v>0</v>
      </c>
      <c r="G55" s="14">
        <f>サマリー!$B$15</f>
        <v>500000</v>
      </c>
      <c r="H55" s="33">
        <f t="shared" si="6"/>
        <v>-500000</v>
      </c>
      <c r="I55" s="15">
        <f t="shared" si="7"/>
        <v>0</v>
      </c>
      <c r="J55" s="15">
        <f>IFERROR(D55/サマリー!$B$7,0)</f>
        <v>0</v>
      </c>
      <c r="K55" s="15">
        <f>IFERROR(E55/サマリー!$B$7,0)</f>
        <v>0</v>
      </c>
    </row>
    <row r="56" spans="1:11">
      <c r="A56" s="13">
        <v>54</v>
      </c>
      <c r="B56" s="17">
        <f>サマリー!$B$14-WEEKDAY(サマリー!$B$14,2)+1+(54-1)*7</f>
        <v>46328</v>
      </c>
      <c r="C56" s="17">
        <f t="shared" si="4"/>
        <v>46334</v>
      </c>
      <c r="D56" s="14">
        <f>SUMIFS(受注ログ!$C$6:$C$99901,受注ログ!$B$6:$B$99901,"&gt;="&amp;B56,受注ログ!$B$6:$B$99901,"&lt;="&amp;C56)</f>
        <v>0</v>
      </c>
      <c r="E56" s="14">
        <f>SUMIFS(受注ログ!$D$6:$D$99901,受注ログ!$B$6:$B$99901,"&gt;="&amp;B56,受注ログ!$B$6:$B$99901,"&lt;="&amp;C56)</f>
        <v>0</v>
      </c>
      <c r="F56" s="14">
        <f t="shared" si="5"/>
        <v>0</v>
      </c>
      <c r="G56" s="14">
        <f>サマリー!$B$15</f>
        <v>500000</v>
      </c>
      <c r="H56" s="33">
        <f t="shared" si="6"/>
        <v>-500000</v>
      </c>
      <c r="I56" s="15">
        <f t="shared" si="7"/>
        <v>0</v>
      </c>
      <c r="J56" s="15">
        <f>IFERROR(D56/サマリー!$B$7,0)</f>
        <v>0</v>
      </c>
      <c r="K56" s="15">
        <f>IFERROR(E56/サマリー!$B$7,0)</f>
        <v>0</v>
      </c>
    </row>
    <row r="58" spans="1:11">
      <c r="A58" s="38" t="s">
        <v>85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</row>
  </sheetData>
  <mergeCells count="2">
    <mergeCell ref="A1:K1"/>
    <mergeCell ref="A58:K58"/>
  </mergeCells>
  <phoneticPr fontId="19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K15"/>
  <sheetViews>
    <sheetView showGridLines="0" zoomScaleNormal="100" workbookViewId="0">
      <selection activeCell="D9" sqref="D9"/>
    </sheetView>
  </sheetViews>
  <sheetFormatPr defaultColWidth="8.7109375" defaultRowHeight="15"/>
  <cols>
    <col min="1" max="1" width="8" customWidth="1"/>
    <col min="2" max="3" width="12" customWidth="1"/>
    <col min="4" max="8" width="14" customWidth="1"/>
    <col min="9" max="11" width="10" customWidth="1"/>
  </cols>
  <sheetData>
    <row r="1" spans="1:11" ht="24" customHeight="1">
      <c r="A1" s="37" t="s">
        <v>86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25.5" customHeight="1">
      <c r="A2" s="12" t="s">
        <v>87</v>
      </c>
      <c r="B2" s="12" t="s">
        <v>76</v>
      </c>
      <c r="C2" s="12" t="s">
        <v>77</v>
      </c>
      <c r="D2" s="12" t="s">
        <v>78</v>
      </c>
      <c r="E2" s="12" t="s">
        <v>79</v>
      </c>
      <c r="F2" s="12" t="s">
        <v>80</v>
      </c>
      <c r="G2" s="12" t="s">
        <v>88</v>
      </c>
      <c r="H2" s="12" t="s">
        <v>82</v>
      </c>
      <c r="I2" s="12" t="s">
        <v>23</v>
      </c>
      <c r="J2" s="12" t="s">
        <v>83</v>
      </c>
      <c r="K2" s="12" t="s">
        <v>84</v>
      </c>
    </row>
    <row r="3" spans="1:11">
      <c r="A3" s="13">
        <v>1</v>
      </c>
      <c r="B3" s="17">
        <f>EDATE(サマリー!$B$14,1-1)</f>
        <v>45962</v>
      </c>
      <c r="C3" s="17">
        <f t="shared" ref="C3:C15" si="0">EOMONTH(B3,0)</f>
        <v>45991</v>
      </c>
      <c r="D3" s="14">
        <f>SUMIFS(受注ログ!$C$6:$C$99901,受注ログ!$B$6:$B$99901,"&gt;="&amp;B3,受注ログ!$B$6:$B$99901,"&lt;="&amp;C3)</f>
        <v>0</v>
      </c>
      <c r="E3" s="14">
        <f>SUMIFS(受注ログ!$D$6:$D$99901,受注ログ!$B$6:$B$99901,"&gt;="&amp;B3,受注ログ!$B$6:$B$99901,"&lt;="&amp;C3)</f>
        <v>0</v>
      </c>
      <c r="F3" s="14">
        <f t="shared" ref="F3:F15" si="1">D3+E3</f>
        <v>0</v>
      </c>
      <c r="G3" s="14">
        <f>サマリー!$B$16</f>
        <v>2000000</v>
      </c>
      <c r="H3" s="33">
        <f t="shared" ref="H3:H15" si="2">F3-G3</f>
        <v>-2000000</v>
      </c>
      <c r="I3" s="15">
        <f t="shared" ref="I3:I15" si="3">IFERROR(F3/G3,0)</f>
        <v>0</v>
      </c>
      <c r="J3" s="15">
        <f>IFERROR(D3/サマリー!$B$8,0)</f>
        <v>0</v>
      </c>
      <c r="K3" s="15">
        <f>IFERROR(E3/サマリー!$B$8,0)</f>
        <v>0</v>
      </c>
    </row>
    <row r="4" spans="1:11">
      <c r="A4" s="13">
        <v>2</v>
      </c>
      <c r="B4" s="17">
        <f>EDATE(サマリー!$B$14,2-1)</f>
        <v>45992</v>
      </c>
      <c r="C4" s="17">
        <f t="shared" si="0"/>
        <v>46022</v>
      </c>
      <c r="D4" s="14">
        <f>SUMIFS(受注ログ!$C$6:$C$99901,受注ログ!$B$6:$B$99901,"&gt;="&amp;B4,受注ログ!$B$6:$B$99901,"&lt;="&amp;C4)</f>
        <v>0</v>
      </c>
      <c r="E4" s="14">
        <f>SUMIFS(受注ログ!$D$6:$D$99901,受注ログ!$B$6:$B$99901,"&gt;="&amp;B4,受注ログ!$B$6:$B$99901,"&lt;="&amp;C4)</f>
        <v>0</v>
      </c>
      <c r="F4" s="14">
        <f t="shared" si="1"/>
        <v>0</v>
      </c>
      <c r="G4" s="14">
        <f>サマリー!$B$16</f>
        <v>2000000</v>
      </c>
      <c r="H4" s="33">
        <f t="shared" si="2"/>
        <v>-2000000</v>
      </c>
      <c r="I4" s="15">
        <f t="shared" si="3"/>
        <v>0</v>
      </c>
      <c r="J4" s="15">
        <f>IFERROR(D4/サマリー!$B$8,0)</f>
        <v>0</v>
      </c>
      <c r="K4" s="15">
        <f>IFERROR(E4/サマリー!$B$8,0)</f>
        <v>0</v>
      </c>
    </row>
    <row r="5" spans="1:11">
      <c r="A5" s="13">
        <v>3</v>
      </c>
      <c r="B5" s="17">
        <f>EDATE(サマリー!$B$14,3-1)</f>
        <v>46023</v>
      </c>
      <c r="C5" s="17">
        <f t="shared" si="0"/>
        <v>46053</v>
      </c>
      <c r="D5" s="14">
        <f>SUMIFS(受注ログ!$C$6:$C$99901,受注ログ!$B$6:$B$99901,"&gt;="&amp;B5,受注ログ!$B$6:$B$99901,"&lt;="&amp;C5)</f>
        <v>0</v>
      </c>
      <c r="E5" s="14">
        <f>SUMIFS(受注ログ!$D$6:$D$99901,受注ログ!$B$6:$B$99901,"&gt;="&amp;B5,受注ログ!$B$6:$B$99901,"&lt;="&amp;C5)</f>
        <v>0</v>
      </c>
      <c r="F5" s="14">
        <f t="shared" si="1"/>
        <v>0</v>
      </c>
      <c r="G5" s="14">
        <f>サマリー!$B$16</f>
        <v>2000000</v>
      </c>
      <c r="H5" s="33">
        <f t="shared" si="2"/>
        <v>-2000000</v>
      </c>
      <c r="I5" s="15">
        <f t="shared" si="3"/>
        <v>0</v>
      </c>
      <c r="J5" s="15">
        <f>IFERROR(D5/サマリー!$B$8,0)</f>
        <v>0</v>
      </c>
      <c r="K5" s="15">
        <f>IFERROR(E5/サマリー!$B$8,0)</f>
        <v>0</v>
      </c>
    </row>
    <row r="6" spans="1:11">
      <c r="A6" s="13">
        <v>4</v>
      </c>
      <c r="B6" s="17">
        <f>EDATE(サマリー!$B$14,4-1)</f>
        <v>46054</v>
      </c>
      <c r="C6" s="17">
        <f t="shared" si="0"/>
        <v>46081</v>
      </c>
      <c r="D6" s="14">
        <f>SUMIFS(受注ログ!$C$6:$C$99901,受注ログ!$B$6:$B$99901,"&gt;="&amp;B6,受注ログ!$B$6:$B$99901,"&lt;="&amp;C6)</f>
        <v>0</v>
      </c>
      <c r="E6" s="14">
        <f>SUMIFS(受注ログ!$D$6:$D$99901,受注ログ!$B$6:$B$99901,"&gt;="&amp;B6,受注ログ!$B$6:$B$99901,"&lt;="&amp;C6)</f>
        <v>0</v>
      </c>
      <c r="F6" s="14">
        <f t="shared" si="1"/>
        <v>0</v>
      </c>
      <c r="G6" s="14">
        <f>サマリー!$B$16</f>
        <v>2000000</v>
      </c>
      <c r="H6" s="33">
        <f t="shared" si="2"/>
        <v>-2000000</v>
      </c>
      <c r="I6" s="15">
        <f t="shared" si="3"/>
        <v>0</v>
      </c>
      <c r="J6" s="15">
        <f>IFERROR(D6/サマリー!$B$8,0)</f>
        <v>0</v>
      </c>
      <c r="K6" s="15">
        <f>IFERROR(E6/サマリー!$B$8,0)</f>
        <v>0</v>
      </c>
    </row>
    <row r="7" spans="1:11">
      <c r="A7" s="13">
        <v>5</v>
      </c>
      <c r="B7" s="17">
        <f>EDATE(サマリー!$B$14,5-1)</f>
        <v>46082</v>
      </c>
      <c r="C7" s="17">
        <f t="shared" si="0"/>
        <v>46112</v>
      </c>
      <c r="D7" s="14">
        <f>SUMIFS(受注ログ!$C$6:$C$99901,受注ログ!$B$6:$B$99901,"&gt;="&amp;B7,受注ログ!$B$6:$B$99901,"&lt;="&amp;C7)</f>
        <v>0</v>
      </c>
      <c r="E7" s="14">
        <f>SUMIFS(受注ログ!$D$6:$D$99901,受注ログ!$B$6:$B$99901,"&gt;="&amp;B7,受注ログ!$B$6:$B$99901,"&lt;="&amp;C7)</f>
        <v>0</v>
      </c>
      <c r="F7" s="14">
        <f t="shared" si="1"/>
        <v>0</v>
      </c>
      <c r="G7" s="14">
        <f>サマリー!$B$16</f>
        <v>2000000</v>
      </c>
      <c r="H7" s="33">
        <f t="shared" si="2"/>
        <v>-2000000</v>
      </c>
      <c r="I7" s="15">
        <f t="shared" si="3"/>
        <v>0</v>
      </c>
      <c r="J7" s="15">
        <f>IFERROR(D7/サマリー!$B$8,0)</f>
        <v>0</v>
      </c>
      <c r="K7" s="15">
        <f>IFERROR(E7/サマリー!$B$8,0)</f>
        <v>0</v>
      </c>
    </row>
    <row r="8" spans="1:11">
      <c r="A8" s="13">
        <v>6</v>
      </c>
      <c r="B8" s="17">
        <f>EDATE(サマリー!$B$14,6-1)</f>
        <v>46113</v>
      </c>
      <c r="C8" s="17">
        <f t="shared" si="0"/>
        <v>46142</v>
      </c>
      <c r="D8" s="14">
        <f>SUMIFS(受注ログ!$C$6:$C$99901,受注ログ!$B$6:$B$99901,"&gt;="&amp;B8,受注ログ!$B$6:$B$99901,"&lt;="&amp;C8)</f>
        <v>0</v>
      </c>
      <c r="E8" s="14">
        <f>SUMIFS(受注ログ!$D$6:$D$99901,受注ログ!$B$6:$B$99901,"&gt;="&amp;B8,受注ログ!$B$6:$B$99901,"&lt;="&amp;C8)</f>
        <v>0</v>
      </c>
      <c r="F8" s="14">
        <f t="shared" si="1"/>
        <v>0</v>
      </c>
      <c r="G8" s="14">
        <f>サマリー!$B$16</f>
        <v>2000000</v>
      </c>
      <c r="H8" s="33">
        <f t="shared" si="2"/>
        <v>-2000000</v>
      </c>
      <c r="I8" s="15">
        <f t="shared" si="3"/>
        <v>0</v>
      </c>
      <c r="J8" s="15">
        <f>IFERROR(D8/サマリー!$B$8,0)</f>
        <v>0</v>
      </c>
      <c r="K8" s="15">
        <f>IFERROR(E8/サマリー!$B$8,0)</f>
        <v>0</v>
      </c>
    </row>
    <row r="9" spans="1:11">
      <c r="A9" s="13">
        <v>7</v>
      </c>
      <c r="B9" s="17">
        <f>EDATE(サマリー!$B$14,7-1)</f>
        <v>46143</v>
      </c>
      <c r="C9" s="17">
        <f t="shared" si="0"/>
        <v>46173</v>
      </c>
      <c r="D9" s="14">
        <f>SUMIFS(受注ログ!$C$6:$C$99901,受注ログ!$B$6:$B$99901,"&gt;="&amp;B9,受注ログ!$B$6:$B$99901,"&lt;="&amp;C9)</f>
        <v>1248919</v>
      </c>
      <c r="E9" s="14">
        <f>SUMIFS(受注ログ!$D$6:$D$99901,受注ログ!$B$6:$B$99901,"&gt;="&amp;B9,受注ログ!$B$6:$B$99901,"&lt;="&amp;C9)</f>
        <v>1592899</v>
      </c>
      <c r="F9" s="14">
        <f t="shared" si="1"/>
        <v>2841818</v>
      </c>
      <c r="G9" s="14">
        <f>サマリー!$B$16</f>
        <v>2000000</v>
      </c>
      <c r="H9" s="33">
        <f t="shared" si="2"/>
        <v>841818</v>
      </c>
      <c r="I9" s="15">
        <f t="shared" si="3"/>
        <v>1.420909</v>
      </c>
      <c r="J9" s="15">
        <f>IFERROR(D9/サマリー!$B$8,0)</f>
        <v>1.2489189999999999</v>
      </c>
      <c r="K9" s="15">
        <f>IFERROR(E9/サマリー!$B$8,0)</f>
        <v>1.5928990000000001</v>
      </c>
    </row>
    <row r="10" spans="1:11">
      <c r="A10" s="13">
        <v>8</v>
      </c>
      <c r="B10" s="17">
        <f>EDATE(サマリー!$B$14,8-1)</f>
        <v>46174</v>
      </c>
      <c r="C10" s="17">
        <f t="shared" si="0"/>
        <v>46203</v>
      </c>
      <c r="D10" s="14">
        <f>SUMIFS(受注ログ!$C$6:$C$99901,受注ログ!$B$6:$B$99901,"&gt;="&amp;B10,受注ログ!$B$6:$B$99901,"&lt;="&amp;C10)</f>
        <v>1055167</v>
      </c>
      <c r="E10" s="14">
        <f>SUMIFS(受注ログ!$D$6:$D$99901,受注ログ!$B$6:$B$99901,"&gt;="&amp;B10,受注ログ!$B$6:$B$99901,"&lt;="&amp;C10)</f>
        <v>832944</v>
      </c>
      <c r="F10" s="14">
        <f t="shared" si="1"/>
        <v>1888111</v>
      </c>
      <c r="G10" s="14">
        <f>サマリー!$B$16</f>
        <v>2000000</v>
      </c>
      <c r="H10" s="33">
        <f t="shared" si="2"/>
        <v>-111889</v>
      </c>
      <c r="I10" s="15">
        <f t="shared" si="3"/>
        <v>0.94405550000000005</v>
      </c>
      <c r="J10" s="15">
        <f>IFERROR(D10/サマリー!$B$8,0)</f>
        <v>1.055167</v>
      </c>
      <c r="K10" s="15">
        <f>IFERROR(E10/サマリー!$B$8,0)</f>
        <v>0.83294400000000002</v>
      </c>
    </row>
    <row r="11" spans="1:11">
      <c r="A11" s="13">
        <v>9</v>
      </c>
      <c r="B11" s="17">
        <f>EDATE(サマリー!$B$14,9-1)</f>
        <v>46204</v>
      </c>
      <c r="C11" s="17">
        <f t="shared" si="0"/>
        <v>46234</v>
      </c>
      <c r="D11" s="14">
        <f>SUMIFS(受注ログ!$C$6:$C$99901,受注ログ!$B$6:$B$99901,"&gt;="&amp;B11,受注ログ!$B$6:$B$99901,"&lt;="&amp;C11)</f>
        <v>1123457</v>
      </c>
      <c r="E11" s="14">
        <f>SUMIFS(受注ログ!$D$6:$D$99901,受注ログ!$B$6:$B$99901,"&gt;="&amp;B11,受注ログ!$B$6:$B$99901,"&lt;="&amp;C11)</f>
        <v>639108</v>
      </c>
      <c r="F11" s="14">
        <f t="shared" si="1"/>
        <v>1762565</v>
      </c>
      <c r="G11" s="14">
        <f>サマリー!$B$16</f>
        <v>2000000</v>
      </c>
      <c r="H11" s="33">
        <f t="shared" si="2"/>
        <v>-237435</v>
      </c>
      <c r="I11" s="15">
        <f t="shared" si="3"/>
        <v>0.88128249999999997</v>
      </c>
      <c r="J11" s="15">
        <f>IFERROR(D11/サマリー!$B$8,0)</f>
        <v>1.1234569999999999</v>
      </c>
      <c r="K11" s="15">
        <f>IFERROR(E11/サマリー!$B$8,0)</f>
        <v>0.63910800000000001</v>
      </c>
    </row>
    <row r="12" spans="1:11">
      <c r="A12" s="13">
        <v>10</v>
      </c>
      <c r="B12" s="17">
        <f>EDATE(サマリー!$B$14,10-1)</f>
        <v>46235</v>
      </c>
      <c r="C12" s="17">
        <f t="shared" si="0"/>
        <v>46265</v>
      </c>
      <c r="D12" s="14">
        <f>SUMIFS(受注ログ!$C$6:$C$99901,受注ログ!$B$6:$B$99901,"&gt;="&amp;B12,受注ログ!$B$6:$B$99901,"&lt;="&amp;C12)</f>
        <v>1102988</v>
      </c>
      <c r="E12" s="14">
        <f>SUMIFS(受注ログ!$D$6:$D$99901,受注ログ!$B$6:$B$99901,"&gt;="&amp;B12,受注ログ!$B$6:$B$99901,"&lt;="&amp;C12)</f>
        <v>957083</v>
      </c>
      <c r="F12" s="14">
        <f t="shared" si="1"/>
        <v>2060071</v>
      </c>
      <c r="G12" s="14">
        <f>サマリー!$B$16</f>
        <v>2000000</v>
      </c>
      <c r="H12" s="33">
        <f t="shared" si="2"/>
        <v>60071</v>
      </c>
      <c r="I12" s="15">
        <f t="shared" si="3"/>
        <v>1.0300355000000001</v>
      </c>
      <c r="J12" s="15">
        <f>IFERROR(D12/サマリー!$B$8,0)</f>
        <v>1.1029880000000001</v>
      </c>
      <c r="K12" s="15">
        <f>IFERROR(E12/サマリー!$B$8,0)</f>
        <v>0.95708300000000002</v>
      </c>
    </row>
    <row r="13" spans="1:11">
      <c r="A13" s="13">
        <v>11</v>
      </c>
      <c r="B13" s="17">
        <f>EDATE(サマリー!$B$14,11-1)</f>
        <v>46266</v>
      </c>
      <c r="C13" s="17">
        <f t="shared" si="0"/>
        <v>46295</v>
      </c>
      <c r="D13" s="14">
        <f>SUMIFS(受注ログ!$C$6:$C$99901,受注ログ!$B$6:$B$99901,"&gt;="&amp;B13,受注ログ!$B$6:$B$99901,"&lt;="&amp;C13)</f>
        <v>1468973</v>
      </c>
      <c r="E13" s="14">
        <f>SUMIFS(受注ログ!$D$6:$D$99901,受注ログ!$B$6:$B$99901,"&gt;="&amp;B13,受注ログ!$B$6:$B$99901,"&lt;="&amp;C13)</f>
        <v>716491</v>
      </c>
      <c r="F13" s="14">
        <f t="shared" si="1"/>
        <v>2185464</v>
      </c>
      <c r="G13" s="14">
        <f>サマリー!$B$16</f>
        <v>2000000</v>
      </c>
      <c r="H13" s="33">
        <f t="shared" si="2"/>
        <v>185464</v>
      </c>
      <c r="I13" s="15">
        <f t="shared" si="3"/>
        <v>1.092732</v>
      </c>
      <c r="J13" s="15">
        <f>IFERROR(D13/サマリー!$B$8,0)</f>
        <v>1.4689730000000001</v>
      </c>
      <c r="K13" s="15">
        <f>IFERROR(E13/サマリー!$B$8,0)</f>
        <v>0.71649099999999999</v>
      </c>
    </row>
    <row r="14" spans="1:11">
      <c r="A14" s="13">
        <v>12</v>
      </c>
      <c r="B14" s="17">
        <f>EDATE(サマリー!$B$14,12-1)</f>
        <v>46296</v>
      </c>
      <c r="C14" s="17">
        <f t="shared" si="0"/>
        <v>46326</v>
      </c>
      <c r="D14" s="14">
        <f>SUMIFS(受注ログ!$C$6:$C$99901,受注ログ!$B$6:$B$99901,"&gt;="&amp;B14,受注ログ!$B$6:$B$99901,"&lt;="&amp;C14)</f>
        <v>939646</v>
      </c>
      <c r="E14" s="14">
        <f>SUMIFS(受注ログ!$D$6:$D$99901,受注ログ!$B$6:$B$99901,"&gt;="&amp;B14,受注ログ!$B$6:$B$99901,"&lt;="&amp;C14)</f>
        <v>581922</v>
      </c>
      <c r="F14" s="14">
        <f t="shared" si="1"/>
        <v>1521568</v>
      </c>
      <c r="G14" s="14">
        <f>サマリー!$B$16</f>
        <v>2000000</v>
      </c>
      <c r="H14" s="33">
        <f t="shared" si="2"/>
        <v>-478432</v>
      </c>
      <c r="I14" s="15">
        <f t="shared" si="3"/>
        <v>0.76078400000000002</v>
      </c>
      <c r="J14" s="15">
        <f>IFERROR(D14/サマリー!$B$8,0)</f>
        <v>0.93964599999999998</v>
      </c>
      <c r="K14" s="15">
        <f>IFERROR(E14/サマリー!$B$8,0)</f>
        <v>0.58192200000000005</v>
      </c>
    </row>
    <row r="15" spans="1:11">
      <c r="A15" s="13">
        <v>13</v>
      </c>
      <c r="B15" s="17">
        <f>EDATE(サマリー!$B$14,13-1)</f>
        <v>46327</v>
      </c>
      <c r="C15" s="17">
        <f t="shared" si="0"/>
        <v>46356</v>
      </c>
      <c r="D15" s="14">
        <f>SUMIFS(受注ログ!$C$6:$C$99901,受注ログ!$B$6:$B$99901,"&gt;="&amp;B15,受注ログ!$B$6:$B$99901,"&lt;="&amp;C15)</f>
        <v>0</v>
      </c>
      <c r="E15" s="14">
        <f>SUMIFS(受注ログ!$D$6:$D$99901,受注ログ!$B$6:$B$99901,"&gt;="&amp;B15,受注ログ!$B$6:$B$99901,"&lt;="&amp;C15)</f>
        <v>0</v>
      </c>
      <c r="F15" s="14">
        <f t="shared" si="1"/>
        <v>0</v>
      </c>
      <c r="G15" s="14">
        <f>サマリー!$B$16</f>
        <v>2000000</v>
      </c>
      <c r="H15" s="33">
        <f t="shared" si="2"/>
        <v>-2000000</v>
      </c>
      <c r="I15" s="15">
        <f t="shared" si="3"/>
        <v>0</v>
      </c>
      <c r="J15" s="15">
        <f>IFERROR(D15/サマリー!$B$8,0)</f>
        <v>0</v>
      </c>
      <c r="K15" s="15">
        <f>IFERROR(E15/サマリー!$B$8,0)</f>
        <v>0</v>
      </c>
    </row>
  </sheetData>
  <mergeCells count="1">
    <mergeCell ref="A1:K1"/>
  </mergeCells>
  <phoneticPr fontId="19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5"/>
  <sheetViews>
    <sheetView showGridLines="0" zoomScaleNormal="100" workbookViewId="0">
      <selection activeCell="E14" sqref="E14"/>
    </sheetView>
  </sheetViews>
  <sheetFormatPr defaultColWidth="8.7109375" defaultRowHeight="15"/>
  <cols>
    <col min="1" max="1" width="10" customWidth="1"/>
    <col min="2" max="3" width="12" customWidth="1"/>
    <col min="4" max="8" width="14" customWidth="1"/>
    <col min="9" max="9" width="10" customWidth="1"/>
  </cols>
  <sheetData>
    <row r="1" spans="1:9" ht="24" customHeight="1">
      <c r="A1" s="37" t="s">
        <v>89</v>
      </c>
      <c r="B1" s="37"/>
      <c r="C1" s="37"/>
      <c r="D1" s="37"/>
      <c r="E1" s="37"/>
      <c r="F1" s="37"/>
      <c r="G1" s="37"/>
      <c r="H1" s="37"/>
      <c r="I1" s="37"/>
    </row>
    <row r="2" spans="1:9" ht="25.5" customHeight="1">
      <c r="A2" s="12" t="s">
        <v>90</v>
      </c>
      <c r="B2" s="12" t="s">
        <v>76</v>
      </c>
      <c r="C2" s="12" t="s">
        <v>77</v>
      </c>
      <c r="D2" s="12" t="s">
        <v>78</v>
      </c>
      <c r="E2" s="12" t="s">
        <v>79</v>
      </c>
      <c r="F2" s="12" t="s">
        <v>80</v>
      </c>
      <c r="G2" s="12" t="s">
        <v>91</v>
      </c>
      <c r="H2" s="12" t="s">
        <v>82</v>
      </c>
      <c r="I2" s="12" t="s">
        <v>23</v>
      </c>
    </row>
    <row r="3" spans="1:9">
      <c r="A3" s="34" t="s">
        <v>92</v>
      </c>
      <c r="B3" s="17">
        <f>サマリー!$B$14</f>
        <v>45962</v>
      </c>
      <c r="C3" s="17">
        <f>EOMONTH(サマリー!$B$14,5)</f>
        <v>46142</v>
      </c>
      <c r="D3" s="14">
        <f>SUMIFS(受注ログ!$C$6:$C$99901,受注ログ!$B$6:$B$99901,"&gt;="&amp;B3,受注ログ!$B$6:$B$99901,"&lt;="&amp;C3)</f>
        <v>0</v>
      </c>
      <c r="E3" s="14">
        <f>SUMIFS(受注ログ!$D$6:$D$99901,受注ログ!$B$6:$B$99901,"&gt;="&amp;B3,受注ログ!$B$6:$B$99901,"&lt;="&amp;C3)</f>
        <v>0</v>
      </c>
      <c r="F3" s="14">
        <f>D3+E3</f>
        <v>0</v>
      </c>
      <c r="G3" s="14">
        <f>サマリー!$B$17</f>
        <v>12000000</v>
      </c>
      <c r="H3" s="33">
        <f>F3-G3</f>
        <v>-12000000</v>
      </c>
      <c r="I3" s="15">
        <f>IFERROR(F3/G3,0)</f>
        <v>0</v>
      </c>
    </row>
    <row r="4" spans="1:9">
      <c r="A4" s="34" t="s">
        <v>93</v>
      </c>
      <c r="B4" s="17">
        <f>EDATE(サマリー!$B$14,6)</f>
        <v>46143</v>
      </c>
      <c r="C4" s="17">
        <f>EOMONTH(サマリー!$B$14,11)</f>
        <v>46326</v>
      </c>
      <c r="D4" s="14">
        <f>SUMIFS(受注ログ!$C$6:$C$99901,受注ログ!$B$6:$B$99901,"&gt;="&amp;B4,受注ログ!$B$6:$B$99901,"&lt;="&amp;C4)</f>
        <v>6939150</v>
      </c>
      <c r="E4" s="14">
        <f>SUMIFS(受注ログ!$D$6:$D$99901,受注ログ!$B$6:$B$99901,"&gt;="&amp;B4,受注ログ!$B$6:$B$99901,"&lt;="&amp;C4)</f>
        <v>5320447</v>
      </c>
      <c r="F4" s="14">
        <f>D4+E4</f>
        <v>12259597</v>
      </c>
      <c r="G4" s="14">
        <f>サマリー!$B$17</f>
        <v>12000000</v>
      </c>
      <c r="H4" s="33">
        <f>F4-G4</f>
        <v>259597</v>
      </c>
      <c r="I4" s="15">
        <f>IFERROR(F4/G4,0)</f>
        <v>1.0216330833333334</v>
      </c>
    </row>
    <row r="5" spans="1:9">
      <c r="A5" s="34" t="s">
        <v>94</v>
      </c>
      <c r="B5" s="17">
        <f>サマリー!$B$14</f>
        <v>45962</v>
      </c>
      <c r="C5" s="17">
        <f>EOMONTH(サマリー!$B$14,11)</f>
        <v>46326</v>
      </c>
      <c r="D5" s="14">
        <f>SUMIFS(受注ログ!$C$6:$C$99901,受注ログ!$B$6:$B$99901,"&gt;="&amp;B5,受注ログ!$B$6:$B$99901,"&lt;="&amp;C5)</f>
        <v>6939150</v>
      </c>
      <c r="E5" s="14">
        <f>SUMIFS(受注ログ!$D$6:$D$99901,受注ログ!$B$6:$B$99901,"&gt;="&amp;B5,受注ログ!$B$6:$B$99901,"&lt;="&amp;C5)</f>
        <v>5320447</v>
      </c>
      <c r="F5" s="14">
        <f>D5+E5</f>
        <v>12259597</v>
      </c>
      <c r="G5" s="14">
        <f>サマリー!$B$18</f>
        <v>24000000</v>
      </c>
      <c r="H5" s="33">
        <f>F5-G5</f>
        <v>-11740403</v>
      </c>
      <c r="I5" s="15">
        <f>IFERROR(F5/G5,0)</f>
        <v>0.51081654166666668</v>
      </c>
    </row>
  </sheetData>
  <mergeCells count="1">
    <mergeCell ref="A1:I1"/>
  </mergeCells>
  <phoneticPr fontId="19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C12"/>
  <sheetViews>
    <sheetView showGridLines="0" zoomScaleNormal="100" workbookViewId="0">
      <selection activeCell="C8" sqref="C8"/>
    </sheetView>
  </sheetViews>
  <sheetFormatPr defaultColWidth="8.7109375" defaultRowHeight="15"/>
  <cols>
    <col min="1" max="1" width="16" customWidth="1"/>
    <col min="2" max="3" width="18" customWidth="1"/>
  </cols>
  <sheetData>
    <row r="1" spans="1:3" ht="31.5" customHeight="1">
      <c r="A1" s="42" t="s">
        <v>95</v>
      </c>
      <c r="B1" s="42"/>
      <c r="C1" s="42"/>
    </row>
    <row r="2" spans="1:3" ht="19.5" customHeight="1">
      <c r="A2" s="43" t="str">
        <f ca="1">"（"&amp;TEXT(サマリー!$B$6,"yyyy/m/d")&amp;" 時点）"</f>
        <v>（2026/10/25 時点）</v>
      </c>
      <c r="B2" s="43"/>
      <c r="C2" s="43"/>
    </row>
    <row r="4" spans="1:3" ht="25.5" customHeight="1">
      <c r="A4" s="44" t="s">
        <v>96</v>
      </c>
      <c r="B4" s="44"/>
      <c r="C4" s="44"/>
    </row>
    <row r="5" spans="1:3" ht="24" customHeight="1">
      <c r="A5" s="12" t="s">
        <v>97</v>
      </c>
      <c r="B5" s="12" t="s">
        <v>98</v>
      </c>
      <c r="C5" s="12" t="s">
        <v>99</v>
      </c>
    </row>
    <row r="6" spans="1:3" ht="25.5" customHeight="1">
      <c r="A6" s="35" t="s">
        <v>49</v>
      </c>
      <c r="B6" s="36">
        <f ca="1">SUMIFS(受注ログ!$L$6:$L$99901,受注ログ!$B$6:$B$99901,"&gt;="&amp;INDEX(週次集計!$B$3:$B$56,サマリー!$B$20),受注ログ!$B$6:$B$99901,"&lt;="&amp;INDEX(週次集計!$C$3:$C$56,サマリー!$B$20))</f>
        <v>0</v>
      </c>
      <c r="C6" s="36">
        <f ca="1">サマリー!D53</f>
        <v>115526</v>
      </c>
    </row>
    <row r="7" spans="1:3" ht="25.5" customHeight="1">
      <c r="A7" s="35" t="s">
        <v>51</v>
      </c>
      <c r="B7" s="36">
        <f ca="1">SUMIFS(受注ログ!$M$6:$M$99901,受注ログ!$B$6:$B$99901,"&gt;="&amp;INDEX(週次集計!$B$3:$B$56,サマリー!$B$20),受注ログ!$B$6:$B$99901,"&lt;="&amp;INDEX(週次集計!$C$3:$C$56,サマリー!$B$20))</f>
        <v>0</v>
      </c>
      <c r="C7" s="36">
        <f ca="1">サマリー!D54</f>
        <v>3300</v>
      </c>
    </row>
    <row r="8" spans="1:3" ht="25.5" customHeight="1">
      <c r="A8" s="35" t="s">
        <v>52</v>
      </c>
      <c r="B8" s="36">
        <f ca="1">SUMIFS(受注ログ!$N$6:$N$99901,受注ログ!$B$6:$B$99901,"&gt;="&amp;INDEX(週次集計!$B$3:$B$56,サマリー!$B$20),受注ログ!$B$6:$B$99901,"&lt;="&amp;INDEX(週次集計!$C$3:$C$56,サマリー!$B$20))</f>
        <v>0</v>
      </c>
      <c r="C8" s="36">
        <f ca="1">サマリー!D55</f>
        <v>47760</v>
      </c>
    </row>
    <row r="9" spans="1:3" ht="25.5" customHeight="1">
      <c r="A9" s="35" t="s">
        <v>53</v>
      </c>
      <c r="B9" s="36">
        <f ca="1">SUMIFS(受注ログ!$V$6:$V$99901,受注ログ!$B$6:$B$99901,"&gt;="&amp;INDEX(週次集計!$B$3:$B$56,サマリー!$B$20),受注ログ!$B$6:$B$99901,"&lt;="&amp;INDEX(週次集計!$C$3:$C$56,サマリー!$B$20))</f>
        <v>0</v>
      </c>
      <c r="C9" s="36">
        <f ca="1">サマリー!D56</f>
        <v>49903</v>
      </c>
    </row>
    <row r="11" spans="1:3">
      <c r="A11" s="38" t="s">
        <v>100</v>
      </c>
      <c r="B11" s="38"/>
      <c r="C11" s="38"/>
    </row>
    <row r="12" spans="1:3">
      <c r="A12" s="38" t="s">
        <v>101</v>
      </c>
      <c r="B12" s="38"/>
      <c r="C12" s="38"/>
    </row>
  </sheetData>
  <mergeCells count="5">
    <mergeCell ref="A1:C1"/>
    <mergeCell ref="A2:C2"/>
    <mergeCell ref="A4:C4"/>
    <mergeCell ref="A11:C11"/>
    <mergeCell ref="A12:C12"/>
  </mergeCells>
  <phoneticPr fontId="19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サマリー</vt:lpstr>
      <vt:lpstr>受注ログ</vt:lpstr>
      <vt:lpstr>週次集計</vt:lpstr>
      <vt:lpstr>月次集計</vt:lpstr>
      <vt:lpstr>半期年間集計</vt:lpstr>
      <vt:lpstr>印刷用</vt:lpstr>
      <vt:lpstr>印刷用!Print_Area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2000 p</cp:lastModifiedBy>
  <cp:revision>0</cp:revision>
  <dcterms:created xsi:type="dcterms:W3CDTF">2026-09-25T22:47:24Z</dcterms:created>
  <dcterms:modified xsi:type="dcterms:W3CDTF">2026-10-25T01:06:40Z</dcterms:modified>
  <dc:language>en-US</dc:language>
</cp:coreProperties>
</file>